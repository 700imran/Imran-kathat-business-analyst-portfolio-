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Tickets" sheetId="2" state="visible" r:id="rId4"/>
    <sheet name="Team_Month" sheetId="3" state="visible" r:id="rId5"/>
    <sheet name="Utilization" sheetId="4" state="visible" r:id="rId6"/>
    <sheet name="Weekly" sheetId="5" state="visible" r:id="rId7"/>
  </sheets>
  <definedNames>
    <definedName function="false" hidden="true" localSheetId="1" name="_xlnm._FilterDatabase" vbProcedure="false">Data_Tickets!$A$1:$O$2071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<sst xmlns="http://schemas.openxmlformats.org/spreadsheetml/2006/main" count="10479" uniqueCount="4199">
  <si>
    <t xml:space="preserve">Mirsad - Operations KPI Dashboard (Excel)</t>
  </si>
  <si>
    <t xml:space="preserve">March - May 2025 | AED | Gulf Standard Time | synthetic data (fictional client)</t>
  </si>
  <si>
    <t xml:space="preserve">KPI</t>
  </si>
  <si>
    <t xml:space="preserve">Value</t>
  </si>
  <si>
    <t xml:space="preserve">Tickets</t>
  </si>
  <si>
    <t xml:space="preserve">Resolved</t>
  </si>
  <si>
    <t xml:space="preserve">Resolution rate</t>
  </si>
  <si>
    <t xml:space="preserve">Median clearance velocity (working h)</t>
  </si>
  <si>
    <t xml:space="preserve">Net variance (AED)</t>
  </si>
  <si>
    <t xml:space="preserve">Margin variance vs budget</t>
  </si>
  <si>
    <t xml:space="preserve">Resource utilization</t>
  </si>
  <si>
    <t xml:space="preserve">By team</t>
  </si>
  <si>
    <t xml:space="preserve">Team</t>
  </si>
  <si>
    <t xml:space="preserve">Median clearance (working h)</t>
  </si>
  <si>
    <t xml:space="preserve">Net variance AED</t>
  </si>
  <si>
    <t xml:space="preserve">Actual margin AED</t>
  </si>
  <si>
    <t xml:space="preserve">Budget margin AED</t>
  </si>
  <si>
    <t xml:space="preserve">Margin var %</t>
  </si>
  <si>
    <t xml:space="preserve">Utilization %</t>
  </si>
  <si>
    <t xml:space="preserve">FIN-OPS</t>
  </si>
  <si>
    <t xml:space="preserve">PAY-OPS</t>
  </si>
  <si>
    <t xml:space="preserve">CS-DXB</t>
  </si>
  <si>
    <t xml:space="preserve">CS-AUH</t>
  </si>
  <si>
    <t xml:space="preserve">FUL-DXB</t>
  </si>
  <si>
    <t xml:space="preserve">FUL-RUH</t>
  </si>
  <si>
    <t xml:space="preserve">ticket_ref</t>
  </si>
  <si>
    <t xml:space="preserve">txn_id</t>
  </si>
  <si>
    <t xml:space="preserve">team_code</t>
  </si>
  <si>
    <t xml:space="preserve">status</t>
  </si>
  <si>
    <t xml:space="preserve">opened_at</t>
  </si>
  <si>
    <t xml:space="preserve">resolved_at</t>
  </si>
  <si>
    <t xml:space="preserve">expected_aed</t>
  </si>
  <si>
    <t xml:space="preserve">actual_aed</t>
  </si>
  <si>
    <t xml:space="preserve">variance_aed</t>
  </si>
  <si>
    <t xml:space="preserve">variance_pct</t>
  </si>
  <si>
    <t xml:space="preserve">net_margin_aed</t>
  </si>
  <si>
    <t xml:space="preserve">resolution_hours_working</t>
  </si>
  <si>
    <t xml:space="preserve">month</t>
  </si>
  <si>
    <t xml:space="preserve">opened_date</t>
  </si>
  <si>
    <t xml:space="preserve">resolved_date</t>
  </si>
  <si>
    <t xml:space="preserve">T-100031</t>
  </si>
  <si>
    <t xml:space="preserve">TXN1288757</t>
  </si>
  <si>
    <t xml:space="preserve">RESOLVED</t>
  </si>
  <si>
    <t xml:space="preserve">2025-03</t>
  </si>
  <si>
    <t xml:space="preserve">T-100024</t>
  </si>
  <si>
    <t xml:space="preserve">TXN6225066</t>
  </si>
  <si>
    <t xml:space="preserve">T-100020</t>
  </si>
  <si>
    <t xml:space="preserve">TXN2070285</t>
  </si>
  <si>
    <t xml:space="preserve">IN_PROGRESS</t>
  </si>
  <si>
    <t xml:space="preserve">T-100038</t>
  </si>
  <si>
    <t xml:space="preserve">TXN6638557</t>
  </si>
  <si>
    <t xml:space="preserve">T-100032</t>
  </si>
  <si>
    <t xml:space="preserve">TXN1614732</t>
  </si>
  <si>
    <t xml:space="preserve">T-100012</t>
  </si>
  <si>
    <t xml:space="preserve">TXN8864683</t>
  </si>
  <si>
    <t xml:space="preserve">T-100030</t>
  </si>
  <si>
    <t xml:space="preserve">TXN5569520</t>
  </si>
  <si>
    <t xml:space="preserve">T-100007</t>
  </si>
  <si>
    <t xml:space="preserve">TXN5833328</t>
  </si>
  <si>
    <t xml:space="preserve">T-100018</t>
  </si>
  <si>
    <t xml:space="preserve">TXN7168825</t>
  </si>
  <si>
    <t xml:space="preserve">T-100004</t>
  </si>
  <si>
    <t xml:space="preserve">TXN6593296</t>
  </si>
  <si>
    <t xml:space="preserve">T-100011</t>
  </si>
  <si>
    <t xml:space="preserve">TXN3200035</t>
  </si>
  <si>
    <t xml:space="preserve">T-100008</t>
  </si>
  <si>
    <t xml:space="preserve">TXN5105167</t>
  </si>
  <si>
    <t xml:space="preserve">T-100036</t>
  </si>
  <si>
    <t xml:space="preserve">TXN7239047</t>
  </si>
  <si>
    <t xml:space="preserve">T-100035</t>
  </si>
  <si>
    <t xml:space="preserve">TXN3548872</t>
  </si>
  <si>
    <t xml:space="preserve">T-100003</t>
  </si>
  <si>
    <t xml:space="preserve">TXN7692901</t>
  </si>
  <si>
    <t xml:space="preserve">T-100009</t>
  </si>
  <si>
    <t xml:space="preserve">TXN8627644</t>
  </si>
  <si>
    <t xml:space="preserve">T-100016</t>
  </si>
  <si>
    <t xml:space="preserve">TXN3884202</t>
  </si>
  <si>
    <t xml:space="preserve">T-100042</t>
  </si>
  <si>
    <t xml:space="preserve">TXN1091317</t>
  </si>
  <si>
    <t xml:space="preserve">T-100021</t>
  </si>
  <si>
    <t xml:space="preserve">TXN2548954</t>
  </si>
  <si>
    <t xml:space="preserve">T-100039</t>
  </si>
  <si>
    <t xml:space="preserve">TXN2054714</t>
  </si>
  <si>
    <t xml:space="preserve">T-100015</t>
  </si>
  <si>
    <t xml:space="preserve">TXN9642206</t>
  </si>
  <si>
    <t xml:space="preserve">T-100013</t>
  </si>
  <si>
    <t xml:space="preserve">TXN2267384</t>
  </si>
  <si>
    <t xml:space="preserve">T-100023</t>
  </si>
  <si>
    <t xml:space="preserve">TXN2143696</t>
  </si>
  <si>
    <t xml:space="preserve">T-100006</t>
  </si>
  <si>
    <t xml:space="preserve">TXN8316463</t>
  </si>
  <si>
    <t xml:space="preserve">T-100033</t>
  </si>
  <si>
    <t xml:space="preserve">TXN3267480</t>
  </si>
  <si>
    <t xml:space="preserve">T-100022</t>
  </si>
  <si>
    <t xml:space="preserve">TXN9242703</t>
  </si>
  <si>
    <t xml:space="preserve">T-100005</t>
  </si>
  <si>
    <t xml:space="preserve">TXN7783870</t>
  </si>
  <si>
    <t xml:space="preserve">T-100034</t>
  </si>
  <si>
    <t xml:space="preserve">TXN2863448</t>
  </si>
  <si>
    <t xml:space="preserve">T-100027</t>
  </si>
  <si>
    <t xml:space="preserve">TXN8406259</t>
  </si>
  <si>
    <t xml:space="preserve">T-100037</t>
  </si>
  <si>
    <t xml:space="preserve">TXN4529331</t>
  </si>
  <si>
    <t xml:space="preserve">T-100014</t>
  </si>
  <si>
    <t xml:space="preserve">TXN5186760</t>
  </si>
  <si>
    <t xml:space="preserve">T-100017</t>
  </si>
  <si>
    <t xml:space="preserve">TXN2473901</t>
  </si>
  <si>
    <t xml:space="preserve">T-100028</t>
  </si>
  <si>
    <t xml:space="preserve">TXN1378252</t>
  </si>
  <si>
    <t xml:space="preserve">T-100041</t>
  </si>
  <si>
    <t xml:space="preserve">TXN1380797</t>
  </si>
  <si>
    <t xml:space="preserve">T-100019</t>
  </si>
  <si>
    <t xml:space="preserve">TXN8064965</t>
  </si>
  <si>
    <t xml:space="preserve">T-100010</t>
  </si>
  <si>
    <t xml:space="preserve">TXN2964557</t>
  </si>
  <si>
    <t xml:space="preserve">T-100029</t>
  </si>
  <si>
    <t xml:space="preserve">TXN6283836</t>
  </si>
  <si>
    <t xml:space="preserve">T-100001</t>
  </si>
  <si>
    <t xml:space="preserve">TXN7612905</t>
  </si>
  <si>
    <t xml:space="preserve">T-100040</t>
  </si>
  <si>
    <t xml:space="preserve">TXN2508763</t>
  </si>
  <si>
    <t xml:space="preserve">T-100077</t>
  </si>
  <si>
    <t xml:space="preserve">TXN2505513</t>
  </si>
  <si>
    <t xml:space="preserve">T-100069</t>
  </si>
  <si>
    <t xml:space="preserve">TXN6343647</t>
  </si>
  <si>
    <t xml:space="preserve">T-100074</t>
  </si>
  <si>
    <t xml:space="preserve">TXN5360116</t>
  </si>
  <si>
    <t xml:space="preserve">T-100080</t>
  </si>
  <si>
    <t xml:space="preserve">TXN3037812</t>
  </si>
  <si>
    <t xml:space="preserve">T-100060</t>
  </si>
  <si>
    <t xml:space="preserve">TXN2934778</t>
  </si>
  <si>
    <t xml:space="preserve">T-100078</t>
  </si>
  <si>
    <t xml:space="preserve">TXN8796863</t>
  </si>
  <si>
    <t xml:space="preserve">T-100055</t>
  </si>
  <si>
    <t xml:space="preserve">TXN3123119</t>
  </si>
  <si>
    <t xml:space="preserve">T-100063</t>
  </si>
  <si>
    <t xml:space="preserve">TXN5682833</t>
  </si>
  <si>
    <t xml:space="preserve">T-100053</t>
  </si>
  <si>
    <t xml:space="preserve">TXN3857365</t>
  </si>
  <si>
    <t xml:space="preserve">T-100070</t>
  </si>
  <si>
    <t xml:space="preserve">TXN1317360</t>
  </si>
  <si>
    <t xml:space="preserve">T-100058</t>
  </si>
  <si>
    <t xml:space="preserve">TXN1361402</t>
  </si>
  <si>
    <t xml:space="preserve">T-100043</t>
  </si>
  <si>
    <t xml:space="preserve">TXN2699201</t>
  </si>
  <si>
    <t xml:space="preserve">T-100067</t>
  </si>
  <si>
    <t xml:space="preserve">TXN9792641</t>
  </si>
  <si>
    <t xml:space="preserve">T-100044</t>
  </si>
  <si>
    <t xml:space="preserve">TXN1754099</t>
  </si>
  <si>
    <t xml:space="preserve">T-100049</t>
  </si>
  <si>
    <t xml:space="preserve">TXN9641051</t>
  </si>
  <si>
    <t xml:space="preserve">T-100050</t>
  </si>
  <si>
    <t xml:space="preserve">TXN8776152</t>
  </si>
  <si>
    <t xml:space="preserve">T-100071</t>
  </si>
  <si>
    <t xml:space="preserve">TXN6191825</t>
  </si>
  <si>
    <t xml:space="preserve">T-100066</t>
  </si>
  <si>
    <t xml:space="preserve">TXN8444293</t>
  </si>
  <si>
    <t xml:space="preserve">T-100052</t>
  </si>
  <si>
    <t xml:space="preserve">TXN1742156</t>
  </si>
  <si>
    <t xml:space="preserve">T-100061</t>
  </si>
  <si>
    <t xml:space="preserve">TXN5218819</t>
  </si>
  <si>
    <t xml:space="preserve">T-100054</t>
  </si>
  <si>
    <t xml:space="preserve">TXN5694980</t>
  </si>
  <si>
    <t xml:space="preserve">T-100076</t>
  </si>
  <si>
    <t xml:space="preserve">TXN6327207</t>
  </si>
  <si>
    <t xml:space="preserve">T-100081</t>
  </si>
  <si>
    <t xml:space="preserve">TXN3245659</t>
  </si>
  <si>
    <t xml:space="preserve">T-100072</t>
  </si>
  <si>
    <t xml:space="preserve">TXN5034743</t>
  </si>
  <si>
    <t xml:space="preserve">T-100045</t>
  </si>
  <si>
    <t xml:space="preserve">TXN7956255</t>
  </si>
  <si>
    <t xml:space="preserve">T-100079</t>
  </si>
  <si>
    <t xml:space="preserve">TXN6727643</t>
  </si>
  <si>
    <t xml:space="preserve">T-100056</t>
  </si>
  <si>
    <t xml:space="preserve">TXN5045908</t>
  </si>
  <si>
    <t xml:space="preserve">T-100059</t>
  </si>
  <si>
    <t xml:space="preserve">TXN7287989</t>
  </si>
  <si>
    <t xml:space="preserve">T-100046</t>
  </si>
  <si>
    <t xml:space="preserve">TXN6666566</t>
  </si>
  <si>
    <t xml:space="preserve">T-100048</t>
  </si>
  <si>
    <t xml:space="preserve">TXN7739940</t>
  </si>
  <si>
    <t xml:space="preserve">T-100051</t>
  </si>
  <si>
    <t xml:space="preserve">TXN7673383</t>
  </si>
  <si>
    <t xml:space="preserve">T-100062</t>
  </si>
  <si>
    <t xml:space="preserve">TXN1921509</t>
  </si>
  <si>
    <t xml:space="preserve">T-100075</t>
  </si>
  <si>
    <t xml:space="preserve">TXN3534098</t>
  </si>
  <si>
    <t xml:space="preserve">T-100073</t>
  </si>
  <si>
    <t xml:space="preserve">TXN6613348</t>
  </si>
  <si>
    <t xml:space="preserve">T-100068</t>
  </si>
  <si>
    <t xml:space="preserve">TXN6372738</t>
  </si>
  <si>
    <t xml:space="preserve">T-100057</t>
  </si>
  <si>
    <t xml:space="preserve">TXN5195417</t>
  </si>
  <si>
    <t xml:space="preserve">T-100047</t>
  </si>
  <si>
    <t xml:space="preserve">TXN3906083</t>
  </si>
  <si>
    <t xml:space="preserve">T-100092</t>
  </si>
  <si>
    <t xml:space="preserve">TXN2991951</t>
  </si>
  <si>
    <t xml:space="preserve">T-100108</t>
  </si>
  <si>
    <t xml:space="preserve">TXN5686654</t>
  </si>
  <si>
    <t xml:space="preserve">T-100083</t>
  </si>
  <si>
    <t xml:space="preserve">TXN2737634</t>
  </si>
  <si>
    <t xml:space="preserve">T-100085</t>
  </si>
  <si>
    <t xml:space="preserve">TXN3588181</t>
  </si>
  <si>
    <t xml:space="preserve">T-100113</t>
  </si>
  <si>
    <t xml:space="preserve">TXN8471150</t>
  </si>
  <si>
    <t xml:space="preserve">T-100087</t>
  </si>
  <si>
    <t xml:space="preserve">TXN4035483</t>
  </si>
  <si>
    <t xml:space="preserve">T-100109</t>
  </si>
  <si>
    <t xml:space="preserve">TXN4126044</t>
  </si>
  <si>
    <t xml:space="preserve">T-100100</t>
  </si>
  <si>
    <t xml:space="preserve">TXN9856231</t>
  </si>
  <si>
    <t xml:space="preserve">T-100112</t>
  </si>
  <si>
    <t xml:space="preserve">TXN1389550</t>
  </si>
  <si>
    <t xml:space="preserve">T-100101</t>
  </si>
  <si>
    <t xml:space="preserve">TXN2505514</t>
  </si>
  <si>
    <t xml:space="preserve">T-100111</t>
  </si>
  <si>
    <t xml:space="preserve">TXN7608923</t>
  </si>
  <si>
    <t xml:space="preserve">T-100107</t>
  </si>
  <si>
    <t xml:space="preserve">TXN1899110</t>
  </si>
  <si>
    <t xml:space="preserve">T-100106</t>
  </si>
  <si>
    <t xml:space="preserve">TXN2059168</t>
  </si>
  <si>
    <t xml:space="preserve">T-100095</t>
  </si>
  <si>
    <t xml:space="preserve">TXN9925094</t>
  </si>
  <si>
    <t xml:space="preserve">T-100115</t>
  </si>
  <si>
    <t xml:space="preserve">TXN9953203</t>
  </si>
  <si>
    <t xml:space="preserve">T-100088</t>
  </si>
  <si>
    <t xml:space="preserve">TXN6056621</t>
  </si>
  <si>
    <t xml:space="preserve">T-100104</t>
  </si>
  <si>
    <t xml:space="preserve">TXN6365948</t>
  </si>
  <si>
    <t xml:space="preserve">T-100103</t>
  </si>
  <si>
    <t xml:space="preserve">TXN9290296</t>
  </si>
  <si>
    <t xml:space="preserve">T-100093</t>
  </si>
  <si>
    <t xml:space="preserve">TXN1951361</t>
  </si>
  <si>
    <t xml:space="preserve">T-100118</t>
  </si>
  <si>
    <t xml:space="preserve">TXN4618040</t>
  </si>
  <si>
    <t xml:space="preserve">T-100119</t>
  </si>
  <si>
    <t xml:space="preserve">TXN5612734</t>
  </si>
  <si>
    <t xml:space="preserve">T-100097</t>
  </si>
  <si>
    <t xml:space="preserve">TXN1511992</t>
  </si>
  <si>
    <t xml:space="preserve">T-100094</t>
  </si>
  <si>
    <t xml:space="preserve">TXN1916996</t>
  </si>
  <si>
    <t xml:space="preserve">T-100117</t>
  </si>
  <si>
    <t xml:space="preserve">TXN9452747</t>
  </si>
  <si>
    <t xml:space="preserve">T-100090</t>
  </si>
  <si>
    <t xml:space="preserve">TXN3772750</t>
  </si>
  <si>
    <t xml:space="preserve">T-100120</t>
  </si>
  <si>
    <t xml:space="preserve">TXN1341626</t>
  </si>
  <si>
    <t xml:space="preserve">T-100114</t>
  </si>
  <si>
    <t xml:space="preserve">TXN1891196</t>
  </si>
  <si>
    <t xml:space="preserve">T-100086</t>
  </si>
  <si>
    <t xml:space="preserve">TXN3171017</t>
  </si>
  <si>
    <t xml:space="preserve">T-100091</t>
  </si>
  <si>
    <t xml:space="preserve">TXN9931566</t>
  </si>
  <si>
    <t xml:space="preserve">T-100098</t>
  </si>
  <si>
    <t xml:space="preserve">TXN8413164</t>
  </si>
  <si>
    <t xml:space="preserve">T-100096</t>
  </si>
  <si>
    <t xml:space="preserve">TXN1321173</t>
  </si>
  <si>
    <t xml:space="preserve">T-100116</t>
  </si>
  <si>
    <t xml:space="preserve">TXN5764248</t>
  </si>
  <si>
    <t xml:space="preserve">T-100082</t>
  </si>
  <si>
    <t xml:space="preserve">TXN3918442</t>
  </si>
  <si>
    <t xml:space="preserve">T-100121</t>
  </si>
  <si>
    <t xml:space="preserve">TXN1743712</t>
  </si>
  <si>
    <t xml:space="preserve">T-100102</t>
  </si>
  <si>
    <t xml:space="preserve">TXN4406448</t>
  </si>
  <si>
    <t xml:space="preserve">T-100084</t>
  </si>
  <si>
    <t xml:space="preserve">TXN4784066</t>
  </si>
  <si>
    <t xml:space="preserve">T-100105</t>
  </si>
  <si>
    <t xml:space="preserve">TXN1498677</t>
  </si>
  <si>
    <t xml:space="preserve">T-100110</t>
  </si>
  <si>
    <t xml:space="preserve">TXN2639808</t>
  </si>
  <si>
    <t xml:space="preserve">T-100125</t>
  </si>
  <si>
    <t xml:space="preserve">TXN3941325</t>
  </si>
  <si>
    <t xml:space="preserve">T-100129</t>
  </si>
  <si>
    <t xml:space="preserve">TXN9476053</t>
  </si>
  <si>
    <t xml:space="preserve">T-100141</t>
  </si>
  <si>
    <t xml:space="preserve">TXN6414050</t>
  </si>
  <si>
    <t xml:space="preserve">T-100122</t>
  </si>
  <si>
    <t xml:space="preserve">TXN9061459</t>
  </si>
  <si>
    <t xml:space="preserve">T-100127</t>
  </si>
  <si>
    <t xml:space="preserve">TXN1818824</t>
  </si>
  <si>
    <t xml:space="preserve">T-100147</t>
  </si>
  <si>
    <t xml:space="preserve">TXN7010802</t>
  </si>
  <si>
    <t xml:space="preserve">T-100136</t>
  </si>
  <si>
    <t xml:space="preserve">TXN6355609</t>
  </si>
  <si>
    <t xml:space="preserve">T-100128</t>
  </si>
  <si>
    <t xml:space="preserve">TXN9018873</t>
  </si>
  <si>
    <t xml:space="preserve">T-100142</t>
  </si>
  <si>
    <t xml:space="preserve">TXN7030753</t>
  </si>
  <si>
    <t xml:space="preserve">T-100150</t>
  </si>
  <si>
    <t xml:space="preserve">TXN4704093</t>
  </si>
  <si>
    <t xml:space="preserve">T-100134</t>
  </si>
  <si>
    <t xml:space="preserve">TXN9007065</t>
  </si>
  <si>
    <t xml:space="preserve">T-100133</t>
  </si>
  <si>
    <t xml:space="preserve">TXN2846800</t>
  </si>
  <si>
    <t xml:space="preserve">T-100144</t>
  </si>
  <si>
    <t xml:space="preserve">TXN4068954</t>
  </si>
  <si>
    <t xml:space="preserve">T-100123</t>
  </si>
  <si>
    <t xml:space="preserve">TXN7836521</t>
  </si>
  <si>
    <t xml:space="preserve">T-100137</t>
  </si>
  <si>
    <t xml:space="preserve">TXN6319501</t>
  </si>
  <si>
    <t xml:space="preserve">T-100149</t>
  </si>
  <si>
    <t xml:space="preserve">TXN8296484</t>
  </si>
  <si>
    <t xml:space="preserve">OPEN</t>
  </si>
  <si>
    <t xml:space="preserve">T-100135</t>
  </si>
  <si>
    <t xml:space="preserve">TXN1933054</t>
  </si>
  <si>
    <t xml:space="preserve">T-100130</t>
  </si>
  <si>
    <t xml:space="preserve">TXN1284702</t>
  </si>
  <si>
    <t xml:space="preserve">T-100124</t>
  </si>
  <si>
    <t xml:space="preserve">TXN5477346</t>
  </si>
  <si>
    <t xml:space="preserve">T-100139</t>
  </si>
  <si>
    <t xml:space="preserve">TXN9049613</t>
  </si>
  <si>
    <t xml:space="preserve">T-100148</t>
  </si>
  <si>
    <t xml:space="preserve">TXN8002639</t>
  </si>
  <si>
    <t xml:space="preserve">T-100132</t>
  </si>
  <si>
    <t xml:space="preserve">TXN5431935</t>
  </si>
  <si>
    <t xml:space="preserve">T-100145</t>
  </si>
  <si>
    <t xml:space="preserve">TXN8975753</t>
  </si>
  <si>
    <t xml:space="preserve">T-100131</t>
  </si>
  <si>
    <t xml:space="preserve">TXN7894454</t>
  </si>
  <si>
    <t xml:space="preserve">T-100126</t>
  </si>
  <si>
    <t xml:space="preserve">TXN9197640</t>
  </si>
  <si>
    <t xml:space="preserve">T-100140</t>
  </si>
  <si>
    <t xml:space="preserve">TXN5946269</t>
  </si>
  <si>
    <t xml:space="preserve">T-100146</t>
  </si>
  <si>
    <t xml:space="preserve">TXN4759824</t>
  </si>
  <si>
    <t xml:space="preserve">T-100176</t>
  </si>
  <si>
    <t xml:space="preserve">TXN3132464</t>
  </si>
  <si>
    <t xml:space="preserve">T-100158</t>
  </si>
  <si>
    <t xml:space="preserve">TXN4166502</t>
  </si>
  <si>
    <t xml:space="preserve">T-100154</t>
  </si>
  <si>
    <t xml:space="preserve">TXN4799162</t>
  </si>
  <si>
    <t xml:space="preserve">T-100179</t>
  </si>
  <si>
    <t xml:space="preserve">TXN3663119</t>
  </si>
  <si>
    <t xml:space="preserve">T-100160</t>
  </si>
  <si>
    <t xml:space="preserve">TXN4361774</t>
  </si>
  <si>
    <t xml:space="preserve">T-100168</t>
  </si>
  <si>
    <t xml:space="preserve">TXN2261735</t>
  </si>
  <si>
    <t xml:space="preserve">T-100164</t>
  </si>
  <si>
    <t xml:space="preserve">TXN6900687</t>
  </si>
  <si>
    <t xml:space="preserve">T-100185</t>
  </si>
  <si>
    <t xml:space="preserve">TXN4082854</t>
  </si>
  <si>
    <t xml:space="preserve">T-100183</t>
  </si>
  <si>
    <t xml:space="preserve">TXN3178567</t>
  </si>
  <si>
    <t xml:space="preserve">T-100162</t>
  </si>
  <si>
    <t xml:space="preserve">TXN1678201</t>
  </si>
  <si>
    <t xml:space="preserve">T-100182</t>
  </si>
  <si>
    <t xml:space="preserve">TXN1429924</t>
  </si>
  <si>
    <t xml:space="preserve">T-100173</t>
  </si>
  <si>
    <t xml:space="preserve">TXN5762296</t>
  </si>
  <si>
    <t xml:space="preserve">T-100187</t>
  </si>
  <si>
    <t xml:space="preserve">TXN5018733</t>
  </si>
  <si>
    <t xml:space="preserve">T-100174</t>
  </si>
  <si>
    <t xml:space="preserve">TXN8720986</t>
  </si>
  <si>
    <t xml:space="preserve">T-100159</t>
  </si>
  <si>
    <t xml:space="preserve">TXN2274577</t>
  </si>
  <si>
    <t xml:space="preserve">T-100178</t>
  </si>
  <si>
    <t xml:space="preserve">TXN7664221</t>
  </si>
  <si>
    <t xml:space="preserve">T-100157</t>
  </si>
  <si>
    <t xml:space="preserve">TXN8111158</t>
  </si>
  <si>
    <t xml:space="preserve">T-100165</t>
  </si>
  <si>
    <t xml:space="preserve">TXN6821749</t>
  </si>
  <si>
    <t xml:space="preserve">T-100177</t>
  </si>
  <si>
    <t xml:space="preserve">TXN3516585</t>
  </si>
  <si>
    <t xml:space="preserve">T-100153</t>
  </si>
  <si>
    <t xml:space="preserve">TXN9663232</t>
  </si>
  <si>
    <t xml:space="preserve">T-100180</t>
  </si>
  <si>
    <t xml:space="preserve">TXN5482694</t>
  </si>
  <si>
    <t xml:space="preserve">T-100169</t>
  </si>
  <si>
    <t xml:space="preserve">TXN3299642</t>
  </si>
  <si>
    <t xml:space="preserve">T-100161</t>
  </si>
  <si>
    <t xml:space="preserve">TXN3461138</t>
  </si>
  <si>
    <t xml:space="preserve">T-100155</t>
  </si>
  <si>
    <t xml:space="preserve">TXN4880538</t>
  </si>
  <si>
    <t xml:space="preserve">T-100181</t>
  </si>
  <si>
    <t xml:space="preserve">TXN5294710</t>
  </si>
  <si>
    <t xml:space="preserve">T-100152</t>
  </si>
  <si>
    <t xml:space="preserve">TXN6145349</t>
  </si>
  <si>
    <t xml:space="preserve">T-100171</t>
  </si>
  <si>
    <t xml:space="preserve">TXN2756283</t>
  </si>
  <si>
    <t xml:space="preserve">T-100175</t>
  </si>
  <si>
    <t xml:space="preserve">TXN5779324</t>
  </si>
  <si>
    <t xml:space="preserve">T-100184</t>
  </si>
  <si>
    <t xml:space="preserve">TXN4906382</t>
  </si>
  <si>
    <t xml:space="preserve">T-100170</t>
  </si>
  <si>
    <t xml:space="preserve">TXN4536655</t>
  </si>
  <si>
    <t xml:space="preserve">T-100156</t>
  </si>
  <si>
    <t xml:space="preserve">TXN1782491</t>
  </si>
  <si>
    <t xml:space="preserve">T-100166</t>
  </si>
  <si>
    <t xml:space="preserve">TXN4946417</t>
  </si>
  <si>
    <t xml:space="preserve">T-100214</t>
  </si>
  <si>
    <t xml:space="preserve">TXN1496585</t>
  </si>
  <si>
    <t xml:space="preserve">T-100221</t>
  </si>
  <si>
    <t xml:space="preserve">TXN3470706</t>
  </si>
  <si>
    <t xml:space="preserve">T-100197</t>
  </si>
  <si>
    <t xml:space="preserve">TXN8453923</t>
  </si>
  <si>
    <t xml:space="preserve">T-100199</t>
  </si>
  <si>
    <t xml:space="preserve">TXN7141528</t>
  </si>
  <si>
    <t xml:space="preserve">T-100203</t>
  </si>
  <si>
    <t xml:space="preserve">TXN3326526</t>
  </si>
  <si>
    <t xml:space="preserve">T-100215</t>
  </si>
  <si>
    <t xml:space="preserve">TXN7260923</t>
  </si>
  <si>
    <t xml:space="preserve">T-100191</t>
  </si>
  <si>
    <t xml:space="preserve">TXN3972821</t>
  </si>
  <si>
    <t xml:space="preserve">T-100216</t>
  </si>
  <si>
    <t xml:space="preserve">TXN6965677</t>
  </si>
  <si>
    <t xml:space="preserve">T-100207</t>
  </si>
  <si>
    <t xml:space="preserve">TXN9450976</t>
  </si>
  <si>
    <t xml:space="preserve">T-100224</t>
  </si>
  <si>
    <t xml:space="preserve">TXN9108385</t>
  </si>
  <si>
    <t xml:space="preserve">T-100194</t>
  </si>
  <si>
    <t xml:space="preserve">TXN6981416</t>
  </si>
  <si>
    <t xml:space="preserve">T-100217</t>
  </si>
  <si>
    <t xml:space="preserve">TXN3368451</t>
  </si>
  <si>
    <t xml:space="preserve">T-100202</t>
  </si>
  <si>
    <t xml:space="preserve">TXN9648226</t>
  </si>
  <si>
    <t xml:space="preserve">T-100210</t>
  </si>
  <si>
    <t xml:space="preserve">TXN7487065</t>
  </si>
  <si>
    <t xml:space="preserve">T-100218</t>
  </si>
  <si>
    <t xml:space="preserve">TXN9654306</t>
  </si>
  <si>
    <t xml:space="preserve">T-100223</t>
  </si>
  <si>
    <t xml:space="preserve">TXN7851802</t>
  </si>
  <si>
    <t xml:space="preserve">T-100209</t>
  </si>
  <si>
    <t xml:space="preserve">TXN1099267</t>
  </si>
  <si>
    <t xml:space="preserve">T-100213</t>
  </si>
  <si>
    <t xml:space="preserve">TXN6786847</t>
  </si>
  <si>
    <t xml:space="preserve">T-100204</t>
  </si>
  <si>
    <t xml:space="preserve">TXN4620546</t>
  </si>
  <si>
    <t xml:space="preserve">T-100188</t>
  </si>
  <si>
    <t xml:space="preserve">TXN5606377</t>
  </si>
  <si>
    <t xml:space="preserve">T-100220</t>
  </si>
  <si>
    <t xml:space="preserve">TXN9528083</t>
  </si>
  <si>
    <t xml:space="preserve">T-100200</t>
  </si>
  <si>
    <t xml:space="preserve">TXN6882534</t>
  </si>
  <si>
    <t xml:space="preserve">T-100222</t>
  </si>
  <si>
    <t xml:space="preserve">TXN2658120</t>
  </si>
  <si>
    <t xml:space="preserve">T-100201</t>
  </si>
  <si>
    <t xml:space="preserve">TXN4419503</t>
  </si>
  <si>
    <t xml:space="preserve">T-100190</t>
  </si>
  <si>
    <t xml:space="preserve">TXN6008598</t>
  </si>
  <si>
    <t xml:space="preserve">T-100211</t>
  </si>
  <si>
    <t xml:space="preserve">TXN9855381</t>
  </si>
  <si>
    <t xml:space="preserve">T-100208</t>
  </si>
  <si>
    <t xml:space="preserve">TXN2643479</t>
  </si>
  <si>
    <t xml:space="preserve">T-100205</t>
  </si>
  <si>
    <t xml:space="preserve">TXN7461685</t>
  </si>
  <si>
    <t xml:space="preserve">T-100193</t>
  </si>
  <si>
    <t xml:space="preserve">TXN3799339</t>
  </si>
  <si>
    <t xml:space="preserve">T-100192</t>
  </si>
  <si>
    <t xml:space="preserve">TXN6003029</t>
  </si>
  <si>
    <t xml:space="preserve">T-100206</t>
  </si>
  <si>
    <t xml:space="preserve">TXN5968354</t>
  </si>
  <si>
    <t xml:space="preserve">T-100195</t>
  </si>
  <si>
    <t xml:space="preserve">TXN6824352</t>
  </si>
  <si>
    <t xml:space="preserve">T-100238</t>
  </si>
  <si>
    <t xml:space="preserve">TXN5448050</t>
  </si>
  <si>
    <t xml:space="preserve">T-100230</t>
  </si>
  <si>
    <t xml:space="preserve">TXN9362308</t>
  </si>
  <si>
    <t xml:space="preserve">T-100254</t>
  </si>
  <si>
    <t xml:space="preserve">TXN4411147</t>
  </si>
  <si>
    <t xml:space="preserve">T-100225</t>
  </si>
  <si>
    <t xml:space="preserve">TXN3089057</t>
  </si>
  <si>
    <t xml:space="preserve">T-100231</t>
  </si>
  <si>
    <t xml:space="preserve">TXN3544083</t>
  </si>
  <si>
    <t xml:space="preserve">T-100235</t>
  </si>
  <si>
    <t xml:space="preserve">TXN2564482</t>
  </si>
  <si>
    <t xml:space="preserve">T-100232</t>
  </si>
  <si>
    <t xml:space="preserve">TXN5632856</t>
  </si>
  <si>
    <t xml:space="preserve">T-100234</t>
  </si>
  <si>
    <t xml:space="preserve">TXN9345300</t>
  </si>
  <si>
    <t xml:space="preserve">T-100251</t>
  </si>
  <si>
    <t xml:space="preserve">TXN7800480</t>
  </si>
  <si>
    <t xml:space="preserve">T-100236</t>
  </si>
  <si>
    <t xml:space="preserve">TXN6128819</t>
  </si>
  <si>
    <t xml:space="preserve">T-100228</t>
  </si>
  <si>
    <t xml:space="preserve">TXN9138391</t>
  </si>
  <si>
    <t xml:space="preserve">T-100229</t>
  </si>
  <si>
    <t xml:space="preserve">TXN2000585</t>
  </si>
  <si>
    <t xml:space="preserve">T-100242</t>
  </si>
  <si>
    <t xml:space="preserve">TXN3167880</t>
  </si>
  <si>
    <t xml:space="preserve">T-100239</t>
  </si>
  <si>
    <t xml:space="preserve">TXN9939417</t>
  </si>
  <si>
    <t xml:space="preserve">T-100248</t>
  </si>
  <si>
    <t xml:space="preserve">TXN9624218</t>
  </si>
  <si>
    <t xml:space="preserve">T-100253</t>
  </si>
  <si>
    <t xml:space="preserve">TXN9295120</t>
  </si>
  <si>
    <t xml:space="preserve">T-100237</t>
  </si>
  <si>
    <t xml:space="preserve">TXN7671465</t>
  </si>
  <si>
    <t xml:space="preserve">T-100247</t>
  </si>
  <si>
    <t xml:space="preserve">TXN8838994</t>
  </si>
  <si>
    <t xml:space="preserve">T-100233</t>
  </si>
  <si>
    <t xml:space="preserve">TXN3012980</t>
  </si>
  <si>
    <t xml:space="preserve">T-100252</t>
  </si>
  <si>
    <t xml:space="preserve">TXN6022762</t>
  </si>
  <si>
    <t xml:space="preserve">T-100227</t>
  </si>
  <si>
    <t xml:space="preserve">TXN8895770</t>
  </si>
  <si>
    <t xml:space="preserve">T-100240</t>
  </si>
  <si>
    <t xml:space="preserve">TXN5181004</t>
  </si>
  <si>
    <t xml:space="preserve">T-100245</t>
  </si>
  <si>
    <t xml:space="preserve">TXN1315250</t>
  </si>
  <si>
    <t xml:space="preserve">T-100250</t>
  </si>
  <si>
    <t xml:space="preserve">TXN2656481</t>
  </si>
  <si>
    <t xml:space="preserve">T-100255</t>
  </si>
  <si>
    <t xml:space="preserve">TXN2418152</t>
  </si>
  <si>
    <t xml:space="preserve">T-100244</t>
  </si>
  <si>
    <t xml:space="preserve">TXN5751241</t>
  </si>
  <si>
    <t xml:space="preserve">T-100249</t>
  </si>
  <si>
    <t xml:space="preserve">TXN4333599</t>
  </si>
  <si>
    <t xml:space="preserve">T-100226</t>
  </si>
  <si>
    <t xml:space="preserve">TXN1540680</t>
  </si>
  <si>
    <t xml:space="preserve">T-100243</t>
  </si>
  <si>
    <t xml:space="preserve">TXN5345209</t>
  </si>
  <si>
    <t xml:space="preserve">T-100246</t>
  </si>
  <si>
    <t xml:space="preserve">TXN9928850</t>
  </si>
  <si>
    <t xml:space="preserve">T-100288</t>
  </si>
  <si>
    <t xml:space="preserve">TXN1528603</t>
  </si>
  <si>
    <t xml:space="preserve">T-100264</t>
  </si>
  <si>
    <t xml:space="preserve">TXN7771873</t>
  </si>
  <si>
    <t xml:space="preserve">T-100259</t>
  </si>
  <si>
    <t xml:space="preserve">TXN2515591</t>
  </si>
  <si>
    <t xml:space="preserve">T-100280</t>
  </si>
  <si>
    <t xml:space="preserve">TXN1638082</t>
  </si>
  <si>
    <t xml:space="preserve">T-100276</t>
  </si>
  <si>
    <t xml:space="preserve">TXN2465368</t>
  </si>
  <si>
    <t xml:space="preserve">T-100273</t>
  </si>
  <si>
    <t xml:space="preserve">TXN6203372</t>
  </si>
  <si>
    <t xml:space="preserve">T-100271</t>
  </si>
  <si>
    <t xml:space="preserve">TXN4405499</t>
  </si>
  <si>
    <t xml:space="preserve">T-100272</t>
  </si>
  <si>
    <t xml:space="preserve">TXN4043340</t>
  </si>
  <si>
    <t xml:space="preserve">T-100275</t>
  </si>
  <si>
    <t xml:space="preserve">TXN5591480</t>
  </si>
  <si>
    <t xml:space="preserve">T-100277</t>
  </si>
  <si>
    <t xml:space="preserve">TXN7642531</t>
  </si>
  <si>
    <t xml:space="preserve">T-100256</t>
  </si>
  <si>
    <t xml:space="preserve">TXN8663949</t>
  </si>
  <si>
    <t xml:space="preserve">T-100281</t>
  </si>
  <si>
    <t xml:space="preserve">TXN7828918</t>
  </si>
  <si>
    <t xml:space="preserve">T-100289</t>
  </si>
  <si>
    <t xml:space="preserve">TXN9535136</t>
  </si>
  <si>
    <t xml:space="preserve">T-100279</t>
  </si>
  <si>
    <t xml:space="preserve">TXN4088942</t>
  </si>
  <si>
    <t xml:space="preserve">T-100257</t>
  </si>
  <si>
    <t xml:space="preserve">TXN7331177</t>
  </si>
  <si>
    <t xml:space="preserve">T-100284</t>
  </si>
  <si>
    <t xml:space="preserve">TXN5528654</t>
  </si>
  <si>
    <t xml:space="preserve">T-100267</t>
  </si>
  <si>
    <t xml:space="preserve">TXN4018210</t>
  </si>
  <si>
    <t xml:space="preserve">T-100261</t>
  </si>
  <si>
    <t xml:space="preserve">TXN5128426</t>
  </si>
  <si>
    <t xml:space="preserve">T-100287</t>
  </si>
  <si>
    <t xml:space="preserve">TXN7937294</t>
  </si>
  <si>
    <t xml:space="preserve">T-100286</t>
  </si>
  <si>
    <t xml:space="preserve">TXN8240909</t>
  </si>
  <si>
    <t xml:space="preserve">T-100262</t>
  </si>
  <si>
    <t xml:space="preserve">TXN9510510</t>
  </si>
  <si>
    <t xml:space="preserve">T-100263</t>
  </si>
  <si>
    <t xml:space="preserve">TXN3237639</t>
  </si>
  <si>
    <t xml:space="preserve">T-100266</t>
  </si>
  <si>
    <t xml:space="preserve">TXN6150123</t>
  </si>
  <si>
    <t xml:space="preserve">T-100265</t>
  </si>
  <si>
    <t xml:space="preserve">TXN7420389</t>
  </si>
  <si>
    <t xml:space="preserve">T-100270</t>
  </si>
  <si>
    <t xml:space="preserve">TXN8941801</t>
  </si>
  <si>
    <t xml:space="preserve">T-100282</t>
  </si>
  <si>
    <t xml:space="preserve">TXN1770338</t>
  </si>
  <si>
    <t xml:space="preserve">T-100283</t>
  </si>
  <si>
    <t xml:space="preserve">TXN4360541</t>
  </si>
  <si>
    <t xml:space="preserve">T-100274</t>
  </si>
  <si>
    <t xml:space="preserve">TXN7855665</t>
  </si>
  <si>
    <t xml:space="preserve">T-100290</t>
  </si>
  <si>
    <t xml:space="preserve">TXN1189700</t>
  </si>
  <si>
    <t xml:space="preserve">T-100258</t>
  </si>
  <si>
    <t xml:space="preserve">TXN2530599</t>
  </si>
  <si>
    <t xml:space="preserve">T-100278</t>
  </si>
  <si>
    <t xml:space="preserve">TXN3491068</t>
  </si>
  <si>
    <t xml:space="preserve">T-100269</t>
  </si>
  <si>
    <t xml:space="preserve">TXN7461954</t>
  </si>
  <si>
    <t xml:space="preserve">T-100260</t>
  </si>
  <si>
    <t xml:space="preserve">TXN4655894</t>
  </si>
  <si>
    <t xml:space="preserve">T-100299</t>
  </si>
  <si>
    <t xml:space="preserve">TXN3934757</t>
  </si>
  <si>
    <t xml:space="preserve">T-100308</t>
  </si>
  <si>
    <t xml:space="preserve">TXN2470960</t>
  </si>
  <si>
    <t xml:space="preserve">T-100293</t>
  </si>
  <si>
    <t xml:space="preserve">TXN6181448</t>
  </si>
  <si>
    <t xml:space="preserve">T-100292</t>
  </si>
  <si>
    <t xml:space="preserve">TXN3264476</t>
  </si>
  <si>
    <t xml:space="preserve">T-100310</t>
  </si>
  <si>
    <t xml:space="preserve">TXN2712737</t>
  </si>
  <si>
    <t xml:space="preserve">T-100309</t>
  </si>
  <si>
    <t xml:space="preserve">TXN9336493</t>
  </si>
  <si>
    <t xml:space="preserve">T-100317</t>
  </si>
  <si>
    <t xml:space="preserve">TXN9158073</t>
  </si>
  <si>
    <t xml:space="preserve">T-100322</t>
  </si>
  <si>
    <t xml:space="preserve">TXN3721130</t>
  </si>
  <si>
    <t xml:space="preserve">T-100314</t>
  </si>
  <si>
    <t xml:space="preserve">TXN3184943</t>
  </si>
  <si>
    <t xml:space="preserve">T-100304</t>
  </si>
  <si>
    <t xml:space="preserve">TXN1115984</t>
  </si>
  <si>
    <t xml:space="preserve">T-100313</t>
  </si>
  <si>
    <t xml:space="preserve">TXN2178984</t>
  </si>
  <si>
    <t xml:space="preserve">T-100319</t>
  </si>
  <si>
    <t xml:space="preserve">TXN6110360</t>
  </si>
  <si>
    <t xml:space="preserve">T-100291</t>
  </si>
  <si>
    <t xml:space="preserve">TXN8799309</t>
  </si>
  <si>
    <t xml:space="preserve">T-100305</t>
  </si>
  <si>
    <t xml:space="preserve">TXN3255342</t>
  </si>
  <si>
    <t xml:space="preserve">T-100318</t>
  </si>
  <si>
    <t xml:space="preserve">TXN4682260</t>
  </si>
  <si>
    <t xml:space="preserve">T-100298</t>
  </si>
  <si>
    <t xml:space="preserve">TXN4226782</t>
  </si>
  <si>
    <t xml:space="preserve">T-100306</t>
  </si>
  <si>
    <t xml:space="preserve">TXN2543252</t>
  </si>
  <si>
    <t xml:space="preserve">T-100300</t>
  </si>
  <si>
    <t xml:space="preserve">TXN2100648</t>
  </si>
  <si>
    <t xml:space="preserve">T-100321</t>
  </si>
  <si>
    <t xml:space="preserve">TXN4696140</t>
  </si>
  <si>
    <t xml:space="preserve">T-100316</t>
  </si>
  <si>
    <t xml:space="preserve">TXN4537388</t>
  </si>
  <si>
    <t xml:space="preserve">T-100312</t>
  </si>
  <si>
    <t xml:space="preserve">TXN6983230</t>
  </si>
  <si>
    <t xml:space="preserve">T-100294</t>
  </si>
  <si>
    <t xml:space="preserve">TXN6324364</t>
  </si>
  <si>
    <t xml:space="preserve">T-100303</t>
  </si>
  <si>
    <t xml:space="preserve">TXN4926904</t>
  </si>
  <si>
    <t xml:space="preserve">T-100307</t>
  </si>
  <si>
    <t xml:space="preserve">TXN7164739</t>
  </si>
  <si>
    <t xml:space="preserve">T-100302</t>
  </si>
  <si>
    <t xml:space="preserve">TXN7581813</t>
  </si>
  <si>
    <t xml:space="preserve">T-100311</t>
  </si>
  <si>
    <t xml:space="preserve">TXN4639983</t>
  </si>
  <si>
    <t xml:space="preserve">T-100320</t>
  </si>
  <si>
    <t xml:space="preserve">TXN8768951</t>
  </si>
  <si>
    <t xml:space="preserve">T-100315</t>
  </si>
  <si>
    <t xml:space="preserve">TXN5131375</t>
  </si>
  <si>
    <t xml:space="preserve">T-100295</t>
  </si>
  <si>
    <t xml:space="preserve">TXN3720418</t>
  </si>
  <si>
    <t xml:space="preserve">T-100328</t>
  </si>
  <si>
    <t xml:space="preserve">TXN8049666</t>
  </si>
  <si>
    <t xml:space="preserve">T-100341</t>
  </si>
  <si>
    <t xml:space="preserve">TXN9627962</t>
  </si>
  <si>
    <t xml:space="preserve">T-100332</t>
  </si>
  <si>
    <t xml:space="preserve">TXN7354581</t>
  </si>
  <si>
    <t xml:space="preserve">T-100323</t>
  </si>
  <si>
    <t xml:space="preserve">TXN1528015</t>
  </si>
  <si>
    <t xml:space="preserve">T-100347</t>
  </si>
  <si>
    <t xml:space="preserve">TXN5079683</t>
  </si>
  <si>
    <t xml:space="preserve">T-100337</t>
  </si>
  <si>
    <t xml:space="preserve">TXN7210749</t>
  </si>
  <si>
    <t xml:space="preserve">T-100325</t>
  </si>
  <si>
    <t xml:space="preserve">TXN5804323</t>
  </si>
  <si>
    <t xml:space="preserve">T-100353</t>
  </si>
  <si>
    <t xml:space="preserve">TXN2026367</t>
  </si>
  <si>
    <t xml:space="preserve">T-100326</t>
  </si>
  <si>
    <t xml:space="preserve">TXN8538561</t>
  </si>
  <si>
    <t xml:space="preserve">T-100330</t>
  </si>
  <si>
    <t xml:space="preserve">TXN9467611</t>
  </si>
  <si>
    <t xml:space="preserve">T-100358</t>
  </si>
  <si>
    <t xml:space="preserve">TXN8931967</t>
  </si>
  <si>
    <t xml:space="preserve">T-100343</t>
  </si>
  <si>
    <t xml:space="preserve">TXN2269705</t>
  </si>
  <si>
    <t xml:space="preserve">T-100354</t>
  </si>
  <si>
    <t xml:space="preserve">TXN1717521</t>
  </si>
  <si>
    <t xml:space="preserve">T-100335</t>
  </si>
  <si>
    <t xml:space="preserve">TXN4381919</t>
  </si>
  <si>
    <t xml:space="preserve">T-100357</t>
  </si>
  <si>
    <t xml:space="preserve">TXN6109147</t>
  </si>
  <si>
    <t xml:space="preserve">T-100336</t>
  </si>
  <si>
    <t xml:space="preserve">TXN2559066</t>
  </si>
  <si>
    <t xml:space="preserve">T-100346</t>
  </si>
  <si>
    <t xml:space="preserve">TXN9574600</t>
  </si>
  <si>
    <t xml:space="preserve">T-100351</t>
  </si>
  <si>
    <t xml:space="preserve">TXN9611924</t>
  </si>
  <si>
    <t xml:space="preserve">T-100334</t>
  </si>
  <si>
    <t xml:space="preserve">TXN6268180</t>
  </si>
  <si>
    <t xml:space="preserve">T-100355</t>
  </si>
  <si>
    <t xml:space="preserve">TXN8299125</t>
  </si>
  <si>
    <t xml:space="preserve">T-100340</t>
  </si>
  <si>
    <t xml:space="preserve">TXN9521152</t>
  </si>
  <si>
    <t xml:space="preserve">T-100331</t>
  </si>
  <si>
    <t xml:space="preserve">TXN6741246</t>
  </si>
  <si>
    <t xml:space="preserve">T-100352</t>
  </si>
  <si>
    <t xml:space="preserve">TXN9589615</t>
  </si>
  <si>
    <t xml:space="preserve">T-100356</t>
  </si>
  <si>
    <t xml:space="preserve">TXN5698339</t>
  </si>
  <si>
    <t xml:space="preserve">T-100344</t>
  </si>
  <si>
    <t xml:space="preserve">TXN5419137</t>
  </si>
  <si>
    <t xml:space="preserve">T-100333</t>
  </si>
  <si>
    <t xml:space="preserve">TXN1719511</t>
  </si>
  <si>
    <t xml:space="preserve">T-100327</t>
  </si>
  <si>
    <t xml:space="preserve">TXN3206904</t>
  </si>
  <si>
    <t xml:space="preserve">T-100345</t>
  </si>
  <si>
    <t xml:space="preserve">TXN5024076</t>
  </si>
  <si>
    <t xml:space="preserve">T-100348</t>
  </si>
  <si>
    <t xml:space="preserve">TXN3895432</t>
  </si>
  <si>
    <t xml:space="preserve">T-100342</t>
  </si>
  <si>
    <t xml:space="preserve">TXN2464862</t>
  </si>
  <si>
    <t xml:space="preserve">T-100329</t>
  </si>
  <si>
    <t xml:space="preserve">TXN5141440</t>
  </si>
  <si>
    <t xml:space="preserve">T-100324</t>
  </si>
  <si>
    <t xml:space="preserve">TXN6934690</t>
  </si>
  <si>
    <t xml:space="preserve">T-100349</t>
  </si>
  <si>
    <t xml:space="preserve">TXN8140532</t>
  </si>
  <si>
    <t xml:space="preserve">T-100339</t>
  </si>
  <si>
    <t xml:space="preserve">TXN8703309</t>
  </si>
  <si>
    <t xml:space="preserve">T-100380</t>
  </si>
  <si>
    <t xml:space="preserve">TXN7966061</t>
  </si>
  <si>
    <t xml:space="preserve">T-100361</t>
  </si>
  <si>
    <t xml:space="preserve">TXN9734262</t>
  </si>
  <si>
    <t xml:space="preserve">T-100384</t>
  </si>
  <si>
    <t xml:space="preserve">TXN6217594</t>
  </si>
  <si>
    <t xml:space="preserve">T-100386</t>
  </si>
  <si>
    <t xml:space="preserve">TXN9723023</t>
  </si>
  <si>
    <t xml:space="preserve">T-100390</t>
  </si>
  <si>
    <t xml:space="preserve">TXN1678508</t>
  </si>
  <si>
    <t xml:space="preserve">T-100385</t>
  </si>
  <si>
    <t xml:space="preserve">TXN1064996</t>
  </si>
  <si>
    <t xml:space="preserve">T-100369</t>
  </si>
  <si>
    <t xml:space="preserve">TXN6895239</t>
  </si>
  <si>
    <t xml:space="preserve">T-100367</t>
  </si>
  <si>
    <t xml:space="preserve">TXN2447238</t>
  </si>
  <si>
    <t xml:space="preserve">T-100370</t>
  </si>
  <si>
    <t xml:space="preserve">TXN7809959</t>
  </si>
  <si>
    <t xml:space="preserve">T-100364</t>
  </si>
  <si>
    <t xml:space="preserve">TXN7545317</t>
  </si>
  <si>
    <t xml:space="preserve">T-100371</t>
  </si>
  <si>
    <t xml:space="preserve">TXN9271519</t>
  </si>
  <si>
    <t xml:space="preserve">T-100360</t>
  </si>
  <si>
    <t xml:space="preserve">TXN2009182</t>
  </si>
  <si>
    <t xml:space="preserve">T-100363</t>
  </si>
  <si>
    <t xml:space="preserve">TXN5872946</t>
  </si>
  <si>
    <t xml:space="preserve">T-100365</t>
  </si>
  <si>
    <t xml:space="preserve">TXN4187038</t>
  </si>
  <si>
    <t xml:space="preserve">T-100368</t>
  </si>
  <si>
    <t xml:space="preserve">TXN8477460</t>
  </si>
  <si>
    <t xml:space="preserve">T-100366</t>
  </si>
  <si>
    <t xml:space="preserve">TXN3309212</t>
  </si>
  <si>
    <t xml:space="preserve">T-100387</t>
  </si>
  <si>
    <t xml:space="preserve">TXN8983910</t>
  </si>
  <si>
    <t xml:space="preserve">T-100359</t>
  </si>
  <si>
    <t xml:space="preserve">TXN1601349</t>
  </si>
  <si>
    <t xml:space="preserve">T-100375</t>
  </si>
  <si>
    <t xml:space="preserve">TXN4949796</t>
  </si>
  <si>
    <t xml:space="preserve">T-100377</t>
  </si>
  <si>
    <t xml:space="preserve">TXN2874565</t>
  </si>
  <si>
    <t xml:space="preserve">T-100376</t>
  </si>
  <si>
    <t xml:space="preserve">TXN9483819</t>
  </si>
  <si>
    <t xml:space="preserve">T-100383</t>
  </si>
  <si>
    <t xml:space="preserve">TXN5973946</t>
  </si>
  <si>
    <t xml:space="preserve">T-100389</t>
  </si>
  <si>
    <t xml:space="preserve">TXN5759356</t>
  </si>
  <si>
    <t xml:space="preserve">T-100373</t>
  </si>
  <si>
    <t xml:space="preserve">TXN5804745</t>
  </si>
  <si>
    <t xml:space="preserve">T-100381</t>
  </si>
  <si>
    <t xml:space="preserve">TXN3204748</t>
  </si>
  <si>
    <t xml:space="preserve">T-100378</t>
  </si>
  <si>
    <t xml:space="preserve">TXN4610246</t>
  </si>
  <si>
    <t xml:space="preserve">T-100374</t>
  </si>
  <si>
    <t xml:space="preserve">TXN5218999</t>
  </si>
  <si>
    <t xml:space="preserve">T-100379</t>
  </si>
  <si>
    <t xml:space="preserve">TXN5456213</t>
  </si>
  <si>
    <t xml:space="preserve">T-100405</t>
  </si>
  <si>
    <t xml:space="preserve">TXN3813853</t>
  </si>
  <si>
    <t xml:space="preserve">T-100397</t>
  </si>
  <si>
    <t xml:space="preserve">TXN1264017</t>
  </si>
  <si>
    <t xml:space="preserve">T-100407</t>
  </si>
  <si>
    <t xml:space="preserve">TXN5366076</t>
  </si>
  <si>
    <t xml:space="preserve">T-100412</t>
  </si>
  <si>
    <t xml:space="preserve">TXN6201726</t>
  </si>
  <si>
    <t xml:space="preserve">T-100416</t>
  </si>
  <si>
    <t xml:space="preserve">TXN4757543</t>
  </si>
  <si>
    <t xml:space="preserve">T-100414</t>
  </si>
  <si>
    <t xml:space="preserve">TXN8956330</t>
  </si>
  <si>
    <t xml:space="preserve">T-100409</t>
  </si>
  <si>
    <t xml:space="preserve">TXN8034119</t>
  </si>
  <si>
    <t xml:space="preserve">T-100396</t>
  </si>
  <si>
    <t xml:space="preserve">TXN2095607</t>
  </si>
  <si>
    <t xml:space="preserve">T-100398</t>
  </si>
  <si>
    <t xml:space="preserve">TXN3859951</t>
  </si>
  <si>
    <t xml:space="preserve">T-100400</t>
  </si>
  <si>
    <t xml:space="preserve">TXN2929416</t>
  </si>
  <si>
    <t xml:space="preserve">T-100406</t>
  </si>
  <si>
    <t xml:space="preserve">TXN7683505</t>
  </si>
  <si>
    <t xml:space="preserve">T-100391</t>
  </si>
  <si>
    <t xml:space="preserve">TXN3588294</t>
  </si>
  <si>
    <t xml:space="preserve">T-100411</t>
  </si>
  <si>
    <t xml:space="preserve">TXN7883103</t>
  </si>
  <si>
    <t xml:space="preserve">T-100418</t>
  </si>
  <si>
    <t xml:space="preserve">TXN3395681</t>
  </si>
  <si>
    <t xml:space="preserve">T-100413</t>
  </si>
  <si>
    <t xml:space="preserve">TXN4499041</t>
  </si>
  <si>
    <t xml:space="preserve">T-100410</t>
  </si>
  <si>
    <t xml:space="preserve">TXN3822503</t>
  </si>
  <si>
    <t xml:space="preserve">T-100393</t>
  </si>
  <si>
    <t xml:space="preserve">TXN6297715</t>
  </si>
  <si>
    <t xml:space="preserve">T-100415</t>
  </si>
  <si>
    <t xml:space="preserve">TXN4206566</t>
  </si>
  <si>
    <t xml:space="preserve">T-100408</t>
  </si>
  <si>
    <t xml:space="preserve">TXN8924721</t>
  </si>
  <si>
    <t xml:space="preserve">T-100401</t>
  </si>
  <si>
    <t xml:space="preserve">TXN1009007</t>
  </si>
  <si>
    <t xml:space="preserve">T-100395</t>
  </si>
  <si>
    <t xml:space="preserve">TXN1332375</t>
  </si>
  <si>
    <t xml:space="preserve">T-100417</t>
  </si>
  <si>
    <t xml:space="preserve">TXN1103796</t>
  </si>
  <si>
    <t xml:space="preserve">T-100404</t>
  </si>
  <si>
    <t xml:space="preserve">TXN2680683</t>
  </si>
  <si>
    <t xml:space="preserve">T-100394</t>
  </si>
  <si>
    <t xml:space="preserve">TXN6851830</t>
  </si>
  <si>
    <t xml:space="preserve">T-100402</t>
  </si>
  <si>
    <t xml:space="preserve">TXN6104846</t>
  </si>
  <si>
    <t xml:space="preserve">T-100399</t>
  </si>
  <si>
    <t xml:space="preserve">TXN9593882</t>
  </si>
  <si>
    <t xml:space="preserve">T-100403</t>
  </si>
  <si>
    <t xml:space="preserve">TXN9203199</t>
  </si>
  <si>
    <t xml:space="preserve">T-100463</t>
  </si>
  <si>
    <t xml:space="preserve">TXN9795905</t>
  </si>
  <si>
    <t xml:space="preserve">T-100450</t>
  </si>
  <si>
    <t xml:space="preserve">TXN9721889</t>
  </si>
  <si>
    <t xml:space="preserve">T-100464</t>
  </si>
  <si>
    <t xml:space="preserve">TXN2461250</t>
  </si>
  <si>
    <t xml:space="preserve">T-100447</t>
  </si>
  <si>
    <t xml:space="preserve">TXN1218447</t>
  </si>
  <si>
    <t xml:space="preserve">T-100431</t>
  </si>
  <si>
    <t xml:space="preserve">TXN3567004</t>
  </si>
  <si>
    <t xml:space="preserve">T-100427</t>
  </si>
  <si>
    <t xml:space="preserve">TXN9700846</t>
  </si>
  <si>
    <t xml:space="preserve">T-100419</t>
  </si>
  <si>
    <t xml:space="preserve">TXN5419990</t>
  </si>
  <si>
    <t xml:space="preserve">T-100451</t>
  </si>
  <si>
    <t xml:space="preserve">TXN1620564</t>
  </si>
  <si>
    <t xml:space="preserve">T-100432</t>
  </si>
  <si>
    <t xml:space="preserve">TXN4379182</t>
  </si>
  <si>
    <t xml:space="preserve">T-100442</t>
  </si>
  <si>
    <t xml:space="preserve">TXN7847785</t>
  </si>
  <si>
    <t xml:space="preserve">T-100453</t>
  </si>
  <si>
    <t xml:space="preserve">TXN9141895</t>
  </si>
  <si>
    <t xml:space="preserve">T-100455</t>
  </si>
  <si>
    <t xml:space="preserve">TXN6389699</t>
  </si>
  <si>
    <t xml:space="preserve">T-100429</t>
  </si>
  <si>
    <t xml:space="preserve">TXN8912878</t>
  </si>
  <si>
    <t xml:space="preserve">T-100436</t>
  </si>
  <si>
    <t xml:space="preserve">TXN2526999</t>
  </si>
  <si>
    <t xml:space="preserve">T-100443</t>
  </si>
  <si>
    <t xml:space="preserve">TXN4836743</t>
  </si>
  <si>
    <t xml:space="preserve">T-100433</t>
  </si>
  <si>
    <t xml:space="preserve">TXN1526754</t>
  </si>
  <si>
    <t xml:space="preserve">T-100441</t>
  </si>
  <si>
    <t xml:space="preserve">TXN9059477</t>
  </si>
  <si>
    <t xml:space="preserve">T-100420</t>
  </si>
  <si>
    <t xml:space="preserve">TXN8336650</t>
  </si>
  <si>
    <t xml:space="preserve">T-100465</t>
  </si>
  <si>
    <t xml:space="preserve">TXN6110800</t>
  </si>
  <si>
    <t xml:space="preserve">T-100444</t>
  </si>
  <si>
    <t xml:space="preserve">TXN2682965</t>
  </si>
  <si>
    <t xml:space="preserve">T-100457</t>
  </si>
  <si>
    <t xml:space="preserve">TXN2325389</t>
  </si>
  <si>
    <t xml:space="preserve">T-100421</t>
  </si>
  <si>
    <t xml:space="preserve">TXN4852588</t>
  </si>
  <si>
    <t xml:space="preserve">T-100426</t>
  </si>
  <si>
    <t xml:space="preserve">TXN6745952</t>
  </si>
  <si>
    <t xml:space="preserve">T-100459</t>
  </si>
  <si>
    <t xml:space="preserve">TXN1171839</t>
  </si>
  <si>
    <t xml:space="preserve">T-100428</t>
  </si>
  <si>
    <t xml:space="preserve">TXN7925993</t>
  </si>
  <si>
    <t xml:space="preserve">T-100424</t>
  </si>
  <si>
    <t xml:space="preserve">TXN2388616</t>
  </si>
  <si>
    <t xml:space="preserve">T-100435</t>
  </si>
  <si>
    <t xml:space="preserve">TXN1119983</t>
  </si>
  <si>
    <t xml:space="preserve">T-100454</t>
  </si>
  <si>
    <t xml:space="preserve">TXN5727414</t>
  </si>
  <si>
    <t xml:space="preserve">T-100446</t>
  </si>
  <si>
    <t xml:space="preserve">TXN4760441</t>
  </si>
  <si>
    <t xml:space="preserve">T-100460</t>
  </si>
  <si>
    <t xml:space="preserve">TXN2514906</t>
  </si>
  <si>
    <t xml:space="preserve">T-100423</t>
  </si>
  <si>
    <t xml:space="preserve">TXN9518954</t>
  </si>
  <si>
    <t xml:space="preserve">T-100458</t>
  </si>
  <si>
    <t xml:space="preserve">TXN6779580</t>
  </si>
  <si>
    <t xml:space="preserve">T-100425</t>
  </si>
  <si>
    <t xml:space="preserve">TXN8663714</t>
  </si>
  <si>
    <t xml:space="preserve">T-100438</t>
  </si>
  <si>
    <t xml:space="preserve">TXN2844245</t>
  </si>
  <si>
    <t xml:space="preserve">T-100448</t>
  </si>
  <si>
    <t xml:space="preserve">TXN3659683</t>
  </si>
  <si>
    <t xml:space="preserve">T-100434</t>
  </si>
  <si>
    <t xml:space="preserve">TXN9672696</t>
  </si>
  <si>
    <t xml:space="preserve">T-100462</t>
  </si>
  <si>
    <t xml:space="preserve">TXN5745089</t>
  </si>
  <si>
    <t xml:space="preserve">T-100430</t>
  </si>
  <si>
    <t xml:space="preserve">TXN5573542</t>
  </si>
  <si>
    <t xml:space="preserve">T-100461</t>
  </si>
  <si>
    <t xml:space="preserve">TXN9621633</t>
  </si>
  <si>
    <t xml:space="preserve">T-100440</t>
  </si>
  <si>
    <t xml:space="preserve">TXN2814136</t>
  </si>
  <si>
    <t xml:space="preserve">T-100445</t>
  </si>
  <si>
    <t xml:space="preserve">TXN2196583</t>
  </si>
  <si>
    <t xml:space="preserve">T-100456</t>
  </si>
  <si>
    <t xml:space="preserve">TXN5402084</t>
  </si>
  <si>
    <t xml:space="preserve">T-100437</t>
  </si>
  <si>
    <t xml:space="preserve">TXN1241057</t>
  </si>
  <si>
    <t xml:space="preserve">T-100439</t>
  </si>
  <si>
    <t xml:space="preserve">TXN9432353</t>
  </si>
  <si>
    <t xml:space="preserve">T-100449</t>
  </si>
  <si>
    <t xml:space="preserve">TXN5465093</t>
  </si>
  <si>
    <t xml:space="preserve">T-100422</t>
  </si>
  <si>
    <t xml:space="preserve">TXN6415600</t>
  </si>
  <si>
    <t xml:space="preserve">T-100482</t>
  </si>
  <si>
    <t xml:space="preserve">TXN9346513</t>
  </si>
  <si>
    <t xml:space="preserve">T-100487</t>
  </si>
  <si>
    <t xml:space="preserve">TXN7742644</t>
  </si>
  <si>
    <t xml:space="preserve">T-100488</t>
  </si>
  <si>
    <t xml:space="preserve">TXN9018880</t>
  </si>
  <si>
    <t xml:space="preserve">T-100470</t>
  </si>
  <si>
    <t xml:space="preserve">TXN8327901</t>
  </si>
  <si>
    <t xml:space="preserve">T-100490</t>
  </si>
  <si>
    <t xml:space="preserve">TXN5413560</t>
  </si>
  <si>
    <t xml:space="preserve">T-100485</t>
  </si>
  <si>
    <t xml:space="preserve">TXN1241934</t>
  </si>
  <si>
    <t xml:space="preserve">T-100497</t>
  </si>
  <si>
    <t xml:space="preserve">TXN4915606</t>
  </si>
  <si>
    <t xml:space="preserve">T-100483</t>
  </si>
  <si>
    <t xml:space="preserve">TXN4849423</t>
  </si>
  <si>
    <t xml:space="preserve">T-100469</t>
  </si>
  <si>
    <t xml:space="preserve">TXN6053884</t>
  </si>
  <si>
    <t xml:space="preserve">T-100466</t>
  </si>
  <si>
    <t xml:space="preserve">TXN4979698</t>
  </si>
  <si>
    <t xml:space="preserve">T-100476</t>
  </si>
  <si>
    <t xml:space="preserve">TXN9353307</t>
  </si>
  <si>
    <t xml:space="preserve">T-100481</t>
  </si>
  <si>
    <t xml:space="preserve">TXN1282519</t>
  </si>
  <si>
    <t xml:space="preserve">T-100468</t>
  </si>
  <si>
    <t xml:space="preserve">TXN5445298</t>
  </si>
  <si>
    <t xml:space="preserve">T-100491</t>
  </si>
  <si>
    <t xml:space="preserve">TXN8529102</t>
  </si>
  <si>
    <t xml:space="preserve">T-100480</t>
  </si>
  <si>
    <t xml:space="preserve">TXN3720228</t>
  </si>
  <si>
    <t xml:space="preserve">T-100477</t>
  </si>
  <si>
    <t xml:space="preserve">TXN3030411</t>
  </si>
  <si>
    <t xml:space="preserve">T-100493</t>
  </si>
  <si>
    <t xml:space="preserve">TXN1346267</t>
  </si>
  <si>
    <t xml:space="preserve">T-100486</t>
  </si>
  <si>
    <t xml:space="preserve">TXN3507045</t>
  </si>
  <si>
    <t xml:space="preserve">T-100479</t>
  </si>
  <si>
    <t xml:space="preserve">TXN7361322</t>
  </si>
  <si>
    <t xml:space="preserve">T-100471</t>
  </si>
  <si>
    <t xml:space="preserve">TXN1303553</t>
  </si>
  <si>
    <t xml:space="preserve">T-100478</t>
  </si>
  <si>
    <t xml:space="preserve">TXN4901442</t>
  </si>
  <si>
    <t xml:space="preserve">T-100474</t>
  </si>
  <si>
    <t xml:space="preserve">TXN3791227</t>
  </si>
  <si>
    <t xml:space="preserve">T-100492</t>
  </si>
  <si>
    <t xml:space="preserve">TXN2483527</t>
  </si>
  <si>
    <t xml:space="preserve">T-100467</t>
  </si>
  <si>
    <t xml:space="preserve">TXN3836939</t>
  </si>
  <si>
    <t xml:space="preserve">T-100484</t>
  </si>
  <si>
    <t xml:space="preserve">TXN5382146</t>
  </si>
  <si>
    <t xml:space="preserve">T-100494</t>
  </si>
  <si>
    <t xml:space="preserve">TXN2299127</t>
  </si>
  <si>
    <t xml:space="preserve">T-100496</t>
  </si>
  <si>
    <t xml:space="preserve">TXN3789305</t>
  </si>
  <si>
    <t xml:space="preserve">T-100495</t>
  </si>
  <si>
    <t xml:space="preserve">TXN8671145</t>
  </si>
  <si>
    <t xml:space="preserve">T-100519</t>
  </si>
  <si>
    <t xml:space="preserve">TXN2672796</t>
  </si>
  <si>
    <t xml:space="preserve">T-100515</t>
  </si>
  <si>
    <t xml:space="preserve">TXN2767875</t>
  </si>
  <si>
    <t xml:space="preserve">T-100507</t>
  </si>
  <si>
    <t xml:space="preserve">TXN5020525</t>
  </si>
  <si>
    <t xml:space="preserve">T-100513</t>
  </si>
  <si>
    <t xml:space="preserve">TXN5233761</t>
  </si>
  <si>
    <t xml:space="preserve">T-100510</t>
  </si>
  <si>
    <t xml:space="preserve">TXN3169608</t>
  </si>
  <si>
    <t xml:space="preserve">T-100503</t>
  </si>
  <si>
    <t xml:space="preserve">TXN1529341</t>
  </si>
  <si>
    <t xml:space="preserve">T-100505</t>
  </si>
  <si>
    <t xml:space="preserve">TXN4336313</t>
  </si>
  <si>
    <t xml:space="preserve">T-100502</t>
  </si>
  <si>
    <t xml:space="preserve">TXN2717857</t>
  </si>
  <si>
    <t xml:space="preserve">T-100498</t>
  </si>
  <si>
    <t xml:space="preserve">TXN9452530</t>
  </si>
  <si>
    <t xml:space="preserve">T-100521</t>
  </si>
  <si>
    <t xml:space="preserve">TXN9060829</t>
  </si>
  <si>
    <t xml:space="preserve">T-100516</t>
  </si>
  <si>
    <t xml:space="preserve">TXN9401249</t>
  </si>
  <si>
    <t xml:space="preserve">T-100508</t>
  </si>
  <si>
    <t xml:space="preserve">TXN9050730</t>
  </si>
  <si>
    <t xml:space="preserve">T-100504</t>
  </si>
  <si>
    <t xml:space="preserve">TXN9440363</t>
  </si>
  <si>
    <t xml:space="preserve">T-100501</t>
  </si>
  <si>
    <t xml:space="preserve">TXN3429560</t>
  </si>
  <si>
    <t xml:space="preserve">T-100520</t>
  </si>
  <si>
    <t xml:space="preserve">TXN4273275</t>
  </si>
  <si>
    <t xml:space="preserve">T-100500</t>
  </si>
  <si>
    <t xml:space="preserve">TXN6020691</t>
  </si>
  <si>
    <t xml:space="preserve">T-100523</t>
  </si>
  <si>
    <t xml:space="preserve">TXN5722682</t>
  </si>
  <si>
    <t xml:space="preserve">T-100522</t>
  </si>
  <si>
    <t xml:space="preserve">TXN6360443</t>
  </si>
  <si>
    <t xml:space="preserve">T-100518</t>
  </si>
  <si>
    <t xml:space="preserve">TXN1942422</t>
  </si>
  <si>
    <t xml:space="preserve">T-100506</t>
  </si>
  <si>
    <t xml:space="preserve">TXN4077116</t>
  </si>
  <si>
    <t xml:space="preserve">T-100511</t>
  </si>
  <si>
    <t xml:space="preserve">TXN5961020</t>
  </si>
  <si>
    <t xml:space="preserve">T-100509</t>
  </si>
  <si>
    <t xml:space="preserve">TXN1125342</t>
  </si>
  <si>
    <t xml:space="preserve">T-100517</t>
  </si>
  <si>
    <t xml:space="preserve">TXN8221526</t>
  </si>
  <si>
    <t xml:space="preserve">T-100530</t>
  </si>
  <si>
    <t xml:space="preserve">TXN9468982</t>
  </si>
  <si>
    <t xml:space="preserve">T-100544</t>
  </si>
  <si>
    <t xml:space="preserve">TXN7032974</t>
  </si>
  <si>
    <t xml:space="preserve">T-100533</t>
  </si>
  <si>
    <t xml:space="preserve">TXN9489372</t>
  </si>
  <si>
    <t xml:space="preserve">T-100549</t>
  </si>
  <si>
    <t xml:space="preserve">TXN5118020</t>
  </si>
  <si>
    <t xml:space="preserve">T-100526</t>
  </si>
  <si>
    <t xml:space="preserve">TXN2036758</t>
  </si>
  <si>
    <t xml:space="preserve">T-100550</t>
  </si>
  <si>
    <t xml:space="preserve">TXN3590416</t>
  </si>
  <si>
    <t xml:space="preserve">T-100539</t>
  </si>
  <si>
    <t xml:space="preserve">TXN8508917</t>
  </si>
  <si>
    <t xml:space="preserve">T-100553</t>
  </si>
  <si>
    <t xml:space="preserve">TXN4229688</t>
  </si>
  <si>
    <t xml:space="preserve">T-100525</t>
  </si>
  <si>
    <t xml:space="preserve">TXN6769112</t>
  </si>
  <si>
    <t xml:space="preserve">T-100548</t>
  </si>
  <si>
    <t xml:space="preserve">TXN3982037</t>
  </si>
  <si>
    <t xml:space="preserve">T-100547</t>
  </si>
  <si>
    <t xml:space="preserve">TXN6778441</t>
  </si>
  <si>
    <t xml:space="preserve">T-100529</t>
  </si>
  <si>
    <t xml:space="preserve">TXN8156988</t>
  </si>
  <si>
    <t xml:space="preserve">T-100551</t>
  </si>
  <si>
    <t xml:space="preserve">TXN7845737</t>
  </si>
  <si>
    <t xml:space="preserve">T-100538</t>
  </si>
  <si>
    <t xml:space="preserve">TXN6509714</t>
  </si>
  <si>
    <t xml:space="preserve">T-100546</t>
  </si>
  <si>
    <t xml:space="preserve">TXN1746608</t>
  </si>
  <si>
    <t xml:space="preserve">T-100532</t>
  </si>
  <si>
    <t xml:space="preserve">TXN5921309</t>
  </si>
  <si>
    <t xml:space="preserve">T-100554</t>
  </si>
  <si>
    <t xml:space="preserve">TXN2084693</t>
  </si>
  <si>
    <t xml:space="preserve">T-100555</t>
  </si>
  <si>
    <t xml:space="preserve">TXN7352936</t>
  </si>
  <si>
    <t xml:space="preserve">T-100545</t>
  </si>
  <si>
    <t xml:space="preserve">TXN3270735</t>
  </si>
  <si>
    <t xml:space="preserve">T-100527</t>
  </si>
  <si>
    <t xml:space="preserve">TXN8165477</t>
  </si>
  <si>
    <t xml:space="preserve">T-100528</t>
  </si>
  <si>
    <t xml:space="preserve">TXN8438529</t>
  </si>
  <si>
    <t xml:space="preserve">T-100543</t>
  </si>
  <si>
    <t xml:space="preserve">TXN4555519</t>
  </si>
  <si>
    <t xml:space="preserve">T-100535</t>
  </si>
  <si>
    <t xml:space="preserve">TXN2728048</t>
  </si>
  <si>
    <t xml:space="preserve">T-100537</t>
  </si>
  <si>
    <t xml:space="preserve">TXN4065689</t>
  </si>
  <si>
    <t xml:space="preserve">T-100531</t>
  </si>
  <si>
    <t xml:space="preserve">TXN8329780</t>
  </si>
  <si>
    <t xml:space="preserve">T-100524</t>
  </si>
  <si>
    <t xml:space="preserve">TXN6715255</t>
  </si>
  <si>
    <t xml:space="preserve">T-100552</t>
  </si>
  <si>
    <t xml:space="preserve">TXN9276364</t>
  </si>
  <si>
    <t xml:space="preserve">T-100540</t>
  </si>
  <si>
    <t xml:space="preserve">TXN9257110</t>
  </si>
  <si>
    <t xml:space="preserve">T-100542</t>
  </si>
  <si>
    <t xml:space="preserve">TXN7836774</t>
  </si>
  <si>
    <t xml:space="preserve">T-100568</t>
  </si>
  <si>
    <t xml:space="preserve">TXN8940645</t>
  </si>
  <si>
    <t xml:space="preserve">T-100570</t>
  </si>
  <si>
    <t xml:space="preserve">TXN8958287</t>
  </si>
  <si>
    <t xml:space="preserve">T-100571</t>
  </si>
  <si>
    <t xml:space="preserve">TXN2242644</t>
  </si>
  <si>
    <t xml:space="preserve">T-100560</t>
  </si>
  <si>
    <t xml:space="preserve">TXN2207640</t>
  </si>
  <si>
    <t xml:space="preserve">T-100581</t>
  </si>
  <si>
    <t xml:space="preserve">TXN9576374</t>
  </si>
  <si>
    <t xml:space="preserve">T-100575</t>
  </si>
  <si>
    <t xml:space="preserve">TXN2491716</t>
  </si>
  <si>
    <t xml:space="preserve">T-100574</t>
  </si>
  <si>
    <t xml:space="preserve">TXN8150444</t>
  </si>
  <si>
    <t xml:space="preserve">T-100559</t>
  </si>
  <si>
    <t xml:space="preserve">TXN4004779</t>
  </si>
  <si>
    <t xml:space="preserve">T-100558</t>
  </si>
  <si>
    <t xml:space="preserve">TXN3230904</t>
  </si>
  <si>
    <t xml:space="preserve">T-100567</t>
  </si>
  <si>
    <t xml:space="preserve">TXN9134342</t>
  </si>
  <si>
    <t xml:space="preserve">T-100579</t>
  </si>
  <si>
    <t xml:space="preserve">TXN5648694</t>
  </si>
  <si>
    <t xml:space="preserve">T-100576</t>
  </si>
  <si>
    <t xml:space="preserve">TXN9498690</t>
  </si>
  <si>
    <t xml:space="preserve">T-100582</t>
  </si>
  <si>
    <t xml:space="preserve">TXN3851906</t>
  </si>
  <si>
    <t xml:space="preserve">T-100578</t>
  </si>
  <si>
    <t xml:space="preserve">TXN1344962</t>
  </si>
  <si>
    <t xml:space="preserve">T-100556</t>
  </si>
  <si>
    <t xml:space="preserve">TXN6464159</t>
  </si>
  <si>
    <t xml:space="preserve">T-100563</t>
  </si>
  <si>
    <t xml:space="preserve">TXN1682872</t>
  </si>
  <si>
    <t xml:space="preserve">T-100573</t>
  </si>
  <si>
    <t xml:space="preserve">TXN9988885</t>
  </si>
  <si>
    <t xml:space="preserve">T-100572</t>
  </si>
  <si>
    <t xml:space="preserve">TXN8661452</t>
  </si>
  <si>
    <t xml:space="preserve">T-100557</t>
  </si>
  <si>
    <t xml:space="preserve">TXN5429884</t>
  </si>
  <si>
    <t xml:space="preserve">T-100565</t>
  </si>
  <si>
    <t xml:space="preserve">TXN7720346</t>
  </si>
  <si>
    <t xml:space="preserve">T-100577</t>
  </si>
  <si>
    <t xml:space="preserve">TXN9050978</t>
  </si>
  <si>
    <t xml:space="preserve">T-100566</t>
  </si>
  <si>
    <t xml:space="preserve">TXN2408281</t>
  </si>
  <si>
    <t xml:space="preserve">T-100580</t>
  </si>
  <si>
    <t xml:space="preserve">TXN8460212</t>
  </si>
  <si>
    <t xml:space="preserve">T-100564</t>
  </si>
  <si>
    <t xml:space="preserve">TXN8715506</t>
  </si>
  <si>
    <t xml:space="preserve">T-100562</t>
  </si>
  <si>
    <t xml:space="preserve">TXN4361760</t>
  </si>
  <si>
    <t xml:space="preserve">T-100561</t>
  </si>
  <si>
    <t xml:space="preserve">TXN4203736</t>
  </si>
  <si>
    <t xml:space="preserve">T-100590</t>
  </si>
  <si>
    <t xml:space="preserve">TXN6691964</t>
  </si>
  <si>
    <t xml:space="preserve">T-100596</t>
  </si>
  <si>
    <t xml:space="preserve">TXN1306798</t>
  </si>
  <si>
    <t xml:space="preserve">T-100598</t>
  </si>
  <si>
    <t xml:space="preserve">TXN3433082</t>
  </si>
  <si>
    <t xml:space="preserve">T-100593</t>
  </si>
  <si>
    <t xml:space="preserve">TXN2795708</t>
  </si>
  <si>
    <t xml:space="preserve">T-100600</t>
  </si>
  <si>
    <t xml:space="preserve">TXN1151049</t>
  </si>
  <si>
    <t xml:space="preserve">T-100601</t>
  </si>
  <si>
    <t xml:space="preserve">TXN7986945</t>
  </si>
  <si>
    <t xml:space="preserve">T-100594</t>
  </si>
  <si>
    <t xml:space="preserve">TXN7545445</t>
  </si>
  <si>
    <t xml:space="preserve">T-100599</t>
  </si>
  <si>
    <t xml:space="preserve">TXN3407996</t>
  </si>
  <si>
    <t xml:space="preserve">T-100588</t>
  </si>
  <si>
    <t xml:space="preserve">TXN3018995</t>
  </si>
  <si>
    <t xml:space="preserve">T-100586</t>
  </si>
  <si>
    <t xml:space="preserve">TXN3566026</t>
  </si>
  <si>
    <t xml:space="preserve">T-100587</t>
  </si>
  <si>
    <t xml:space="preserve">TXN3299005</t>
  </si>
  <si>
    <t xml:space="preserve">T-100584</t>
  </si>
  <si>
    <t xml:space="preserve">TXN9196421</t>
  </si>
  <si>
    <t xml:space="preserve">T-100589</t>
  </si>
  <si>
    <t xml:space="preserve">TXN5301346</t>
  </si>
  <si>
    <t xml:space="preserve">T-100595</t>
  </si>
  <si>
    <t xml:space="preserve">TXN4264734</t>
  </si>
  <si>
    <t xml:space="preserve">T-100592</t>
  </si>
  <si>
    <t xml:space="preserve">TXN5766849</t>
  </si>
  <si>
    <t xml:space="preserve">T-100585</t>
  </si>
  <si>
    <t xml:space="preserve">TXN9510848</t>
  </si>
  <si>
    <t xml:space="preserve">T-100591</t>
  </si>
  <si>
    <t xml:space="preserve">TXN9183808</t>
  </si>
  <si>
    <t xml:space="preserve">T-100625</t>
  </si>
  <si>
    <t xml:space="preserve">TXN9004163</t>
  </si>
  <si>
    <t xml:space="preserve">T-100630</t>
  </si>
  <si>
    <t xml:space="preserve">TXN5764029</t>
  </si>
  <si>
    <t xml:space="preserve">T-100605</t>
  </si>
  <si>
    <t xml:space="preserve">TXN8890349</t>
  </si>
  <si>
    <t xml:space="preserve">T-100618</t>
  </si>
  <si>
    <t xml:space="preserve">TXN6038139</t>
  </si>
  <si>
    <t xml:space="preserve">T-100606</t>
  </si>
  <si>
    <t xml:space="preserve">TXN7252301</t>
  </si>
  <si>
    <t xml:space="preserve">T-100610</t>
  </si>
  <si>
    <t xml:space="preserve">TXN4878173</t>
  </si>
  <si>
    <t xml:space="preserve">T-100614</t>
  </si>
  <si>
    <t xml:space="preserve">TXN1431552</t>
  </si>
  <si>
    <t xml:space="preserve">T-100604</t>
  </si>
  <si>
    <t xml:space="preserve">TXN9779539</t>
  </si>
  <si>
    <t xml:space="preserve">T-100609</t>
  </si>
  <si>
    <t xml:space="preserve">TXN8210959</t>
  </si>
  <si>
    <t xml:space="preserve">T-100632</t>
  </si>
  <si>
    <t xml:space="preserve">TXN4436734</t>
  </si>
  <si>
    <t xml:space="preserve">T-100626</t>
  </si>
  <si>
    <t xml:space="preserve">TXN4172661</t>
  </si>
  <si>
    <t xml:space="preserve">T-100622</t>
  </si>
  <si>
    <t xml:space="preserve">TXN6476943</t>
  </si>
  <si>
    <t xml:space="preserve">T-100603</t>
  </si>
  <si>
    <t xml:space="preserve">TXN2206864</t>
  </si>
  <si>
    <t xml:space="preserve">T-100620</t>
  </si>
  <si>
    <t xml:space="preserve">TXN6106633</t>
  </si>
  <si>
    <t xml:space="preserve">T-100616</t>
  </si>
  <si>
    <t xml:space="preserve">TXN6612101</t>
  </si>
  <si>
    <t xml:space="preserve">T-100613</t>
  </si>
  <si>
    <t xml:space="preserve">TXN7306754</t>
  </si>
  <si>
    <t xml:space="preserve">T-100619</t>
  </si>
  <si>
    <t xml:space="preserve">TXN9902412</t>
  </si>
  <si>
    <t xml:space="preserve">T-100624</t>
  </si>
  <si>
    <t xml:space="preserve">TXN3381061</t>
  </si>
  <si>
    <t xml:space="preserve">T-100627</t>
  </si>
  <si>
    <t xml:space="preserve">TXN4097664</t>
  </si>
  <si>
    <t xml:space="preserve">T-100629</t>
  </si>
  <si>
    <t xml:space="preserve">TXN4168121</t>
  </si>
  <si>
    <t xml:space="preserve">T-100631</t>
  </si>
  <si>
    <t xml:space="preserve">TXN6452451</t>
  </si>
  <si>
    <t xml:space="preserve">T-100611</t>
  </si>
  <si>
    <t xml:space="preserve">TXN3424327</t>
  </si>
  <si>
    <t xml:space="preserve">T-100617</t>
  </si>
  <si>
    <t xml:space="preserve">TXN7243348</t>
  </si>
  <si>
    <t xml:space="preserve">T-100602</t>
  </si>
  <si>
    <t xml:space="preserve">TXN6755958</t>
  </si>
  <si>
    <t xml:space="preserve">T-100608</t>
  </si>
  <si>
    <t xml:space="preserve">TXN4812505</t>
  </si>
  <si>
    <t xml:space="preserve">T-100623</t>
  </si>
  <si>
    <t xml:space="preserve">TXN4524216</t>
  </si>
  <si>
    <t xml:space="preserve">T-100607</t>
  </si>
  <si>
    <t xml:space="preserve">TXN8197664</t>
  </si>
  <si>
    <t xml:space="preserve">T-100615</t>
  </si>
  <si>
    <t xml:space="preserve">TXN1052107</t>
  </si>
  <si>
    <t xml:space="preserve">T-100636</t>
  </si>
  <si>
    <t xml:space="preserve">TXN6207138</t>
  </si>
  <si>
    <t xml:space="preserve">T-100637</t>
  </si>
  <si>
    <t xml:space="preserve">TXN1794139</t>
  </si>
  <si>
    <t xml:space="preserve">T-100635</t>
  </si>
  <si>
    <t xml:space="preserve">TXN8602818</t>
  </si>
  <si>
    <t xml:space="preserve">T-100658</t>
  </si>
  <si>
    <t xml:space="preserve">TXN1534824</t>
  </si>
  <si>
    <t xml:space="preserve">T-100639</t>
  </si>
  <si>
    <t xml:space="preserve">TXN2718398</t>
  </si>
  <si>
    <t xml:space="preserve">T-100661</t>
  </si>
  <si>
    <t xml:space="preserve">TXN7874073</t>
  </si>
  <si>
    <t xml:space="preserve">T-100646</t>
  </si>
  <si>
    <t xml:space="preserve">TXN6114432</t>
  </si>
  <si>
    <t xml:space="preserve">T-100640</t>
  </si>
  <si>
    <t xml:space="preserve">TXN6223682</t>
  </si>
  <si>
    <t xml:space="preserve">T-100652</t>
  </si>
  <si>
    <t xml:space="preserve">TXN1014664</t>
  </si>
  <si>
    <t xml:space="preserve">T-100644</t>
  </si>
  <si>
    <t xml:space="preserve">TXN8268210</t>
  </si>
  <si>
    <t xml:space="preserve">T-100660</t>
  </si>
  <si>
    <t xml:space="preserve">TXN4578881</t>
  </si>
  <si>
    <t xml:space="preserve">T-100659</t>
  </si>
  <si>
    <t xml:space="preserve">TXN4481219</t>
  </si>
  <si>
    <t xml:space="preserve">T-100648</t>
  </si>
  <si>
    <t xml:space="preserve">TXN1163286</t>
  </si>
  <si>
    <t xml:space="preserve">T-100663</t>
  </si>
  <si>
    <t xml:space="preserve">TXN2966284</t>
  </si>
  <si>
    <t xml:space="preserve">T-100651</t>
  </si>
  <si>
    <t xml:space="preserve">TXN6137329</t>
  </si>
  <si>
    <t xml:space="preserve">T-100650</t>
  </si>
  <si>
    <t xml:space="preserve">TXN2388570</t>
  </si>
  <si>
    <t xml:space="preserve">T-100656</t>
  </si>
  <si>
    <t xml:space="preserve">TXN1343761</t>
  </si>
  <si>
    <t xml:space="preserve">T-100634</t>
  </si>
  <si>
    <t xml:space="preserve">TXN8072198</t>
  </si>
  <si>
    <t xml:space="preserve">T-100642</t>
  </si>
  <si>
    <t xml:space="preserve">TXN6155328</t>
  </si>
  <si>
    <t xml:space="preserve">T-100657</t>
  </si>
  <si>
    <t xml:space="preserve">TXN8229900</t>
  </si>
  <si>
    <t xml:space="preserve">T-100647</t>
  </si>
  <si>
    <t xml:space="preserve">TXN1863931</t>
  </si>
  <si>
    <t xml:space="preserve">T-100654</t>
  </si>
  <si>
    <t xml:space="preserve">TXN4663579</t>
  </si>
  <si>
    <t xml:space="preserve">T-100643</t>
  </si>
  <si>
    <t xml:space="preserve">TXN8789494</t>
  </si>
  <si>
    <t xml:space="preserve">T-100655</t>
  </si>
  <si>
    <t xml:space="preserve">TXN3291827</t>
  </si>
  <si>
    <t xml:space="preserve">T-100641</t>
  </si>
  <si>
    <t xml:space="preserve">TXN5575209</t>
  </si>
  <si>
    <t xml:space="preserve">T-100638</t>
  </si>
  <si>
    <t xml:space="preserve">TXN5292208</t>
  </si>
  <si>
    <t xml:space="preserve">T-100653</t>
  </si>
  <si>
    <t xml:space="preserve">TXN3822905</t>
  </si>
  <si>
    <t xml:space="preserve">T-100649</t>
  </si>
  <si>
    <t xml:space="preserve">TXN8395539</t>
  </si>
  <si>
    <t xml:space="preserve">T-100695</t>
  </si>
  <si>
    <t xml:space="preserve">TXN3592721</t>
  </si>
  <si>
    <t xml:space="preserve">T-100666</t>
  </si>
  <si>
    <t xml:space="preserve">TXN6290670</t>
  </si>
  <si>
    <t xml:space="preserve">T-100675</t>
  </si>
  <si>
    <t xml:space="preserve">TXN9889184</t>
  </si>
  <si>
    <t xml:space="preserve">T-100664</t>
  </si>
  <si>
    <t xml:space="preserve">TXN7058238</t>
  </si>
  <si>
    <t xml:space="preserve">T-100671</t>
  </si>
  <si>
    <t xml:space="preserve">TXN4232895</t>
  </si>
  <si>
    <t xml:space="preserve">T-100687</t>
  </si>
  <si>
    <t xml:space="preserve">TXN6504483</t>
  </si>
  <si>
    <t xml:space="preserve">T-100667</t>
  </si>
  <si>
    <t xml:space="preserve">TXN7896429</t>
  </si>
  <si>
    <t xml:space="preserve">T-100669</t>
  </si>
  <si>
    <t xml:space="preserve">TXN4900962</t>
  </si>
  <si>
    <t xml:space="preserve">T-100691</t>
  </si>
  <si>
    <t xml:space="preserve">TXN1825892</t>
  </si>
  <si>
    <t xml:space="preserve">T-100686</t>
  </si>
  <si>
    <t xml:space="preserve">TXN3408294</t>
  </si>
  <si>
    <t xml:space="preserve">T-100689</t>
  </si>
  <si>
    <t xml:space="preserve">TXN1200064</t>
  </si>
  <si>
    <t xml:space="preserve">T-100670</t>
  </si>
  <si>
    <t xml:space="preserve">TXN1166407</t>
  </si>
  <si>
    <t xml:space="preserve">T-100674</t>
  </si>
  <si>
    <t xml:space="preserve">TXN2942974</t>
  </si>
  <si>
    <t xml:space="preserve">T-100684</t>
  </si>
  <si>
    <t xml:space="preserve">TXN4117298</t>
  </si>
  <si>
    <t xml:space="preserve">T-100677</t>
  </si>
  <si>
    <t xml:space="preserve">TXN6538928</t>
  </si>
  <si>
    <t xml:space="preserve">T-100693</t>
  </si>
  <si>
    <t xml:space="preserve">TXN9801764</t>
  </si>
  <si>
    <t xml:space="preserve">T-100683</t>
  </si>
  <si>
    <t xml:space="preserve">TXN9766639</t>
  </si>
  <si>
    <t xml:space="preserve">T-100673</t>
  </si>
  <si>
    <t xml:space="preserve">TXN3997701</t>
  </si>
  <si>
    <t xml:space="preserve">T-100685</t>
  </si>
  <si>
    <t xml:space="preserve">TXN8320471</t>
  </si>
  <si>
    <t xml:space="preserve">T-100692</t>
  </si>
  <si>
    <t xml:space="preserve">TXN9524396</t>
  </si>
  <si>
    <t xml:space="preserve">T-100679</t>
  </si>
  <si>
    <t xml:space="preserve">TXN8784287</t>
  </si>
  <si>
    <t xml:space="preserve">T-100676</t>
  </si>
  <si>
    <t xml:space="preserve">TXN9799025</t>
  </si>
  <si>
    <t xml:space="preserve">T-100690</t>
  </si>
  <si>
    <t xml:space="preserve">TXN4413673</t>
  </si>
  <si>
    <t xml:space="preserve">T-100668</t>
  </si>
  <si>
    <t xml:space="preserve">TXN2105489</t>
  </si>
  <si>
    <t xml:space="preserve">T-100681</t>
  </si>
  <si>
    <t xml:space="preserve">TXN1034262</t>
  </si>
  <si>
    <t xml:space="preserve">T-100694</t>
  </si>
  <si>
    <t xml:space="preserve">TXN3318443</t>
  </si>
  <si>
    <t xml:space="preserve">T-100678</t>
  </si>
  <si>
    <t xml:space="preserve">TXN9073591</t>
  </si>
  <si>
    <t xml:space="preserve">T-100688</t>
  </si>
  <si>
    <t xml:space="preserve">TXN8328619</t>
  </si>
  <si>
    <t xml:space="preserve">T-100672</t>
  </si>
  <si>
    <t xml:space="preserve">TXN3191920</t>
  </si>
  <si>
    <t xml:space="preserve">T-100696</t>
  </si>
  <si>
    <t xml:space="preserve">TXN6157508</t>
  </si>
  <si>
    <t xml:space="preserve">T-100680</t>
  </si>
  <si>
    <t xml:space="preserve">TXN9262971</t>
  </si>
  <si>
    <t xml:space="preserve">T-100665</t>
  </si>
  <si>
    <t xml:space="preserve">TXN4466084</t>
  </si>
  <si>
    <t xml:space="preserve">T-100721</t>
  </si>
  <si>
    <t xml:space="preserve">TXN8830752</t>
  </si>
  <si>
    <t xml:space="preserve">2025-04</t>
  </si>
  <si>
    <t xml:space="preserve">T-100711</t>
  </si>
  <si>
    <t xml:space="preserve">TXN8597183</t>
  </si>
  <si>
    <t xml:space="preserve">T-100697</t>
  </si>
  <si>
    <t xml:space="preserve">TXN3697926</t>
  </si>
  <si>
    <t xml:space="preserve">T-100705</t>
  </si>
  <si>
    <t xml:space="preserve">TXN5827202</t>
  </si>
  <si>
    <t xml:space="preserve">T-100717</t>
  </si>
  <si>
    <t xml:space="preserve">TXN8913361</t>
  </si>
  <si>
    <t xml:space="preserve">T-100715</t>
  </si>
  <si>
    <t xml:space="preserve">TXN7874726</t>
  </si>
  <si>
    <t xml:space="preserve">T-100698</t>
  </si>
  <si>
    <t xml:space="preserve">TXN8694671</t>
  </si>
  <si>
    <t xml:space="preserve">T-100720</t>
  </si>
  <si>
    <t xml:space="preserve">TXN8740136</t>
  </si>
  <si>
    <t xml:space="preserve">T-100724</t>
  </si>
  <si>
    <t xml:space="preserve">TXN9577059</t>
  </si>
  <si>
    <t xml:space="preserve">T-100709</t>
  </si>
  <si>
    <t xml:space="preserve">TXN3931383</t>
  </si>
  <si>
    <t xml:space="preserve">T-100719</t>
  </si>
  <si>
    <t xml:space="preserve">TXN4958972</t>
  </si>
  <si>
    <t xml:space="preserve">T-100704</t>
  </si>
  <si>
    <t xml:space="preserve">TXN3914791</t>
  </si>
  <si>
    <t xml:space="preserve">T-100722</t>
  </si>
  <si>
    <t xml:space="preserve">TXN3121594</t>
  </si>
  <si>
    <t xml:space="preserve">T-100710</t>
  </si>
  <si>
    <t xml:space="preserve">TXN8934374</t>
  </si>
  <si>
    <t xml:space="preserve">T-100708</t>
  </si>
  <si>
    <t xml:space="preserve">TXN3266069</t>
  </si>
  <si>
    <t xml:space="preserve">T-100702</t>
  </si>
  <si>
    <t xml:space="preserve">TXN6617495</t>
  </si>
  <si>
    <t xml:space="preserve">T-100726</t>
  </si>
  <si>
    <t xml:space="preserve">TXN1920149</t>
  </si>
  <si>
    <t xml:space="preserve">T-100718</t>
  </si>
  <si>
    <t xml:space="preserve">TXN2210548</t>
  </si>
  <si>
    <t xml:space="preserve">T-100706</t>
  </si>
  <si>
    <t xml:space="preserve">TXN4534014</t>
  </si>
  <si>
    <t xml:space="preserve">T-100723</t>
  </si>
  <si>
    <t xml:space="preserve">TXN3810385</t>
  </si>
  <si>
    <t xml:space="preserve">T-100703</t>
  </si>
  <si>
    <t xml:space="preserve">TXN8858356</t>
  </si>
  <si>
    <t xml:space="preserve">T-100700</t>
  </si>
  <si>
    <t xml:space="preserve">TXN2100355</t>
  </si>
  <si>
    <t xml:space="preserve">T-100713</t>
  </si>
  <si>
    <t xml:space="preserve">TXN7525332</t>
  </si>
  <si>
    <t xml:space="preserve">T-100712</t>
  </si>
  <si>
    <t xml:space="preserve">TXN7918758</t>
  </si>
  <si>
    <t xml:space="preserve">T-100714</t>
  </si>
  <si>
    <t xml:space="preserve">TXN3914088</t>
  </si>
  <si>
    <t xml:space="preserve">T-100707</t>
  </si>
  <si>
    <t xml:space="preserve">TXN5108622</t>
  </si>
  <si>
    <t xml:space="preserve">T-100701</t>
  </si>
  <si>
    <t xml:space="preserve">TXN3968879</t>
  </si>
  <si>
    <t xml:space="preserve">T-100716</t>
  </si>
  <si>
    <t xml:space="preserve">TXN4008320</t>
  </si>
  <si>
    <t xml:space="preserve">T-100725</t>
  </si>
  <si>
    <t xml:space="preserve">TXN4580201</t>
  </si>
  <si>
    <t xml:space="preserve">T-100699</t>
  </si>
  <si>
    <t xml:space="preserve">TXN2052513</t>
  </si>
  <si>
    <t xml:space="preserve">T-100754</t>
  </si>
  <si>
    <t xml:space="preserve">TXN5382258</t>
  </si>
  <si>
    <t xml:space="preserve">T-100755</t>
  </si>
  <si>
    <t xml:space="preserve">TXN1706612</t>
  </si>
  <si>
    <t xml:space="preserve">T-100742</t>
  </si>
  <si>
    <t xml:space="preserve">TXN3899356</t>
  </si>
  <si>
    <t xml:space="preserve">T-100749</t>
  </si>
  <si>
    <t xml:space="preserve">TXN9362168</t>
  </si>
  <si>
    <t xml:space="preserve">T-100760</t>
  </si>
  <si>
    <t xml:space="preserve">TXN3232003</t>
  </si>
  <si>
    <t xml:space="preserve">T-100756</t>
  </si>
  <si>
    <t xml:space="preserve">TXN8045814</t>
  </si>
  <si>
    <t xml:space="preserve">T-100735</t>
  </si>
  <si>
    <t xml:space="preserve">TXN2077046</t>
  </si>
  <si>
    <t xml:space="preserve">T-100732</t>
  </si>
  <si>
    <t xml:space="preserve">TXN5364388</t>
  </si>
  <si>
    <t xml:space="preserve">T-100748</t>
  </si>
  <si>
    <t xml:space="preserve">TXN4937681</t>
  </si>
  <si>
    <t xml:space="preserve">T-100739</t>
  </si>
  <si>
    <t xml:space="preserve">TXN2667902</t>
  </si>
  <si>
    <t xml:space="preserve">T-100743</t>
  </si>
  <si>
    <t xml:space="preserve">TXN1136777</t>
  </si>
  <si>
    <t xml:space="preserve">T-100745</t>
  </si>
  <si>
    <t xml:space="preserve">TXN7027358</t>
  </si>
  <si>
    <t xml:space="preserve">T-100746</t>
  </si>
  <si>
    <t xml:space="preserve">TXN6344440</t>
  </si>
  <si>
    <t xml:space="preserve">T-100736</t>
  </si>
  <si>
    <t xml:space="preserve">TXN2541487</t>
  </si>
  <si>
    <t xml:space="preserve">T-100751</t>
  </si>
  <si>
    <t xml:space="preserve">TXN1534913</t>
  </si>
  <si>
    <t xml:space="preserve">T-100741</t>
  </si>
  <si>
    <t xml:space="preserve">TXN1228592</t>
  </si>
  <si>
    <t xml:space="preserve">T-100757</t>
  </si>
  <si>
    <t xml:space="preserve">TXN8342159</t>
  </si>
  <si>
    <t xml:space="preserve">T-100730</t>
  </si>
  <si>
    <t xml:space="preserve">TXN6003555</t>
  </si>
  <si>
    <t xml:space="preserve">T-100733</t>
  </si>
  <si>
    <t xml:space="preserve">TXN5366135</t>
  </si>
  <si>
    <t xml:space="preserve">T-100738</t>
  </si>
  <si>
    <t xml:space="preserve">TXN9822739</t>
  </si>
  <si>
    <t xml:space="preserve">T-100728</t>
  </si>
  <si>
    <t xml:space="preserve">TXN3188827</t>
  </si>
  <si>
    <t xml:space="preserve">T-100729</t>
  </si>
  <si>
    <t xml:space="preserve">TXN1926775</t>
  </si>
  <si>
    <t xml:space="preserve">T-100750</t>
  </si>
  <si>
    <t xml:space="preserve">TXN6236987</t>
  </si>
  <si>
    <t xml:space="preserve">T-100758</t>
  </si>
  <si>
    <t xml:space="preserve">TXN8025347</t>
  </si>
  <si>
    <t xml:space="preserve">T-100759</t>
  </si>
  <si>
    <t xml:space="preserve">TXN8489768</t>
  </si>
  <si>
    <t xml:space="preserve">T-100727</t>
  </si>
  <si>
    <t xml:space="preserve">TXN9088138</t>
  </si>
  <si>
    <t xml:space="preserve">T-100734</t>
  </si>
  <si>
    <t xml:space="preserve">TXN8484282</t>
  </si>
  <si>
    <t xml:space="preserve">T-100753</t>
  </si>
  <si>
    <t xml:space="preserve">TXN5985463</t>
  </si>
  <si>
    <t xml:space="preserve">T-100744</t>
  </si>
  <si>
    <t xml:space="preserve">TXN7952135</t>
  </si>
  <si>
    <t xml:space="preserve">T-100731</t>
  </si>
  <si>
    <t xml:space="preserve">TXN2270822</t>
  </si>
  <si>
    <t xml:space="preserve">T-100747</t>
  </si>
  <si>
    <t xml:space="preserve">TXN1779529</t>
  </si>
  <si>
    <t xml:space="preserve">T-100776</t>
  </si>
  <si>
    <t xml:space="preserve">TXN2103832</t>
  </si>
  <si>
    <t xml:space="preserve">T-100779</t>
  </si>
  <si>
    <t xml:space="preserve">TXN5843214</t>
  </si>
  <si>
    <t xml:space="preserve">T-100762</t>
  </si>
  <si>
    <t xml:space="preserve">TXN3237151</t>
  </si>
  <si>
    <t xml:space="preserve">T-100785</t>
  </si>
  <si>
    <t xml:space="preserve">TXN7785901</t>
  </si>
  <si>
    <t xml:space="preserve">T-100769</t>
  </si>
  <si>
    <t xml:space="preserve">TXN4119477</t>
  </si>
  <si>
    <t xml:space="preserve">T-100784</t>
  </si>
  <si>
    <t xml:space="preserve">TXN3718928</t>
  </si>
  <si>
    <t xml:space="preserve">T-100772</t>
  </si>
  <si>
    <t xml:space="preserve">TXN7328517</t>
  </si>
  <si>
    <t xml:space="preserve">T-100767</t>
  </si>
  <si>
    <t xml:space="preserve">TXN1451018</t>
  </si>
  <si>
    <t xml:space="preserve">T-100775</t>
  </si>
  <si>
    <t xml:space="preserve">TXN4404346</t>
  </si>
  <si>
    <t xml:space="preserve">T-100770</t>
  </si>
  <si>
    <t xml:space="preserve">TXN4251698</t>
  </si>
  <si>
    <t xml:space="preserve">T-100771</t>
  </si>
  <si>
    <t xml:space="preserve">TXN3781156</t>
  </si>
  <si>
    <t xml:space="preserve">T-100773</t>
  </si>
  <si>
    <t xml:space="preserve">TXN3937326</t>
  </si>
  <si>
    <t xml:space="preserve">T-100774</t>
  </si>
  <si>
    <t xml:space="preserve">TXN9621897</t>
  </si>
  <si>
    <t xml:space="preserve">T-100778</t>
  </si>
  <si>
    <t xml:space="preserve">TXN3452027</t>
  </si>
  <si>
    <t xml:space="preserve">T-100783</t>
  </si>
  <si>
    <t xml:space="preserve">TXN9773644</t>
  </si>
  <si>
    <t xml:space="preserve">T-100766</t>
  </si>
  <si>
    <t xml:space="preserve">TXN5231158</t>
  </si>
  <si>
    <t xml:space="preserve">T-100782</t>
  </si>
  <si>
    <t xml:space="preserve">TXN2659138</t>
  </si>
  <si>
    <t xml:space="preserve">T-100761</t>
  </si>
  <si>
    <t xml:space="preserve">TXN8647883</t>
  </si>
  <si>
    <t xml:space="preserve">T-100789</t>
  </si>
  <si>
    <t xml:space="preserve">TXN9808063</t>
  </si>
  <si>
    <t xml:space="preserve">T-100777</t>
  </si>
  <si>
    <t xml:space="preserve">TXN4429396</t>
  </si>
  <si>
    <t xml:space="preserve">T-100763</t>
  </si>
  <si>
    <t xml:space="preserve">TXN5953085</t>
  </si>
  <si>
    <t xml:space="preserve">T-100764</t>
  </si>
  <si>
    <t xml:space="preserve">TXN8214140</t>
  </si>
  <si>
    <t xml:space="preserve">T-100768</t>
  </si>
  <si>
    <t xml:space="preserve">TXN8474213</t>
  </si>
  <si>
    <t xml:space="preserve">T-100781</t>
  </si>
  <si>
    <t xml:space="preserve">TXN8274959</t>
  </si>
  <si>
    <t xml:space="preserve">T-100787</t>
  </si>
  <si>
    <t xml:space="preserve">TXN1997621</t>
  </si>
  <si>
    <t xml:space="preserve">T-100788</t>
  </si>
  <si>
    <t xml:space="preserve">TXN8836994</t>
  </si>
  <si>
    <t xml:space="preserve">T-100816</t>
  </si>
  <si>
    <t xml:space="preserve">TXN2213087</t>
  </si>
  <si>
    <t xml:space="preserve">T-100797</t>
  </si>
  <si>
    <t xml:space="preserve">TXN5945567</t>
  </si>
  <si>
    <t xml:space="preserve">T-100800</t>
  </si>
  <si>
    <t xml:space="preserve">TXN5055239</t>
  </si>
  <si>
    <t xml:space="preserve">T-100807</t>
  </si>
  <si>
    <t xml:space="preserve">TXN4989865</t>
  </si>
  <si>
    <t xml:space="preserve">T-100801</t>
  </si>
  <si>
    <t xml:space="preserve">TXN4833466</t>
  </si>
  <si>
    <t xml:space="preserve">T-100809</t>
  </si>
  <si>
    <t xml:space="preserve">TXN9306391</t>
  </si>
  <si>
    <t xml:space="preserve">T-100791</t>
  </si>
  <si>
    <t xml:space="preserve">TXN3458829</t>
  </si>
  <si>
    <t xml:space="preserve">T-100805</t>
  </si>
  <si>
    <t xml:space="preserve">TXN2108512</t>
  </si>
  <si>
    <t xml:space="preserve">T-100820</t>
  </si>
  <si>
    <t xml:space="preserve">TXN1908565</t>
  </si>
  <si>
    <t xml:space="preserve">T-100806</t>
  </si>
  <si>
    <t xml:space="preserve">TXN1852000</t>
  </si>
  <si>
    <t xml:space="preserve">T-100819</t>
  </si>
  <si>
    <t xml:space="preserve">TXN5460734</t>
  </si>
  <si>
    <t xml:space="preserve">T-100799</t>
  </si>
  <si>
    <t xml:space="preserve">TXN7218616</t>
  </si>
  <si>
    <t xml:space="preserve">T-100804</t>
  </si>
  <si>
    <t xml:space="preserve">TXN8972357</t>
  </si>
  <si>
    <t xml:space="preserve">T-100794</t>
  </si>
  <si>
    <t xml:space="preserve">TXN6815226</t>
  </si>
  <si>
    <t xml:space="preserve">T-100817</t>
  </si>
  <si>
    <t xml:space="preserve">TXN7706035</t>
  </si>
  <si>
    <t xml:space="preserve">T-100798</t>
  </si>
  <si>
    <t xml:space="preserve">TXN3117071</t>
  </si>
  <si>
    <t xml:space="preserve">T-100822</t>
  </si>
  <si>
    <t xml:space="preserve">TXN7963896</t>
  </si>
  <si>
    <t xml:space="preserve">T-100808</t>
  </si>
  <si>
    <t xml:space="preserve">TXN8719427</t>
  </si>
  <si>
    <t xml:space="preserve">T-100811</t>
  </si>
  <si>
    <t xml:space="preserve">TXN5794868</t>
  </si>
  <si>
    <t xml:space="preserve">T-100793</t>
  </si>
  <si>
    <t xml:space="preserve">TXN5672857</t>
  </si>
  <si>
    <t xml:space="preserve">T-100796</t>
  </si>
  <si>
    <t xml:space="preserve">TXN9985659</t>
  </si>
  <si>
    <t xml:space="preserve">T-100815</t>
  </si>
  <si>
    <t xml:space="preserve">TXN5296031</t>
  </si>
  <si>
    <t xml:space="preserve">T-100821</t>
  </si>
  <si>
    <t xml:space="preserve">TXN3851384</t>
  </si>
  <si>
    <t xml:space="preserve">T-100792</t>
  </si>
  <si>
    <t xml:space="preserve">TXN2342522</t>
  </si>
  <si>
    <t xml:space="preserve">T-100803</t>
  </si>
  <si>
    <t xml:space="preserve">TXN7109059</t>
  </si>
  <si>
    <t xml:space="preserve">T-100814</t>
  </si>
  <si>
    <t xml:space="preserve">TXN5585706</t>
  </si>
  <si>
    <t xml:space="preserve">T-100813</t>
  </si>
  <si>
    <t xml:space="preserve">TXN9992158</t>
  </si>
  <si>
    <t xml:space="preserve">T-100818</t>
  </si>
  <si>
    <t xml:space="preserve">TXN5865720</t>
  </si>
  <si>
    <t xml:space="preserve">T-100846</t>
  </si>
  <si>
    <t xml:space="preserve">TXN5807506</t>
  </si>
  <si>
    <t xml:space="preserve">T-100849</t>
  </si>
  <si>
    <t xml:space="preserve">TXN1014402</t>
  </si>
  <si>
    <t xml:space="preserve">T-100832</t>
  </si>
  <si>
    <t xml:space="preserve">TXN6066833</t>
  </si>
  <si>
    <t xml:space="preserve">T-100854</t>
  </si>
  <si>
    <t xml:space="preserve">TXN4953854</t>
  </si>
  <si>
    <t xml:space="preserve">T-100853</t>
  </si>
  <si>
    <t xml:space="preserve">TXN7456065</t>
  </si>
  <si>
    <t xml:space="preserve">T-100831</t>
  </si>
  <si>
    <t xml:space="preserve">TXN3916142</t>
  </si>
  <si>
    <t xml:space="preserve">T-100840</t>
  </si>
  <si>
    <t xml:space="preserve">TXN7244917</t>
  </si>
  <si>
    <t xml:space="preserve">T-100825</t>
  </si>
  <si>
    <t xml:space="preserve">TXN5950919</t>
  </si>
  <si>
    <t xml:space="preserve">T-100837</t>
  </si>
  <si>
    <t xml:space="preserve">TXN9164347</t>
  </si>
  <si>
    <t xml:space="preserve">T-100848</t>
  </si>
  <si>
    <t xml:space="preserve">TXN6458020</t>
  </si>
  <si>
    <t xml:space="preserve">T-100830</t>
  </si>
  <si>
    <t xml:space="preserve">TXN5812788</t>
  </si>
  <si>
    <t xml:space="preserve">T-100847</t>
  </si>
  <si>
    <t xml:space="preserve">TXN3959525</t>
  </si>
  <si>
    <t xml:space="preserve">T-100836</t>
  </si>
  <si>
    <t xml:space="preserve">TXN7659337</t>
  </si>
  <si>
    <t xml:space="preserve">T-100828</t>
  </si>
  <si>
    <t xml:space="preserve">TXN9718814</t>
  </si>
  <si>
    <t xml:space="preserve">T-100841</t>
  </si>
  <si>
    <t xml:space="preserve">TXN5630079</t>
  </si>
  <si>
    <t xml:space="preserve">T-100856</t>
  </si>
  <si>
    <t xml:space="preserve">TXN2941817</t>
  </si>
  <si>
    <t xml:space="preserve">T-100845</t>
  </si>
  <si>
    <t xml:space="preserve">TXN1111556</t>
  </si>
  <si>
    <t xml:space="preserve">T-100829</t>
  </si>
  <si>
    <t xml:space="preserve">TXN5975074</t>
  </si>
  <si>
    <t xml:space="preserve">T-100843</t>
  </si>
  <si>
    <t xml:space="preserve">TXN3181251</t>
  </si>
  <si>
    <t xml:space="preserve">T-100844</t>
  </si>
  <si>
    <t xml:space="preserve">TXN8966192</t>
  </si>
  <si>
    <t xml:space="preserve">T-100835</t>
  </si>
  <si>
    <t xml:space="preserve">TXN9929213</t>
  </si>
  <si>
    <t xml:space="preserve">T-100834</t>
  </si>
  <si>
    <t xml:space="preserve">TXN5012236</t>
  </si>
  <si>
    <t xml:space="preserve">T-100824</t>
  </si>
  <si>
    <t xml:space="preserve">TXN4944659</t>
  </si>
  <si>
    <t xml:space="preserve">T-100852</t>
  </si>
  <si>
    <t xml:space="preserve">TXN6535001</t>
  </si>
  <si>
    <t xml:space="preserve">T-100826</t>
  </si>
  <si>
    <t xml:space="preserve">TXN9264574</t>
  </si>
  <si>
    <t xml:space="preserve">T-100839</t>
  </si>
  <si>
    <t xml:space="preserve">TXN5086263</t>
  </si>
  <si>
    <t xml:space="preserve">T-100823</t>
  </si>
  <si>
    <t xml:space="preserve">TXN6059814</t>
  </si>
  <si>
    <t xml:space="preserve">T-100833</t>
  </si>
  <si>
    <t xml:space="preserve">TXN4594047</t>
  </si>
  <si>
    <t xml:space="preserve">T-100850</t>
  </si>
  <si>
    <t xml:space="preserve">TXN5033116</t>
  </si>
  <si>
    <t xml:space="preserve">T-100855</t>
  </si>
  <si>
    <t xml:space="preserve">TXN9202612</t>
  </si>
  <si>
    <t xml:space="preserve">T-100838</t>
  </si>
  <si>
    <t xml:space="preserve">TXN8475068</t>
  </si>
  <si>
    <t xml:space="preserve">T-100827</t>
  </si>
  <si>
    <t xml:space="preserve">TXN8460346</t>
  </si>
  <si>
    <t xml:space="preserve">T-100857</t>
  </si>
  <si>
    <t xml:space="preserve">TXN4822910</t>
  </si>
  <si>
    <t xml:space="preserve">T-100851</t>
  </si>
  <si>
    <t xml:space="preserve">TXN4419415</t>
  </si>
  <si>
    <t xml:space="preserve">T-100842</t>
  </si>
  <si>
    <t xml:space="preserve">TXN7650905</t>
  </si>
  <si>
    <t xml:space="preserve">T-100892</t>
  </si>
  <si>
    <t xml:space="preserve">TXN3553211</t>
  </si>
  <si>
    <t xml:space="preserve">T-100882</t>
  </si>
  <si>
    <t xml:space="preserve">TXN8256784</t>
  </si>
  <si>
    <t xml:space="preserve">T-100873</t>
  </si>
  <si>
    <t xml:space="preserve">TXN6081496</t>
  </si>
  <si>
    <t xml:space="preserve">T-100859</t>
  </si>
  <si>
    <t xml:space="preserve">TXN5104112</t>
  </si>
  <si>
    <t xml:space="preserve">T-100875</t>
  </si>
  <si>
    <t xml:space="preserve">TXN2208534</t>
  </si>
  <si>
    <t xml:space="preserve">T-100865</t>
  </si>
  <si>
    <t xml:space="preserve">TXN2240387</t>
  </si>
  <si>
    <t xml:space="preserve">T-100862</t>
  </si>
  <si>
    <t xml:space="preserve">TXN7720634</t>
  </si>
  <si>
    <t xml:space="preserve">T-100896</t>
  </si>
  <si>
    <t xml:space="preserve">TXN6772660</t>
  </si>
  <si>
    <t xml:space="preserve">T-100870</t>
  </si>
  <si>
    <t xml:space="preserve">TXN1144613</t>
  </si>
  <si>
    <t xml:space="preserve">T-100894</t>
  </si>
  <si>
    <t xml:space="preserve">TXN8669624</t>
  </si>
  <si>
    <t xml:space="preserve">T-100890</t>
  </si>
  <si>
    <t xml:space="preserve">TXN5591799</t>
  </si>
  <si>
    <t xml:space="preserve">T-100858</t>
  </si>
  <si>
    <t xml:space="preserve">TXN4989532</t>
  </si>
  <si>
    <t xml:space="preserve">T-100867</t>
  </si>
  <si>
    <t xml:space="preserve">TXN2474907</t>
  </si>
  <si>
    <t xml:space="preserve">T-100860</t>
  </si>
  <si>
    <t xml:space="preserve">TXN9295697</t>
  </si>
  <si>
    <t xml:space="preserve">T-100872</t>
  </si>
  <si>
    <t xml:space="preserve">TXN1214400</t>
  </si>
  <si>
    <t xml:space="preserve">T-100871</t>
  </si>
  <si>
    <t xml:space="preserve">TXN1102545</t>
  </si>
  <si>
    <t xml:space="preserve">T-100881</t>
  </si>
  <si>
    <t xml:space="preserve">TXN3984009</t>
  </si>
  <si>
    <t xml:space="preserve">T-100888</t>
  </si>
  <si>
    <t xml:space="preserve">TXN9644100</t>
  </si>
  <si>
    <t xml:space="preserve">T-100864</t>
  </si>
  <si>
    <t xml:space="preserve">TXN9944753</t>
  </si>
  <si>
    <t xml:space="preserve">T-100880</t>
  </si>
  <si>
    <t xml:space="preserve">TXN7017653</t>
  </si>
  <si>
    <t xml:space="preserve">T-100895</t>
  </si>
  <si>
    <t xml:space="preserve">TXN1078990</t>
  </si>
  <si>
    <t xml:space="preserve">T-100866</t>
  </si>
  <si>
    <t xml:space="preserve">TXN5114378</t>
  </si>
  <si>
    <t xml:space="preserve">T-100885</t>
  </si>
  <si>
    <t xml:space="preserve">TXN3587284</t>
  </si>
  <si>
    <t xml:space="preserve">T-100861</t>
  </si>
  <si>
    <t xml:space="preserve">TXN2550305</t>
  </si>
  <si>
    <t xml:space="preserve">T-100887</t>
  </si>
  <si>
    <t xml:space="preserve">TXN5477970</t>
  </si>
  <si>
    <t xml:space="preserve">T-100889</t>
  </si>
  <si>
    <t xml:space="preserve">TXN5203425</t>
  </si>
  <si>
    <t xml:space="preserve">T-100876</t>
  </si>
  <si>
    <t xml:space="preserve">TXN1552572</t>
  </si>
  <si>
    <t xml:space="preserve">T-100868</t>
  </si>
  <si>
    <t xml:space="preserve">TXN9473244</t>
  </si>
  <si>
    <t xml:space="preserve">T-100863</t>
  </si>
  <si>
    <t xml:space="preserve">TXN1208884</t>
  </si>
  <si>
    <t xml:space="preserve">T-100877</t>
  </si>
  <si>
    <t xml:space="preserve">TXN3932526</t>
  </si>
  <si>
    <t xml:space="preserve">T-100879</t>
  </si>
  <si>
    <t xml:space="preserve">TXN4617397</t>
  </si>
  <si>
    <t xml:space="preserve">T-100883</t>
  </si>
  <si>
    <t xml:space="preserve">TXN9341770</t>
  </si>
  <si>
    <t xml:space="preserve">T-100886</t>
  </si>
  <si>
    <t xml:space="preserve">TXN1846715</t>
  </si>
  <si>
    <t xml:space="preserve">T-100878</t>
  </si>
  <si>
    <t xml:space="preserve">TXN3781147</t>
  </si>
  <si>
    <t xml:space="preserve">T-100891</t>
  </si>
  <si>
    <t xml:space="preserve">TXN5536505</t>
  </si>
  <si>
    <t xml:space="preserve">T-100869</t>
  </si>
  <si>
    <t xml:space="preserve">TXN5733087</t>
  </si>
  <si>
    <t xml:space="preserve">T-100893</t>
  </si>
  <si>
    <t xml:space="preserve">TXN4945190</t>
  </si>
  <si>
    <t xml:space="preserve">T-100919</t>
  </si>
  <si>
    <t xml:space="preserve">TXN7078914</t>
  </si>
  <si>
    <t xml:space="preserve">T-100920</t>
  </si>
  <si>
    <t xml:space="preserve">TXN1685869</t>
  </si>
  <si>
    <t xml:space="preserve">T-100933</t>
  </si>
  <si>
    <t xml:space="preserve">TXN6999028</t>
  </si>
  <si>
    <t xml:space="preserve">T-100925</t>
  </si>
  <si>
    <t xml:space="preserve">TXN4127432</t>
  </si>
  <si>
    <t xml:space="preserve">T-100917</t>
  </si>
  <si>
    <t xml:space="preserve">TXN8121764</t>
  </si>
  <si>
    <t xml:space="preserve">T-100918</t>
  </si>
  <si>
    <t xml:space="preserve">TXN8128902</t>
  </si>
  <si>
    <t xml:space="preserve">T-100921</t>
  </si>
  <si>
    <t xml:space="preserve">TXN8149096</t>
  </si>
  <si>
    <t xml:space="preserve">T-100905</t>
  </si>
  <si>
    <t xml:space="preserve">TXN7639382</t>
  </si>
  <si>
    <t xml:space="preserve">T-100930</t>
  </si>
  <si>
    <t xml:space="preserve">TXN8679090</t>
  </si>
  <si>
    <t xml:space="preserve">T-100910</t>
  </si>
  <si>
    <t xml:space="preserve">TXN1871532</t>
  </si>
  <si>
    <t xml:space="preserve">T-100932</t>
  </si>
  <si>
    <t xml:space="preserve">TXN8716987</t>
  </si>
  <si>
    <t xml:space="preserve">T-100912</t>
  </si>
  <si>
    <t xml:space="preserve">TXN9510767</t>
  </si>
  <si>
    <t xml:space="preserve">T-100904</t>
  </si>
  <si>
    <t xml:space="preserve">TXN8096667</t>
  </si>
  <si>
    <t xml:space="preserve">T-100906</t>
  </si>
  <si>
    <t xml:space="preserve">TXN6551761</t>
  </si>
  <si>
    <t xml:space="preserve">T-100924</t>
  </si>
  <si>
    <t xml:space="preserve">TXN5396719</t>
  </si>
  <si>
    <t xml:space="preserve">T-100928</t>
  </si>
  <si>
    <t xml:space="preserve">TXN2665590</t>
  </si>
  <si>
    <t xml:space="preserve">T-100916</t>
  </si>
  <si>
    <t xml:space="preserve">TXN4381032</t>
  </si>
  <si>
    <t xml:space="preserve">T-100934</t>
  </si>
  <si>
    <t xml:space="preserve">TXN4187964</t>
  </si>
  <si>
    <t xml:space="preserve">T-100902</t>
  </si>
  <si>
    <t xml:space="preserve">TXN3543959</t>
  </si>
  <si>
    <t xml:space="preserve">T-100908</t>
  </si>
  <si>
    <t xml:space="preserve">TXN3478895</t>
  </si>
  <si>
    <t xml:space="preserve">T-100911</t>
  </si>
  <si>
    <t xml:space="preserve">TXN5905138</t>
  </si>
  <si>
    <t xml:space="preserve">T-100923</t>
  </si>
  <si>
    <t xml:space="preserve">TXN7684353</t>
  </si>
  <si>
    <t xml:space="preserve">T-100913</t>
  </si>
  <si>
    <t xml:space="preserve">TXN4259174</t>
  </si>
  <si>
    <t xml:space="preserve">T-100926</t>
  </si>
  <si>
    <t xml:space="preserve">TXN8307429</t>
  </si>
  <si>
    <t xml:space="preserve">T-100897</t>
  </si>
  <si>
    <t xml:space="preserve">TXN1662463</t>
  </si>
  <si>
    <t xml:space="preserve">T-100931</t>
  </si>
  <si>
    <t xml:space="preserve">TXN6747384</t>
  </si>
  <si>
    <t xml:space="preserve">T-100899</t>
  </si>
  <si>
    <t xml:space="preserve">TXN4181579</t>
  </si>
  <si>
    <t xml:space="preserve">T-100914</t>
  </si>
  <si>
    <t xml:space="preserve">TXN9307454</t>
  </si>
  <si>
    <t xml:space="preserve">T-100915</t>
  </si>
  <si>
    <t xml:space="preserve">TXN9288268</t>
  </si>
  <si>
    <t xml:space="preserve">T-100922</t>
  </si>
  <si>
    <t xml:space="preserve">TXN8784505</t>
  </si>
  <si>
    <t xml:space="preserve">T-100909</t>
  </si>
  <si>
    <t xml:space="preserve">TXN4805202</t>
  </si>
  <si>
    <t xml:space="preserve">T-100900</t>
  </si>
  <si>
    <t xml:space="preserve">TXN8391768</t>
  </si>
  <si>
    <t xml:space="preserve">T-100929</t>
  </si>
  <si>
    <t xml:space="preserve">TXN5658892</t>
  </si>
  <si>
    <t xml:space="preserve">T-100947</t>
  </si>
  <si>
    <t xml:space="preserve">TXN7813706</t>
  </si>
  <si>
    <t xml:space="preserve">T-100953</t>
  </si>
  <si>
    <t xml:space="preserve">TXN7774777</t>
  </si>
  <si>
    <t xml:space="preserve">T-100952</t>
  </si>
  <si>
    <t xml:space="preserve">TXN7886583</t>
  </si>
  <si>
    <t xml:space="preserve">T-100963</t>
  </si>
  <si>
    <t xml:space="preserve">TXN2874572</t>
  </si>
  <si>
    <t xml:space="preserve">T-100951</t>
  </si>
  <si>
    <t xml:space="preserve">TXN2963595</t>
  </si>
  <si>
    <t xml:space="preserve">T-100950</t>
  </si>
  <si>
    <t xml:space="preserve">TXN4074490</t>
  </si>
  <si>
    <t xml:space="preserve">T-100958</t>
  </si>
  <si>
    <t xml:space="preserve">TXN7564760</t>
  </si>
  <si>
    <t xml:space="preserve">T-100964</t>
  </si>
  <si>
    <t xml:space="preserve">TXN1049753</t>
  </si>
  <si>
    <t xml:space="preserve">T-100943</t>
  </si>
  <si>
    <t xml:space="preserve">TXN7363644</t>
  </si>
  <si>
    <t xml:space="preserve">T-100967</t>
  </si>
  <si>
    <t xml:space="preserve">TXN3166994</t>
  </si>
  <si>
    <t xml:space="preserve">T-100945</t>
  </si>
  <si>
    <t xml:space="preserve">TXN7948055</t>
  </si>
  <si>
    <t xml:space="preserve">T-100942</t>
  </si>
  <si>
    <t xml:space="preserve">TXN3407565</t>
  </si>
  <si>
    <t xml:space="preserve">T-100959</t>
  </si>
  <si>
    <t xml:space="preserve">TXN8897313</t>
  </si>
  <si>
    <t xml:space="preserve">T-100961</t>
  </si>
  <si>
    <t xml:space="preserve">TXN8430981</t>
  </si>
  <si>
    <t xml:space="preserve">T-100960</t>
  </si>
  <si>
    <t xml:space="preserve">TXN4006741</t>
  </si>
  <si>
    <t xml:space="preserve">T-100938</t>
  </si>
  <si>
    <t xml:space="preserve">TXN3986232</t>
  </si>
  <si>
    <t xml:space="preserve">T-100955</t>
  </si>
  <si>
    <t xml:space="preserve">TXN4666185</t>
  </si>
  <si>
    <t xml:space="preserve">T-100954</t>
  </si>
  <si>
    <t xml:space="preserve">TXN5806150</t>
  </si>
  <si>
    <t xml:space="preserve">T-100966</t>
  </si>
  <si>
    <t xml:space="preserve">TXN3577312</t>
  </si>
  <si>
    <t xml:space="preserve">T-100939</t>
  </si>
  <si>
    <t xml:space="preserve">TXN2596041</t>
  </si>
  <si>
    <t xml:space="preserve">T-100935</t>
  </si>
  <si>
    <t xml:space="preserve">TXN6744259</t>
  </si>
  <si>
    <t xml:space="preserve">T-100937</t>
  </si>
  <si>
    <t xml:space="preserve">TXN2797047</t>
  </si>
  <si>
    <t xml:space="preserve">T-100965</t>
  </si>
  <si>
    <t xml:space="preserve">TXN8931121</t>
  </si>
  <si>
    <t xml:space="preserve">T-100936</t>
  </si>
  <si>
    <t xml:space="preserve">TXN6574127</t>
  </si>
  <si>
    <t xml:space="preserve">T-100949</t>
  </si>
  <si>
    <t xml:space="preserve">TXN7939559</t>
  </si>
  <si>
    <t xml:space="preserve">T-100944</t>
  </si>
  <si>
    <t xml:space="preserve">TXN6064573</t>
  </si>
  <si>
    <t xml:space="preserve">T-100940</t>
  </si>
  <si>
    <t xml:space="preserve">TXN1353227</t>
  </si>
  <si>
    <t xml:space="preserve">T-100948</t>
  </si>
  <si>
    <t xml:space="preserve">TXN8562759</t>
  </si>
  <si>
    <t xml:space="preserve">T-100956</t>
  </si>
  <si>
    <t xml:space="preserve">TXN1750814</t>
  </si>
  <si>
    <t xml:space="preserve">T-100957</t>
  </si>
  <si>
    <t xml:space="preserve">TXN4096986</t>
  </si>
  <si>
    <t xml:space="preserve">T-100946</t>
  </si>
  <si>
    <t xml:space="preserve">TXN5427069</t>
  </si>
  <si>
    <t xml:space="preserve">T-100962</t>
  </si>
  <si>
    <t xml:space="preserve">TXN1124891</t>
  </si>
  <si>
    <t xml:space="preserve">T-100941</t>
  </si>
  <si>
    <t xml:space="preserve">TXN2213856</t>
  </si>
  <si>
    <t xml:space="preserve">T-100972</t>
  </si>
  <si>
    <t xml:space="preserve">TXN8945547</t>
  </si>
  <si>
    <t xml:space="preserve">T-100970</t>
  </si>
  <si>
    <t xml:space="preserve">TXN6827025</t>
  </si>
  <si>
    <t xml:space="preserve">T-100980</t>
  </si>
  <si>
    <t xml:space="preserve">TXN2769308</t>
  </si>
  <si>
    <t xml:space="preserve">T-100997</t>
  </si>
  <si>
    <t xml:space="preserve">TXN4709732</t>
  </si>
  <si>
    <t xml:space="preserve">T-100969</t>
  </si>
  <si>
    <t xml:space="preserve">TXN8909017</t>
  </si>
  <si>
    <t xml:space="preserve">T-100981</t>
  </si>
  <si>
    <t xml:space="preserve">TXN9610801</t>
  </si>
  <si>
    <t xml:space="preserve">T-100976</t>
  </si>
  <si>
    <t xml:space="preserve">TXN7814739</t>
  </si>
  <si>
    <t xml:space="preserve">T-100985</t>
  </si>
  <si>
    <t xml:space="preserve">TXN3320091</t>
  </si>
  <si>
    <t xml:space="preserve">T-100986</t>
  </si>
  <si>
    <t xml:space="preserve">TXN4096251</t>
  </si>
  <si>
    <t xml:space="preserve">T-100984</t>
  </si>
  <si>
    <t xml:space="preserve">TXN4173280</t>
  </si>
  <si>
    <t xml:space="preserve">T-100991</t>
  </si>
  <si>
    <t xml:space="preserve">TXN2395271</t>
  </si>
  <si>
    <t xml:space="preserve">T-100995</t>
  </si>
  <si>
    <t xml:space="preserve">TXN8541248</t>
  </si>
  <si>
    <t xml:space="preserve">T-100989</t>
  </si>
  <si>
    <t xml:space="preserve">TXN6535124</t>
  </si>
  <si>
    <t xml:space="preserve">T-100975</t>
  </si>
  <si>
    <t xml:space="preserve">TXN7009395</t>
  </si>
  <si>
    <t xml:space="preserve">T-100971</t>
  </si>
  <si>
    <t xml:space="preserve">TXN3347315</t>
  </si>
  <si>
    <t xml:space="preserve">T-100983</t>
  </si>
  <si>
    <t xml:space="preserve">TXN9786287</t>
  </si>
  <si>
    <t xml:space="preserve">T-100979</t>
  </si>
  <si>
    <t xml:space="preserve">TXN4017383</t>
  </si>
  <si>
    <t xml:space="preserve">T-100998</t>
  </si>
  <si>
    <t xml:space="preserve">TXN5930255</t>
  </si>
  <si>
    <t xml:space="preserve">T-100992</t>
  </si>
  <si>
    <t xml:space="preserve">TXN9033885</t>
  </si>
  <si>
    <t xml:space="preserve">T-100982</t>
  </si>
  <si>
    <t xml:space="preserve">TXN6076069</t>
  </si>
  <si>
    <t xml:space="preserve">T-100973</t>
  </si>
  <si>
    <t xml:space="preserve">TXN6487687</t>
  </si>
  <si>
    <t xml:space="preserve">T-100988</t>
  </si>
  <si>
    <t xml:space="preserve">TXN9245200</t>
  </si>
  <si>
    <t xml:space="preserve">T-100996</t>
  </si>
  <si>
    <t xml:space="preserve">TXN8773306</t>
  </si>
  <si>
    <t xml:space="preserve">T-100987</t>
  </si>
  <si>
    <t xml:space="preserve">TXN4343750</t>
  </si>
  <si>
    <t xml:space="preserve">T-100993</t>
  </si>
  <si>
    <t xml:space="preserve">TXN3683274</t>
  </si>
  <si>
    <t xml:space="preserve">T-100974</t>
  </si>
  <si>
    <t xml:space="preserve">TXN6468006</t>
  </si>
  <si>
    <t xml:space="preserve">T-100994</t>
  </si>
  <si>
    <t xml:space="preserve">TXN4894272</t>
  </si>
  <si>
    <t xml:space="preserve">T-100977</t>
  </si>
  <si>
    <t xml:space="preserve">TXN6340802</t>
  </si>
  <si>
    <t xml:space="preserve">T-100978</t>
  </si>
  <si>
    <t xml:space="preserve">TXN2383905</t>
  </si>
  <si>
    <t xml:space="preserve">T-100968</t>
  </si>
  <si>
    <t xml:space="preserve">TXN1131220</t>
  </si>
  <si>
    <t xml:space="preserve">T-100999</t>
  </si>
  <si>
    <t xml:space="preserve">TXN8743641</t>
  </si>
  <si>
    <t xml:space="preserve">T-101014</t>
  </si>
  <si>
    <t xml:space="preserve">TXN8110510</t>
  </si>
  <si>
    <t xml:space="preserve">T-101002</t>
  </si>
  <si>
    <t xml:space="preserve">TXN7041451</t>
  </si>
  <si>
    <t xml:space="preserve">T-101019</t>
  </si>
  <si>
    <t xml:space="preserve">TXN3246871</t>
  </si>
  <si>
    <t xml:space="preserve">T-101022</t>
  </si>
  <si>
    <t xml:space="preserve">TXN5972676</t>
  </si>
  <si>
    <t xml:space="preserve">T-101008</t>
  </si>
  <si>
    <t xml:space="preserve">TXN9892628</t>
  </si>
  <si>
    <t xml:space="preserve">T-101026</t>
  </si>
  <si>
    <t xml:space="preserve">TXN3019000</t>
  </si>
  <si>
    <t xml:space="preserve">T-101011</t>
  </si>
  <si>
    <t xml:space="preserve">TXN1996344</t>
  </si>
  <si>
    <t xml:space="preserve">T-101032</t>
  </si>
  <si>
    <t xml:space="preserve">TXN1029395</t>
  </si>
  <si>
    <t xml:space="preserve">T-101003</t>
  </si>
  <si>
    <t xml:space="preserve">TXN8196250</t>
  </si>
  <si>
    <t xml:space="preserve">T-101037</t>
  </si>
  <si>
    <t xml:space="preserve">TXN8061787</t>
  </si>
  <si>
    <t xml:space="preserve">T-101030</t>
  </si>
  <si>
    <t xml:space="preserve">TXN4665731</t>
  </si>
  <si>
    <t xml:space="preserve">T-101029</t>
  </si>
  <si>
    <t xml:space="preserve">TXN4289495</t>
  </si>
  <si>
    <t xml:space="preserve">T-101020</t>
  </si>
  <si>
    <t xml:space="preserve">TXN8529299</t>
  </si>
  <si>
    <t xml:space="preserve">T-101031</t>
  </si>
  <si>
    <t xml:space="preserve">TXN7178189</t>
  </si>
  <si>
    <t xml:space="preserve">T-101033</t>
  </si>
  <si>
    <t xml:space="preserve">TXN7490706</t>
  </si>
  <si>
    <t xml:space="preserve">T-101025</t>
  </si>
  <si>
    <t xml:space="preserve">TXN5911240</t>
  </si>
  <si>
    <t xml:space="preserve">T-101007</t>
  </si>
  <si>
    <t xml:space="preserve">TXN7418956</t>
  </si>
  <si>
    <t xml:space="preserve">T-101013</t>
  </si>
  <si>
    <t xml:space="preserve">TXN8151630</t>
  </si>
  <si>
    <t xml:space="preserve">T-101018</t>
  </si>
  <si>
    <t xml:space="preserve">TXN3997195</t>
  </si>
  <si>
    <t xml:space="preserve">T-101028</t>
  </si>
  <si>
    <t xml:space="preserve">TXN8204096</t>
  </si>
  <si>
    <t xml:space="preserve">T-101027</t>
  </si>
  <si>
    <t xml:space="preserve">TXN8708031</t>
  </si>
  <si>
    <t xml:space="preserve">T-101005</t>
  </si>
  <si>
    <t xml:space="preserve">TXN1020696</t>
  </si>
  <si>
    <t xml:space="preserve">T-101036</t>
  </si>
  <si>
    <t xml:space="preserve">TXN9158528</t>
  </si>
  <si>
    <t xml:space="preserve">T-101009</t>
  </si>
  <si>
    <t xml:space="preserve">TXN6549841</t>
  </si>
  <si>
    <t xml:space="preserve">T-101006</t>
  </si>
  <si>
    <t xml:space="preserve">TXN7433091</t>
  </si>
  <si>
    <t xml:space="preserve">T-101023</t>
  </si>
  <si>
    <t xml:space="preserve">TXN1565360</t>
  </si>
  <si>
    <t xml:space="preserve">T-101015</t>
  </si>
  <si>
    <t xml:space="preserve">TXN3021394</t>
  </si>
  <si>
    <t xml:space="preserve">T-101021</t>
  </si>
  <si>
    <t xml:space="preserve">TXN3353453</t>
  </si>
  <si>
    <t xml:space="preserve">T-101016</t>
  </si>
  <si>
    <t xml:space="preserve">TXN7345072</t>
  </si>
  <si>
    <t xml:space="preserve">T-101012</t>
  </si>
  <si>
    <t xml:space="preserve">TXN3910317</t>
  </si>
  <si>
    <t xml:space="preserve">T-101062</t>
  </si>
  <si>
    <t xml:space="preserve">TXN9637520</t>
  </si>
  <si>
    <t xml:space="preserve">T-101055</t>
  </si>
  <si>
    <t xml:space="preserve">TXN7948406</t>
  </si>
  <si>
    <t xml:space="preserve">T-101070</t>
  </si>
  <si>
    <t xml:space="preserve">TXN8622184</t>
  </si>
  <si>
    <t xml:space="preserve">T-101046</t>
  </si>
  <si>
    <t xml:space="preserve">TXN2540413</t>
  </si>
  <si>
    <t xml:space="preserve">T-101057</t>
  </si>
  <si>
    <t xml:space="preserve">TXN5098584</t>
  </si>
  <si>
    <t xml:space="preserve">T-101047</t>
  </si>
  <si>
    <t xml:space="preserve">TXN7246577</t>
  </si>
  <si>
    <t xml:space="preserve">T-101050</t>
  </si>
  <si>
    <t xml:space="preserve">TXN3737467</t>
  </si>
  <si>
    <t xml:space="preserve">T-101058</t>
  </si>
  <si>
    <t xml:space="preserve">TXN3713796</t>
  </si>
  <si>
    <t xml:space="preserve">T-101075</t>
  </si>
  <si>
    <t xml:space="preserve">TXN7468782</t>
  </si>
  <si>
    <t xml:space="preserve">T-101052</t>
  </si>
  <si>
    <t xml:space="preserve">TXN4215929</t>
  </si>
  <si>
    <t xml:space="preserve">T-101060</t>
  </si>
  <si>
    <t xml:space="preserve">TXN4854805</t>
  </si>
  <si>
    <t xml:space="preserve">T-101041</t>
  </si>
  <si>
    <t xml:space="preserve">TXN3704995</t>
  </si>
  <si>
    <t xml:space="preserve">T-101059</t>
  </si>
  <si>
    <t xml:space="preserve">TXN9237758</t>
  </si>
  <si>
    <t xml:space="preserve">T-101074</t>
  </si>
  <si>
    <t xml:space="preserve">TXN7520125</t>
  </si>
  <si>
    <t xml:space="preserve">T-101067</t>
  </si>
  <si>
    <t xml:space="preserve">TXN3210819</t>
  </si>
  <si>
    <t xml:space="preserve">T-101043</t>
  </si>
  <si>
    <t xml:space="preserve">TXN4968511</t>
  </si>
  <si>
    <t xml:space="preserve">T-101044</t>
  </si>
  <si>
    <t xml:space="preserve">TXN4812064</t>
  </si>
  <si>
    <t xml:space="preserve">T-101064</t>
  </si>
  <si>
    <t xml:space="preserve">TXN6671203</t>
  </si>
  <si>
    <t xml:space="preserve">T-101051</t>
  </si>
  <si>
    <t xml:space="preserve">TXN6027249</t>
  </si>
  <si>
    <t xml:space="preserve">T-101040</t>
  </si>
  <si>
    <t xml:space="preserve">TXN7621351</t>
  </si>
  <si>
    <t xml:space="preserve">T-101071</t>
  </si>
  <si>
    <t xml:space="preserve">TXN7306466</t>
  </si>
  <si>
    <t xml:space="preserve">T-101065</t>
  </si>
  <si>
    <t xml:space="preserve">TXN9501120</t>
  </si>
  <si>
    <t xml:space="preserve">T-101066</t>
  </si>
  <si>
    <t xml:space="preserve">TXN2040734</t>
  </si>
  <si>
    <t xml:space="preserve">T-101061</t>
  </si>
  <si>
    <t xml:space="preserve">TXN5484041</t>
  </si>
  <si>
    <t xml:space="preserve">T-101049</t>
  </si>
  <si>
    <t xml:space="preserve">TXN4278185</t>
  </si>
  <si>
    <t xml:space="preserve">T-101054</t>
  </si>
  <si>
    <t xml:space="preserve">TXN8726902</t>
  </si>
  <si>
    <t xml:space="preserve">T-101039</t>
  </si>
  <si>
    <t xml:space="preserve">TXN5044662</t>
  </si>
  <si>
    <t xml:space="preserve">T-101045</t>
  </si>
  <si>
    <t xml:space="preserve">TXN8015242</t>
  </si>
  <si>
    <t xml:space="preserve">T-101073</t>
  </si>
  <si>
    <t xml:space="preserve">TXN5659027</t>
  </si>
  <si>
    <t xml:space="preserve">T-101056</t>
  </si>
  <si>
    <t xml:space="preserve">TXN7231877</t>
  </si>
  <si>
    <t xml:space="preserve">T-101068</t>
  </si>
  <si>
    <t xml:space="preserve">TXN2879395</t>
  </si>
  <si>
    <t xml:space="preserve">T-101048</t>
  </si>
  <si>
    <t xml:space="preserve">TXN6679461</t>
  </si>
  <si>
    <t xml:space="preserve">T-101053</t>
  </si>
  <si>
    <t xml:space="preserve">TXN7988726</t>
  </si>
  <si>
    <t xml:space="preserve">T-101072</t>
  </si>
  <si>
    <t xml:space="preserve">TXN9169946</t>
  </si>
  <si>
    <t xml:space="preserve">T-101042</t>
  </si>
  <si>
    <t xml:space="preserve">TXN7024511</t>
  </si>
  <si>
    <t xml:space="preserve">T-101093</t>
  </si>
  <si>
    <t xml:space="preserve">TXN7088582</t>
  </si>
  <si>
    <t xml:space="preserve">T-101095</t>
  </si>
  <si>
    <t xml:space="preserve">TXN7667241</t>
  </si>
  <si>
    <t xml:space="preserve">T-101090</t>
  </si>
  <si>
    <t xml:space="preserve">TXN1540978</t>
  </si>
  <si>
    <t xml:space="preserve">T-101107</t>
  </si>
  <si>
    <t xml:space="preserve">TXN8855818</t>
  </si>
  <si>
    <t xml:space="preserve">T-101101</t>
  </si>
  <si>
    <t xml:space="preserve">TXN1530249</t>
  </si>
  <si>
    <t xml:space="preserve">T-101078</t>
  </si>
  <si>
    <t xml:space="preserve">TXN7064012</t>
  </si>
  <si>
    <t xml:space="preserve">T-101077</t>
  </si>
  <si>
    <t xml:space="preserve">TXN3844395</t>
  </si>
  <si>
    <t xml:space="preserve">T-101085</t>
  </si>
  <si>
    <t xml:space="preserve">TXN5814986</t>
  </si>
  <si>
    <t xml:space="preserve">T-101105</t>
  </si>
  <si>
    <t xml:space="preserve">TXN3300359</t>
  </si>
  <si>
    <t xml:space="preserve">T-101083</t>
  </si>
  <si>
    <t xml:space="preserve">TXN2681150</t>
  </si>
  <si>
    <t xml:space="preserve">T-101079</t>
  </si>
  <si>
    <t xml:space="preserve">TXN8676947</t>
  </si>
  <si>
    <t xml:space="preserve">T-101080</t>
  </si>
  <si>
    <t xml:space="preserve">TXN3287897</t>
  </si>
  <si>
    <t xml:space="preserve">T-101092</t>
  </si>
  <si>
    <t xml:space="preserve">TXN8178683</t>
  </si>
  <si>
    <t xml:space="preserve">T-101099</t>
  </si>
  <si>
    <t xml:space="preserve">TXN6772811</t>
  </si>
  <si>
    <t xml:space="preserve">T-101106</t>
  </si>
  <si>
    <t xml:space="preserve">TXN3277038</t>
  </si>
  <si>
    <t xml:space="preserve">T-101104</t>
  </si>
  <si>
    <t xml:space="preserve">TXN6116781</t>
  </si>
  <si>
    <t xml:space="preserve">T-101076</t>
  </si>
  <si>
    <t xml:space="preserve">TXN7115125</t>
  </si>
  <si>
    <t xml:space="preserve">T-101096</t>
  </si>
  <si>
    <t xml:space="preserve">TXN1133979</t>
  </si>
  <si>
    <t xml:space="preserve">T-101102</t>
  </si>
  <si>
    <t xml:space="preserve">TXN4924020</t>
  </si>
  <si>
    <t xml:space="preserve">T-101084</t>
  </si>
  <si>
    <t xml:space="preserve">TXN2301663</t>
  </si>
  <si>
    <t xml:space="preserve">T-101098</t>
  </si>
  <si>
    <t xml:space="preserve">TXN6867161</t>
  </si>
  <si>
    <t xml:space="preserve">T-101086</t>
  </si>
  <si>
    <t xml:space="preserve">TXN2276157</t>
  </si>
  <si>
    <t xml:space="preserve">T-101100</t>
  </si>
  <si>
    <t xml:space="preserve">TXN6438781</t>
  </si>
  <si>
    <t xml:space="preserve">T-101094</t>
  </si>
  <si>
    <t xml:space="preserve">TXN3066143</t>
  </si>
  <si>
    <t xml:space="preserve">T-101082</t>
  </si>
  <si>
    <t xml:space="preserve">TXN8196762</t>
  </si>
  <si>
    <t xml:space="preserve">T-101087</t>
  </si>
  <si>
    <t xml:space="preserve">TXN9964297</t>
  </si>
  <si>
    <t xml:space="preserve">T-101108</t>
  </si>
  <si>
    <t xml:space="preserve">TXN3447943</t>
  </si>
  <si>
    <t xml:space="preserve">T-101097</t>
  </si>
  <si>
    <t xml:space="preserve">TXN3345127</t>
  </si>
  <si>
    <t xml:space="preserve">T-101081</t>
  </si>
  <si>
    <t xml:space="preserve">TXN4618531</t>
  </si>
  <si>
    <t xml:space="preserve">T-101088</t>
  </si>
  <si>
    <t xml:space="preserve">TXN2980641</t>
  </si>
  <si>
    <t xml:space="preserve">T-101110</t>
  </si>
  <si>
    <t xml:space="preserve">TXN1668980</t>
  </si>
  <si>
    <t xml:space="preserve">T-101109</t>
  </si>
  <si>
    <t xml:space="preserve">TXN3110739</t>
  </si>
  <si>
    <t xml:space="preserve">T-101103</t>
  </si>
  <si>
    <t xml:space="preserve">TXN1596096</t>
  </si>
  <si>
    <t xml:space="preserve">T-101115</t>
  </si>
  <si>
    <t xml:space="preserve">TXN5757894</t>
  </si>
  <si>
    <t xml:space="preserve">T-101130</t>
  </si>
  <si>
    <t xml:space="preserve">TXN5077018</t>
  </si>
  <si>
    <t xml:space="preserve">T-101123</t>
  </si>
  <si>
    <t xml:space="preserve">TXN2174142</t>
  </si>
  <si>
    <t xml:space="preserve">T-101127</t>
  </si>
  <si>
    <t xml:space="preserve">TXN1435258</t>
  </si>
  <si>
    <t xml:space="preserve">T-101137</t>
  </si>
  <si>
    <t xml:space="preserve">TXN9006963</t>
  </si>
  <si>
    <t xml:space="preserve">T-101125</t>
  </si>
  <si>
    <t xml:space="preserve">TXN6587001</t>
  </si>
  <si>
    <t xml:space="preserve">T-101132</t>
  </si>
  <si>
    <t xml:space="preserve">TXN7275030</t>
  </si>
  <si>
    <t xml:space="preserve">T-101126</t>
  </si>
  <si>
    <t xml:space="preserve">TXN8325297</t>
  </si>
  <si>
    <t xml:space="preserve">T-101118</t>
  </si>
  <si>
    <t xml:space="preserve">TXN1229011</t>
  </si>
  <si>
    <t xml:space="preserve">T-101117</t>
  </si>
  <si>
    <t xml:space="preserve">TXN3018190</t>
  </si>
  <si>
    <t xml:space="preserve">T-101121</t>
  </si>
  <si>
    <t xml:space="preserve">TXN3440829</t>
  </si>
  <si>
    <t xml:space="preserve">T-101124</t>
  </si>
  <si>
    <t xml:space="preserve">TXN7098665</t>
  </si>
  <si>
    <t xml:space="preserve">T-101122</t>
  </si>
  <si>
    <t xml:space="preserve">TXN2697396</t>
  </si>
  <si>
    <t xml:space="preserve">T-101119</t>
  </si>
  <si>
    <t xml:space="preserve">TXN3579432</t>
  </si>
  <si>
    <t xml:space="preserve">T-101128</t>
  </si>
  <si>
    <t xml:space="preserve">TXN7434680</t>
  </si>
  <si>
    <t xml:space="preserve">T-101112</t>
  </si>
  <si>
    <t xml:space="preserve">TXN2562642</t>
  </si>
  <si>
    <t xml:space="preserve">T-101133</t>
  </si>
  <si>
    <t xml:space="preserve">TXN2555589</t>
  </si>
  <si>
    <t xml:space="preserve">T-101136</t>
  </si>
  <si>
    <t xml:space="preserve">TXN7196210</t>
  </si>
  <si>
    <t xml:space="preserve">T-101120</t>
  </si>
  <si>
    <t xml:space="preserve">TXN2956806</t>
  </si>
  <si>
    <t xml:space="preserve">T-101114</t>
  </si>
  <si>
    <t xml:space="preserve">TXN4115593</t>
  </si>
  <si>
    <t xml:space="preserve">T-101111</t>
  </si>
  <si>
    <t xml:space="preserve">TXN5436645</t>
  </si>
  <si>
    <t xml:space="preserve">T-101135</t>
  </si>
  <si>
    <t xml:space="preserve">TXN5758044</t>
  </si>
  <si>
    <t xml:space="preserve">T-101134</t>
  </si>
  <si>
    <t xml:space="preserve">TXN4187482</t>
  </si>
  <si>
    <t xml:space="preserve">T-101113</t>
  </si>
  <si>
    <t xml:space="preserve">TXN2216279</t>
  </si>
  <si>
    <t xml:space="preserve">T-101116</t>
  </si>
  <si>
    <t xml:space="preserve">TXN5857517</t>
  </si>
  <si>
    <t xml:space="preserve">T-101129</t>
  </si>
  <si>
    <t xml:space="preserve">TXN9996402</t>
  </si>
  <si>
    <t xml:space="preserve">T-101131</t>
  </si>
  <si>
    <t xml:space="preserve">TXN7227289</t>
  </si>
  <si>
    <t xml:space="preserve">T-101167</t>
  </si>
  <si>
    <t xml:space="preserve">TXN9026826</t>
  </si>
  <si>
    <t xml:space="preserve">T-101145</t>
  </si>
  <si>
    <t xml:space="preserve">TXN1148312</t>
  </si>
  <si>
    <t xml:space="preserve">T-101161</t>
  </si>
  <si>
    <t xml:space="preserve">TXN2919568</t>
  </si>
  <si>
    <t xml:space="preserve">T-101163</t>
  </si>
  <si>
    <t xml:space="preserve">TXN6139918</t>
  </si>
  <si>
    <t xml:space="preserve">T-101142</t>
  </si>
  <si>
    <t xml:space="preserve">TXN3214355</t>
  </si>
  <si>
    <t xml:space="preserve">T-101149</t>
  </si>
  <si>
    <t xml:space="preserve">TXN2744638</t>
  </si>
  <si>
    <t xml:space="preserve">T-101158</t>
  </si>
  <si>
    <t xml:space="preserve">TXN9778684</t>
  </si>
  <si>
    <t xml:space="preserve">T-101166</t>
  </si>
  <si>
    <t xml:space="preserve">TXN8884428</t>
  </si>
  <si>
    <t xml:space="preserve">T-101141</t>
  </si>
  <si>
    <t xml:space="preserve">TXN3179988</t>
  </si>
  <si>
    <t xml:space="preserve">T-101139</t>
  </si>
  <si>
    <t xml:space="preserve">TXN7028060</t>
  </si>
  <si>
    <t xml:space="preserve">T-101147</t>
  </si>
  <si>
    <t xml:space="preserve">TXN9011031</t>
  </si>
  <si>
    <t xml:space="preserve">T-101144</t>
  </si>
  <si>
    <t xml:space="preserve">TXN5879458</t>
  </si>
  <si>
    <t xml:space="preserve">T-101138</t>
  </si>
  <si>
    <t xml:space="preserve">TXN8356698</t>
  </si>
  <si>
    <t xml:space="preserve">T-101154</t>
  </si>
  <si>
    <t xml:space="preserve">TXN6045929</t>
  </si>
  <si>
    <t xml:space="preserve">T-101140</t>
  </si>
  <si>
    <t xml:space="preserve">TXN8280836</t>
  </si>
  <si>
    <t xml:space="preserve">T-101162</t>
  </si>
  <si>
    <t xml:space="preserve">TXN1951820</t>
  </si>
  <si>
    <t xml:space="preserve">T-101151</t>
  </si>
  <si>
    <t xml:space="preserve">TXN5122835</t>
  </si>
  <si>
    <t xml:space="preserve">T-101152</t>
  </si>
  <si>
    <t xml:space="preserve">TXN1459195</t>
  </si>
  <si>
    <t xml:space="preserve">T-101168</t>
  </si>
  <si>
    <t xml:space="preserve">TXN8601277</t>
  </si>
  <si>
    <t xml:space="preserve">T-101160</t>
  </si>
  <si>
    <t xml:space="preserve">TXN3934084</t>
  </si>
  <si>
    <t xml:space="preserve">T-101153</t>
  </si>
  <si>
    <t xml:space="preserve">TXN2091331</t>
  </si>
  <si>
    <t xml:space="preserve">T-101148</t>
  </si>
  <si>
    <t xml:space="preserve">TXN4596225</t>
  </si>
  <si>
    <t xml:space="preserve">T-101150</t>
  </si>
  <si>
    <t xml:space="preserve">TXN2816718</t>
  </si>
  <si>
    <t xml:space="preserve">T-101146</t>
  </si>
  <si>
    <t xml:space="preserve">TXN5181492</t>
  </si>
  <si>
    <t xml:space="preserve">T-101164</t>
  </si>
  <si>
    <t xml:space="preserve">TXN9476311</t>
  </si>
  <si>
    <t xml:space="preserve">T-101165</t>
  </si>
  <si>
    <t xml:space="preserve">TXN5205727</t>
  </si>
  <si>
    <t xml:space="preserve">T-101157</t>
  </si>
  <si>
    <t xml:space="preserve">TXN2282672</t>
  </si>
  <si>
    <t xml:space="preserve">T-101159</t>
  </si>
  <si>
    <t xml:space="preserve">TXN8358109</t>
  </si>
  <si>
    <t xml:space="preserve">T-101189</t>
  </si>
  <si>
    <t xml:space="preserve">TXN4819826</t>
  </si>
  <si>
    <t xml:space="preserve">T-101183</t>
  </si>
  <si>
    <t xml:space="preserve">TXN9795598</t>
  </si>
  <si>
    <t xml:space="preserve">T-101171</t>
  </si>
  <si>
    <t xml:space="preserve">TXN4829001</t>
  </si>
  <si>
    <t xml:space="preserve">T-101185</t>
  </si>
  <si>
    <t xml:space="preserve">TXN6395902</t>
  </si>
  <si>
    <t xml:space="preserve">T-101191</t>
  </si>
  <si>
    <t xml:space="preserve">TXN5921664</t>
  </si>
  <si>
    <t xml:space="preserve">T-101173</t>
  </si>
  <si>
    <t xml:space="preserve">TXN1166231</t>
  </si>
  <si>
    <t xml:space="preserve">T-101187</t>
  </si>
  <si>
    <t xml:space="preserve">TXN8821773</t>
  </si>
  <si>
    <t xml:space="preserve">T-101174</t>
  </si>
  <si>
    <t xml:space="preserve">TXN8867226</t>
  </si>
  <si>
    <t xml:space="preserve">T-101175</t>
  </si>
  <si>
    <t xml:space="preserve">TXN1025333</t>
  </si>
  <si>
    <t xml:space="preserve">T-101179</t>
  </si>
  <si>
    <t xml:space="preserve">TXN4267009</t>
  </si>
  <si>
    <t xml:space="preserve">T-101169</t>
  </si>
  <si>
    <t xml:space="preserve">TXN6523690</t>
  </si>
  <si>
    <t xml:space="preserve">T-101186</t>
  </si>
  <si>
    <t xml:space="preserve">TXN1002939</t>
  </si>
  <si>
    <t xml:space="preserve">T-101172</t>
  </si>
  <si>
    <t xml:space="preserve">TXN3492183</t>
  </si>
  <si>
    <t xml:space="preserve">T-101177</t>
  </si>
  <si>
    <t xml:space="preserve">TXN2731005</t>
  </si>
  <si>
    <t xml:space="preserve">T-101192</t>
  </si>
  <si>
    <t xml:space="preserve">TXN1618724</t>
  </si>
  <si>
    <t xml:space="preserve">T-101184</t>
  </si>
  <si>
    <t xml:space="preserve">TXN8931605</t>
  </si>
  <si>
    <t xml:space="preserve">T-101181</t>
  </si>
  <si>
    <t xml:space="preserve">TXN7893720</t>
  </si>
  <si>
    <t xml:space="preserve">T-101176</t>
  </si>
  <si>
    <t xml:space="preserve">TXN8347517</t>
  </si>
  <si>
    <t xml:space="preserve">T-101180</t>
  </si>
  <si>
    <t xml:space="preserve">TXN7704275</t>
  </si>
  <si>
    <t xml:space="preserve">T-101170</t>
  </si>
  <si>
    <t xml:space="preserve">TXN5305453</t>
  </si>
  <si>
    <t xml:space="preserve">T-101194</t>
  </si>
  <si>
    <t xml:space="preserve">TXN3019555</t>
  </si>
  <si>
    <t xml:space="preserve">T-101188</t>
  </si>
  <si>
    <t xml:space="preserve">TXN4291990</t>
  </si>
  <si>
    <t xml:space="preserve">T-101190</t>
  </si>
  <si>
    <t xml:space="preserve">TXN6173226</t>
  </si>
  <si>
    <t xml:space="preserve">T-101178</t>
  </si>
  <si>
    <t xml:space="preserve">TXN3116153</t>
  </si>
  <si>
    <t xml:space="preserve">T-101182</t>
  </si>
  <si>
    <t xml:space="preserve">TXN5521030</t>
  </si>
  <si>
    <t xml:space="preserve">T-101218</t>
  </si>
  <si>
    <t xml:space="preserve">TXN5975819</t>
  </si>
  <si>
    <t xml:space="preserve">T-101198</t>
  </si>
  <si>
    <t xml:space="preserve">TXN4860671</t>
  </si>
  <si>
    <t xml:space="preserve">T-101207</t>
  </si>
  <si>
    <t xml:space="preserve">TXN9698655</t>
  </si>
  <si>
    <t xml:space="preserve">T-101205</t>
  </si>
  <si>
    <t xml:space="preserve">TXN1536999</t>
  </si>
  <si>
    <t xml:space="preserve">T-101223</t>
  </si>
  <si>
    <t xml:space="preserve">TXN6696254</t>
  </si>
  <si>
    <t xml:space="preserve">T-101206</t>
  </si>
  <si>
    <t xml:space="preserve">TXN1212480</t>
  </si>
  <si>
    <t xml:space="preserve">T-101221</t>
  </si>
  <si>
    <t xml:space="preserve">TXN5621349</t>
  </si>
  <si>
    <t xml:space="preserve">T-101210</t>
  </si>
  <si>
    <t xml:space="preserve">TXN1938383</t>
  </si>
  <si>
    <t xml:space="preserve">T-101228</t>
  </si>
  <si>
    <t xml:space="preserve">TXN4049009</t>
  </si>
  <si>
    <t xml:space="preserve">T-101226</t>
  </si>
  <si>
    <t xml:space="preserve">TXN5579472</t>
  </si>
  <si>
    <t xml:space="preserve">T-101220</t>
  </si>
  <si>
    <t xml:space="preserve">TXN5093193</t>
  </si>
  <si>
    <t xml:space="preserve">T-101202</t>
  </si>
  <si>
    <t xml:space="preserve">TXN5459954</t>
  </si>
  <si>
    <t xml:space="preserve">T-101197</t>
  </si>
  <si>
    <t xml:space="preserve">TXN9104381</t>
  </si>
  <si>
    <t xml:space="preserve">T-101213</t>
  </si>
  <si>
    <t xml:space="preserve">TXN2054534</t>
  </si>
  <si>
    <t xml:space="preserve">T-101225</t>
  </si>
  <si>
    <t xml:space="preserve">TXN9255881</t>
  </si>
  <si>
    <t xml:space="preserve">T-101215</t>
  </si>
  <si>
    <t xml:space="preserve">TXN2230060</t>
  </si>
  <si>
    <t xml:space="preserve">T-101203</t>
  </si>
  <si>
    <t xml:space="preserve">TXN4780687</t>
  </si>
  <si>
    <t xml:space="preserve">T-101208</t>
  </si>
  <si>
    <t xml:space="preserve">TXN5613441</t>
  </si>
  <si>
    <t xml:space="preserve">T-101216</t>
  </si>
  <si>
    <t xml:space="preserve">TXN7726765</t>
  </si>
  <si>
    <t xml:space="preserve">T-101212</t>
  </si>
  <si>
    <t xml:space="preserve">TXN8904537</t>
  </si>
  <si>
    <t xml:space="preserve">T-101201</t>
  </si>
  <si>
    <t xml:space="preserve">TXN7792496</t>
  </si>
  <si>
    <t xml:space="preserve">T-101224</t>
  </si>
  <si>
    <t xml:space="preserve">TXN3785185</t>
  </si>
  <si>
    <t xml:space="preserve">T-101227</t>
  </si>
  <si>
    <t xml:space="preserve">TXN9456321</t>
  </si>
  <si>
    <t xml:space="preserve">T-101219</t>
  </si>
  <si>
    <t xml:space="preserve">TXN6189361</t>
  </si>
  <si>
    <t xml:space="preserve">T-101199</t>
  </si>
  <si>
    <t xml:space="preserve">TXN4066057</t>
  </si>
  <si>
    <t xml:space="preserve">T-101204</t>
  </si>
  <si>
    <t xml:space="preserve">TXN7632703</t>
  </si>
  <si>
    <t xml:space="preserve">T-101211</t>
  </si>
  <si>
    <t xml:space="preserve">TXN7017164</t>
  </si>
  <si>
    <t xml:space="preserve">T-101200</t>
  </si>
  <si>
    <t xml:space="preserve">TXN1097974</t>
  </si>
  <si>
    <t xml:space="preserve">T-101222</t>
  </si>
  <si>
    <t xml:space="preserve">TXN2939739</t>
  </si>
  <si>
    <t xml:space="preserve">T-101214</t>
  </si>
  <si>
    <t xml:space="preserve">TXN8132111</t>
  </si>
  <si>
    <t xml:space="preserve">T-101209</t>
  </si>
  <si>
    <t xml:space="preserve">TXN1790278</t>
  </si>
  <si>
    <t xml:space="preserve">T-101247</t>
  </si>
  <si>
    <t xml:space="preserve">TXN8520678</t>
  </si>
  <si>
    <t xml:space="preserve">T-101230</t>
  </si>
  <si>
    <t xml:space="preserve">TXN2804403</t>
  </si>
  <si>
    <t xml:space="preserve">T-101260</t>
  </si>
  <si>
    <t xml:space="preserve">TXN6696097</t>
  </si>
  <si>
    <t xml:space="preserve">T-101246</t>
  </si>
  <si>
    <t xml:space="preserve">TXN9309148</t>
  </si>
  <si>
    <t xml:space="preserve">T-101250</t>
  </si>
  <si>
    <t xml:space="preserve">TXN5487104</t>
  </si>
  <si>
    <t xml:space="preserve">T-101252</t>
  </si>
  <si>
    <t xml:space="preserve">TXN2254122</t>
  </si>
  <si>
    <t xml:space="preserve">T-101232</t>
  </si>
  <si>
    <t xml:space="preserve">TXN5574620</t>
  </si>
  <si>
    <t xml:space="preserve">T-101249</t>
  </si>
  <si>
    <t xml:space="preserve">TXN7792907</t>
  </si>
  <si>
    <t xml:space="preserve">T-101255</t>
  </si>
  <si>
    <t xml:space="preserve">TXN8060736</t>
  </si>
  <si>
    <t xml:space="preserve">T-101244</t>
  </si>
  <si>
    <t xml:space="preserve">TXN3618135</t>
  </si>
  <si>
    <t xml:space="preserve">T-101257</t>
  </si>
  <si>
    <t xml:space="preserve">TXN4858395</t>
  </si>
  <si>
    <t xml:space="preserve">T-101258</t>
  </si>
  <si>
    <t xml:space="preserve">TXN5040794</t>
  </si>
  <si>
    <t xml:space="preserve">T-101236</t>
  </si>
  <si>
    <t xml:space="preserve">TXN6709115</t>
  </si>
  <si>
    <t xml:space="preserve">T-101242</t>
  </si>
  <si>
    <t xml:space="preserve">TXN4164942</t>
  </si>
  <si>
    <t xml:space="preserve">T-101261</t>
  </si>
  <si>
    <t xml:space="preserve">TXN5599353</t>
  </si>
  <si>
    <t xml:space="preserve">T-101254</t>
  </si>
  <si>
    <t xml:space="preserve">TXN7546110</t>
  </si>
  <si>
    <t xml:space="preserve">T-101234</t>
  </si>
  <si>
    <t xml:space="preserve">TXN5239781</t>
  </si>
  <si>
    <t xml:space="preserve">T-101259</t>
  </si>
  <si>
    <t xml:space="preserve">TXN5026928</t>
  </si>
  <si>
    <t xml:space="preserve">T-101264</t>
  </si>
  <si>
    <t xml:space="preserve">TXN3768292</t>
  </si>
  <si>
    <t xml:space="preserve">T-101243</t>
  </si>
  <si>
    <t xml:space="preserve">TXN2048780</t>
  </si>
  <si>
    <t xml:space="preserve">T-101248</t>
  </si>
  <si>
    <t xml:space="preserve">TXN5350029</t>
  </si>
  <si>
    <t xml:space="preserve">T-101240</t>
  </si>
  <si>
    <t xml:space="preserve">TXN1926920</t>
  </si>
  <si>
    <t xml:space="preserve">T-101263</t>
  </si>
  <si>
    <t xml:space="preserve">TXN7433477</t>
  </si>
  <si>
    <t xml:space="preserve">T-101231</t>
  </si>
  <si>
    <t xml:space="preserve">TXN4492770</t>
  </si>
  <si>
    <t xml:space="preserve">T-101245</t>
  </si>
  <si>
    <t xml:space="preserve">TXN2436652</t>
  </si>
  <si>
    <t xml:space="preserve">T-101235</t>
  </si>
  <si>
    <t xml:space="preserve">TXN3883958</t>
  </si>
  <si>
    <t xml:space="preserve">T-101253</t>
  </si>
  <si>
    <t xml:space="preserve">TXN1913481</t>
  </si>
  <si>
    <t xml:space="preserve">T-101262</t>
  </si>
  <si>
    <t xml:space="preserve">TXN8235745</t>
  </si>
  <si>
    <t xml:space="preserve">T-101237</t>
  </si>
  <si>
    <t xml:space="preserve">TXN8281540</t>
  </si>
  <si>
    <t xml:space="preserve">T-101239</t>
  </si>
  <si>
    <t xml:space="preserve">TXN2208946</t>
  </si>
  <si>
    <t xml:space="preserve">T-101251</t>
  </si>
  <si>
    <t xml:space="preserve">TXN2218362</t>
  </si>
  <si>
    <t xml:space="preserve">T-101229</t>
  </si>
  <si>
    <t xml:space="preserve">TXN8326448</t>
  </si>
  <si>
    <t xml:space="preserve">T-101241</t>
  </si>
  <si>
    <t xml:space="preserve">TXN7982993</t>
  </si>
  <si>
    <t xml:space="preserve">T-101282</t>
  </si>
  <si>
    <t xml:space="preserve">TXN4352995</t>
  </si>
  <si>
    <t xml:space="preserve">T-101283</t>
  </si>
  <si>
    <t xml:space="preserve">TXN1006543</t>
  </si>
  <si>
    <t xml:space="preserve">T-101275</t>
  </si>
  <si>
    <t xml:space="preserve">TXN1212664</t>
  </si>
  <si>
    <t xml:space="preserve">T-101286</t>
  </si>
  <si>
    <t xml:space="preserve">TXN1802096</t>
  </si>
  <si>
    <t xml:space="preserve">T-101273</t>
  </si>
  <si>
    <t xml:space="preserve">TXN9543142</t>
  </si>
  <si>
    <t xml:space="preserve">T-101272</t>
  </si>
  <si>
    <t xml:space="preserve">TXN7713572</t>
  </si>
  <si>
    <t xml:space="preserve">T-101285</t>
  </si>
  <si>
    <t xml:space="preserve">TXN2960552</t>
  </si>
  <si>
    <t xml:space="preserve">T-101288</t>
  </si>
  <si>
    <t xml:space="preserve">TXN1857645</t>
  </si>
  <si>
    <t xml:space="preserve">T-101277</t>
  </si>
  <si>
    <t xml:space="preserve">TXN1337639</t>
  </si>
  <si>
    <t xml:space="preserve">T-101265</t>
  </si>
  <si>
    <t xml:space="preserve">TXN1693397</t>
  </si>
  <si>
    <t xml:space="preserve">T-101268</t>
  </si>
  <si>
    <t xml:space="preserve">TXN5723150</t>
  </si>
  <si>
    <t xml:space="preserve">T-101271</t>
  </si>
  <si>
    <t xml:space="preserve">TXN5299523</t>
  </si>
  <si>
    <t xml:space="preserve">T-101270</t>
  </si>
  <si>
    <t xml:space="preserve">TXN1132383</t>
  </si>
  <si>
    <t xml:space="preserve">T-101266</t>
  </si>
  <si>
    <t xml:space="preserve">TXN5448713</t>
  </si>
  <si>
    <t xml:space="preserve">T-101269</t>
  </si>
  <si>
    <t xml:space="preserve">TXN9811137</t>
  </si>
  <si>
    <t xml:space="preserve">T-101279</t>
  </si>
  <si>
    <t xml:space="preserve">TXN5164081</t>
  </si>
  <si>
    <t xml:space="preserve">T-101281</t>
  </si>
  <si>
    <t xml:space="preserve">TXN7068682</t>
  </si>
  <si>
    <t xml:space="preserve">T-101267</t>
  </si>
  <si>
    <t xml:space="preserve">TXN6650115</t>
  </si>
  <si>
    <t xml:space="preserve">T-101280</t>
  </si>
  <si>
    <t xml:space="preserve">TXN7958384</t>
  </si>
  <si>
    <t xml:space="preserve">T-101287</t>
  </si>
  <si>
    <t xml:space="preserve">TXN6760115</t>
  </si>
  <si>
    <t xml:space="preserve">T-101278</t>
  </si>
  <si>
    <t xml:space="preserve">TXN3226697</t>
  </si>
  <si>
    <t xml:space="preserve">T-101276</t>
  </si>
  <si>
    <t xml:space="preserve">TXN5342815</t>
  </si>
  <si>
    <t xml:space="preserve">T-101315</t>
  </si>
  <si>
    <t xml:space="preserve">TXN6767625</t>
  </si>
  <si>
    <t xml:space="preserve">T-101303</t>
  </si>
  <si>
    <t xml:space="preserve">TXN1998238</t>
  </si>
  <si>
    <t xml:space="preserve">T-101302</t>
  </si>
  <si>
    <t xml:space="preserve">TXN2558415</t>
  </si>
  <si>
    <t xml:space="preserve">T-101322</t>
  </si>
  <si>
    <t xml:space="preserve">TXN2833999</t>
  </si>
  <si>
    <t xml:space="preserve">T-101301</t>
  </si>
  <si>
    <t xml:space="preserve">TXN1111823</t>
  </si>
  <si>
    <t xml:space="preserve">T-101298</t>
  </si>
  <si>
    <t xml:space="preserve">TXN5876033</t>
  </si>
  <si>
    <t xml:space="preserve">T-101304</t>
  </si>
  <si>
    <t xml:space="preserve">TXN1415771</t>
  </si>
  <si>
    <t xml:space="preserve">T-101326</t>
  </si>
  <si>
    <t xml:space="preserve">TXN3652423</t>
  </si>
  <si>
    <t xml:space="preserve">T-101290</t>
  </si>
  <si>
    <t xml:space="preserve">TXN5781285</t>
  </si>
  <si>
    <t xml:space="preserve">T-101291</t>
  </si>
  <si>
    <t xml:space="preserve">TXN9598444</t>
  </si>
  <si>
    <t xml:space="preserve">T-101318</t>
  </si>
  <si>
    <t xml:space="preserve">TXN2761808</t>
  </si>
  <si>
    <t xml:space="preserve">T-101313</t>
  </si>
  <si>
    <t xml:space="preserve">TXN3960601</t>
  </si>
  <si>
    <t xml:space="preserve">T-101325</t>
  </si>
  <si>
    <t xml:space="preserve">TXN7320768</t>
  </si>
  <si>
    <t xml:space="preserve">T-101314</t>
  </si>
  <si>
    <t xml:space="preserve">TXN9132296</t>
  </si>
  <si>
    <t xml:space="preserve">T-101305</t>
  </si>
  <si>
    <t xml:space="preserve">TXN2049323</t>
  </si>
  <si>
    <t xml:space="preserve">T-101323</t>
  </si>
  <si>
    <t xml:space="preserve">TXN4913838</t>
  </si>
  <si>
    <t xml:space="preserve">T-101308</t>
  </si>
  <si>
    <t xml:space="preserve">TXN6209696</t>
  </si>
  <si>
    <t xml:space="preserve">T-101293</t>
  </si>
  <si>
    <t xml:space="preserve">TXN9325565</t>
  </si>
  <si>
    <t xml:space="preserve">T-101307</t>
  </si>
  <si>
    <t xml:space="preserve">TXN5798646</t>
  </si>
  <si>
    <t xml:space="preserve">T-101312</t>
  </si>
  <si>
    <t xml:space="preserve">TXN1329650</t>
  </si>
  <si>
    <t xml:space="preserve">T-101324</t>
  </si>
  <si>
    <t xml:space="preserve">TXN6257900</t>
  </si>
  <si>
    <t xml:space="preserve">T-101317</t>
  </si>
  <si>
    <t xml:space="preserve">TXN2442525</t>
  </si>
  <si>
    <t xml:space="preserve">T-101299</t>
  </si>
  <si>
    <t xml:space="preserve">TXN1575718</t>
  </si>
  <si>
    <t xml:space="preserve">T-101295</t>
  </si>
  <si>
    <t xml:space="preserve">TXN5885967</t>
  </si>
  <si>
    <t xml:space="preserve">T-101320</t>
  </si>
  <si>
    <t xml:space="preserve">TXN8410035</t>
  </si>
  <si>
    <t xml:space="preserve">T-101292</t>
  </si>
  <si>
    <t xml:space="preserve">TXN9257572</t>
  </si>
  <si>
    <t xml:space="preserve">T-101296</t>
  </si>
  <si>
    <t xml:space="preserve">TXN5930197</t>
  </si>
  <si>
    <t xml:space="preserve">T-101328</t>
  </si>
  <si>
    <t xml:space="preserve">TXN5391236</t>
  </si>
  <si>
    <t xml:space="preserve">T-101309</t>
  </si>
  <si>
    <t xml:space="preserve">TXN7747941</t>
  </si>
  <si>
    <t xml:space="preserve">T-101297</t>
  </si>
  <si>
    <t xml:space="preserve">TXN7934454</t>
  </si>
  <si>
    <t xml:space="preserve">T-101321</t>
  </si>
  <si>
    <t xml:space="preserve">TXN6188443</t>
  </si>
  <si>
    <t xml:space="preserve">T-101319</t>
  </si>
  <si>
    <t xml:space="preserve">TXN9059680</t>
  </si>
  <si>
    <t xml:space="preserve">T-101294</t>
  </si>
  <si>
    <t xml:space="preserve">TXN9203768</t>
  </si>
  <si>
    <t xml:space="preserve">T-101316</t>
  </si>
  <si>
    <t xml:space="preserve">TXN9676130</t>
  </si>
  <si>
    <t xml:space="preserve">T-101306</t>
  </si>
  <si>
    <t xml:space="preserve">TXN1998920</t>
  </si>
  <si>
    <t xml:space="preserve">T-101310</t>
  </si>
  <si>
    <t xml:space="preserve">TXN3487521</t>
  </si>
  <si>
    <t xml:space="preserve">T-101300</t>
  </si>
  <si>
    <t xml:space="preserve">TXN9554078</t>
  </si>
  <si>
    <t xml:space="preserve">T-101289</t>
  </si>
  <si>
    <t xml:space="preserve">TXN8789274</t>
  </si>
  <si>
    <t xml:space="preserve">T-101359</t>
  </si>
  <si>
    <t xml:space="preserve">TXN9529174</t>
  </si>
  <si>
    <t xml:space="preserve">T-101331</t>
  </si>
  <si>
    <t xml:space="preserve">TXN9586254</t>
  </si>
  <si>
    <t xml:space="preserve">T-101356</t>
  </si>
  <si>
    <t xml:space="preserve">TXN9927843</t>
  </si>
  <si>
    <t xml:space="preserve">T-101357</t>
  </si>
  <si>
    <t xml:space="preserve">TXN6555670</t>
  </si>
  <si>
    <t xml:space="preserve">T-101333</t>
  </si>
  <si>
    <t xml:space="preserve">TXN1998105</t>
  </si>
  <si>
    <t xml:space="preserve">T-101336</t>
  </si>
  <si>
    <t xml:space="preserve">TXN7798468</t>
  </si>
  <si>
    <t xml:space="preserve">T-101352</t>
  </si>
  <si>
    <t xml:space="preserve">TXN9586900</t>
  </si>
  <si>
    <t xml:space="preserve">T-101329</t>
  </si>
  <si>
    <t xml:space="preserve">TXN1577760</t>
  </si>
  <si>
    <t xml:space="preserve">T-101332</t>
  </si>
  <si>
    <t xml:space="preserve">TXN9097392</t>
  </si>
  <si>
    <t xml:space="preserve">T-101351</t>
  </si>
  <si>
    <t xml:space="preserve">TXN2444057</t>
  </si>
  <si>
    <t xml:space="preserve">T-101335</t>
  </si>
  <si>
    <t xml:space="preserve">TXN9381006</t>
  </si>
  <si>
    <t xml:space="preserve">T-101353</t>
  </si>
  <si>
    <t xml:space="preserve">TXN8568119</t>
  </si>
  <si>
    <t xml:space="preserve">T-101349</t>
  </si>
  <si>
    <t xml:space="preserve">TXN5066063</t>
  </si>
  <si>
    <t xml:space="preserve">T-101340</t>
  </si>
  <si>
    <t xml:space="preserve">TXN8197965</t>
  </si>
  <si>
    <t xml:space="preserve">T-101343</t>
  </si>
  <si>
    <t xml:space="preserve">TXN6092759</t>
  </si>
  <si>
    <t xml:space="preserve">T-101337</t>
  </si>
  <si>
    <t xml:space="preserve">TXN9063900</t>
  </si>
  <si>
    <t xml:space="preserve">T-101334</t>
  </si>
  <si>
    <t xml:space="preserve">TXN6130517</t>
  </si>
  <si>
    <t xml:space="preserve">T-101345</t>
  </si>
  <si>
    <t xml:space="preserve">TXN5105357</t>
  </si>
  <si>
    <t xml:space="preserve">T-101348</t>
  </si>
  <si>
    <t xml:space="preserve">TXN6612437</t>
  </si>
  <si>
    <t xml:space="preserve">T-101358</t>
  </si>
  <si>
    <t xml:space="preserve">TXN7937274</t>
  </si>
  <si>
    <t xml:space="preserve">T-101346</t>
  </si>
  <si>
    <t xml:space="preserve">TXN2290163</t>
  </si>
  <si>
    <t xml:space="preserve">T-101350</t>
  </si>
  <si>
    <t xml:space="preserve">TXN6662031</t>
  </si>
  <si>
    <t xml:space="preserve">T-101339</t>
  </si>
  <si>
    <t xml:space="preserve">TXN5012851</t>
  </si>
  <si>
    <t xml:space="preserve">T-101338</t>
  </si>
  <si>
    <t xml:space="preserve">TXN6804879</t>
  </si>
  <si>
    <t xml:space="preserve">T-101347</t>
  </si>
  <si>
    <t xml:space="preserve">TXN8034795</t>
  </si>
  <si>
    <t xml:space="preserve">T-101344</t>
  </si>
  <si>
    <t xml:space="preserve">TXN7756779</t>
  </si>
  <si>
    <t xml:space="preserve">T-101330</t>
  </si>
  <si>
    <t xml:space="preserve">TXN4515313</t>
  </si>
  <si>
    <t xml:space="preserve">T-101383</t>
  </si>
  <si>
    <t xml:space="preserve">TXN7952571</t>
  </si>
  <si>
    <t xml:space="preserve">T-101386</t>
  </si>
  <si>
    <t xml:space="preserve">TXN6193468</t>
  </si>
  <si>
    <t xml:space="preserve">T-101365</t>
  </si>
  <si>
    <t xml:space="preserve">TXN8095328</t>
  </si>
  <si>
    <t xml:space="preserve">T-101399</t>
  </si>
  <si>
    <t xml:space="preserve">TXN1328591</t>
  </si>
  <si>
    <t xml:space="preserve">T-101400</t>
  </si>
  <si>
    <t xml:space="preserve">TXN1802075</t>
  </si>
  <si>
    <t xml:space="preserve">T-101373</t>
  </si>
  <si>
    <t xml:space="preserve">TXN6189811</t>
  </si>
  <si>
    <t xml:space="preserve">T-101370</t>
  </si>
  <si>
    <t xml:space="preserve">TXN9995713</t>
  </si>
  <si>
    <t xml:space="preserve">T-101385</t>
  </si>
  <si>
    <t xml:space="preserve">TXN4374906</t>
  </si>
  <si>
    <t xml:space="preserve">T-101398</t>
  </si>
  <si>
    <t xml:space="preserve">TXN7069299</t>
  </si>
  <si>
    <t xml:space="preserve">T-101394</t>
  </si>
  <si>
    <t xml:space="preserve">TXN4701045</t>
  </si>
  <si>
    <t xml:space="preserve">T-101368</t>
  </si>
  <si>
    <t xml:space="preserve">TXN2496515</t>
  </si>
  <si>
    <t xml:space="preserve">T-101376</t>
  </si>
  <si>
    <t xml:space="preserve">TXN1175488</t>
  </si>
  <si>
    <t xml:space="preserve">T-101392</t>
  </si>
  <si>
    <t xml:space="preserve">TXN8501900</t>
  </si>
  <si>
    <t xml:space="preserve">T-101375</t>
  </si>
  <si>
    <t xml:space="preserve">TXN3438121</t>
  </si>
  <si>
    <t xml:space="preserve">T-101369</t>
  </si>
  <si>
    <t xml:space="preserve">TXN2192798</t>
  </si>
  <si>
    <t xml:space="preserve">T-101389</t>
  </si>
  <si>
    <t xml:space="preserve">TXN1186295</t>
  </si>
  <si>
    <t xml:space="preserve">T-101361</t>
  </si>
  <si>
    <t xml:space="preserve">TXN4081577</t>
  </si>
  <si>
    <t xml:space="preserve">T-101379</t>
  </si>
  <si>
    <t xml:space="preserve">TXN1636660</t>
  </si>
  <si>
    <t xml:space="preserve">T-101377</t>
  </si>
  <si>
    <t xml:space="preserve">TXN4926410</t>
  </si>
  <si>
    <t xml:space="preserve">T-101380</t>
  </si>
  <si>
    <t xml:space="preserve">TXN5432498</t>
  </si>
  <si>
    <t xml:space="preserve">T-101364</t>
  </si>
  <si>
    <t xml:space="preserve">TXN8731502</t>
  </si>
  <si>
    <t xml:space="preserve">T-101371</t>
  </si>
  <si>
    <t xml:space="preserve">TXN5959446</t>
  </si>
  <si>
    <t xml:space="preserve">T-101360</t>
  </si>
  <si>
    <t xml:space="preserve">TXN4027980</t>
  </si>
  <si>
    <t xml:space="preserve">T-101366</t>
  </si>
  <si>
    <t xml:space="preserve">TXN1195051</t>
  </si>
  <si>
    <t xml:space="preserve">T-101393</t>
  </si>
  <si>
    <t xml:space="preserve">TXN5415469</t>
  </si>
  <si>
    <t xml:space="preserve">T-101363</t>
  </si>
  <si>
    <t xml:space="preserve">TXN2784753</t>
  </si>
  <si>
    <t xml:space="preserve">T-101374</t>
  </si>
  <si>
    <t xml:space="preserve">TXN7691899</t>
  </si>
  <si>
    <t xml:space="preserve">T-101387</t>
  </si>
  <si>
    <t xml:space="preserve">TXN8759270</t>
  </si>
  <si>
    <t xml:space="preserve">T-101372</t>
  </si>
  <si>
    <t xml:space="preserve">TXN5471366</t>
  </si>
  <si>
    <t xml:space="preserve">T-101390</t>
  </si>
  <si>
    <t xml:space="preserve">TXN4180429</t>
  </si>
  <si>
    <t xml:space="preserve">T-101362</t>
  </si>
  <si>
    <t xml:space="preserve">TXN4367412</t>
  </si>
  <si>
    <t xml:space="preserve">T-101384</t>
  </si>
  <si>
    <t xml:space="preserve">TXN4273298</t>
  </si>
  <si>
    <t xml:space="preserve">T-101378</t>
  </si>
  <si>
    <t xml:space="preserve">TXN5487727</t>
  </si>
  <si>
    <t xml:space="preserve">T-101397</t>
  </si>
  <si>
    <t xml:space="preserve">TXN3128935</t>
  </si>
  <si>
    <t xml:space="preserve">T-101367</t>
  </si>
  <si>
    <t xml:space="preserve">TXN4357540</t>
  </si>
  <si>
    <t xml:space="preserve">T-101382</t>
  </si>
  <si>
    <t xml:space="preserve">TXN1556472</t>
  </si>
  <si>
    <t xml:space="preserve">T-101388</t>
  </si>
  <si>
    <t xml:space="preserve">TXN5956690</t>
  </si>
  <si>
    <t xml:space="preserve">T-101396</t>
  </si>
  <si>
    <t xml:space="preserve">TXN7081076</t>
  </si>
  <si>
    <t xml:space="preserve">T-101381</t>
  </si>
  <si>
    <t xml:space="preserve">TXN5993487</t>
  </si>
  <si>
    <t xml:space="preserve">T-101395</t>
  </si>
  <si>
    <t xml:space="preserve">TXN9655170</t>
  </si>
  <si>
    <t xml:space="preserve">T-101407</t>
  </si>
  <si>
    <t xml:space="preserve">TXN5535607</t>
  </si>
  <si>
    <t xml:space="preserve">T-101424</t>
  </si>
  <si>
    <t xml:space="preserve">TXN5119093</t>
  </si>
  <si>
    <t xml:space="preserve">T-101436</t>
  </si>
  <si>
    <t xml:space="preserve">TXN9852584</t>
  </si>
  <si>
    <t xml:space="preserve">T-101431</t>
  </si>
  <si>
    <t xml:space="preserve">TXN1516807</t>
  </si>
  <si>
    <t xml:space="preserve">T-101425</t>
  </si>
  <si>
    <t xml:space="preserve">TXN4593868</t>
  </si>
  <si>
    <t xml:space="preserve">T-101410</t>
  </si>
  <si>
    <t xml:space="preserve">TXN7371781</t>
  </si>
  <si>
    <t xml:space="preserve">T-101419</t>
  </si>
  <si>
    <t xml:space="preserve">TXN4180887</t>
  </si>
  <si>
    <t xml:space="preserve">T-101401</t>
  </si>
  <si>
    <t xml:space="preserve">TXN3232444</t>
  </si>
  <si>
    <t xml:space="preserve">T-101428</t>
  </si>
  <si>
    <t xml:space="preserve">TXN5887820</t>
  </si>
  <si>
    <t xml:space="preserve">T-101434</t>
  </si>
  <si>
    <t xml:space="preserve">TXN6992041</t>
  </si>
  <si>
    <t xml:space="preserve">T-101404</t>
  </si>
  <si>
    <t xml:space="preserve">TXN7860800</t>
  </si>
  <si>
    <t xml:space="preserve">T-101412</t>
  </si>
  <si>
    <t xml:space="preserve">TXN1313726</t>
  </si>
  <si>
    <t xml:space="preserve">T-101426</t>
  </si>
  <si>
    <t xml:space="preserve">TXN6719624</t>
  </si>
  <si>
    <t xml:space="preserve">T-101440</t>
  </si>
  <si>
    <t xml:space="preserve">TXN6162865</t>
  </si>
  <si>
    <t xml:space="preserve">T-101439</t>
  </si>
  <si>
    <t xml:space="preserve">TXN8990646</t>
  </si>
  <si>
    <t xml:space="preserve">T-101416</t>
  </si>
  <si>
    <t xml:space="preserve">TXN4517649</t>
  </si>
  <si>
    <t xml:space="preserve">T-101420</t>
  </si>
  <si>
    <t xml:space="preserve">TXN3109793</t>
  </si>
  <si>
    <t xml:space="preserve">T-101406</t>
  </si>
  <si>
    <t xml:space="preserve">TXN4140940</t>
  </si>
  <si>
    <t xml:space="preserve">T-101418</t>
  </si>
  <si>
    <t xml:space="preserve">TXN9781365</t>
  </si>
  <si>
    <t xml:space="preserve">T-101409</t>
  </si>
  <si>
    <t xml:space="preserve">TXN8802491</t>
  </si>
  <si>
    <t xml:space="preserve">T-101430</t>
  </si>
  <si>
    <t xml:space="preserve">TXN5324360</t>
  </si>
  <si>
    <t xml:space="preserve">T-101413</t>
  </si>
  <si>
    <t xml:space="preserve">TXN2656581</t>
  </si>
  <si>
    <t xml:space="preserve">T-101432</t>
  </si>
  <si>
    <t xml:space="preserve">TXN2432895</t>
  </si>
  <si>
    <t xml:space="preserve">T-101403</t>
  </si>
  <si>
    <t xml:space="preserve">TXN6115348</t>
  </si>
  <si>
    <t xml:space="preserve">T-101405</t>
  </si>
  <si>
    <t xml:space="preserve">TXN4739044</t>
  </si>
  <si>
    <t xml:space="preserve">T-101427</t>
  </si>
  <si>
    <t xml:space="preserve">TXN1788847</t>
  </si>
  <si>
    <t xml:space="preserve">T-101414</t>
  </si>
  <si>
    <t xml:space="preserve">TXN5147484</t>
  </si>
  <si>
    <t xml:space="preserve">T-101438</t>
  </si>
  <si>
    <t xml:space="preserve">TXN9307930</t>
  </si>
  <si>
    <t xml:space="preserve">T-101435</t>
  </si>
  <si>
    <t xml:space="preserve">TXN7005011</t>
  </si>
  <si>
    <t xml:space="preserve">T-101415</t>
  </si>
  <si>
    <t xml:space="preserve">TXN5223577</t>
  </si>
  <si>
    <t xml:space="preserve">T-101411</t>
  </si>
  <si>
    <t xml:space="preserve">TXN5857273</t>
  </si>
  <si>
    <t xml:space="preserve">T-101429</t>
  </si>
  <si>
    <t xml:space="preserve">TXN7208215</t>
  </si>
  <si>
    <t xml:space="preserve">T-101417</t>
  </si>
  <si>
    <t xml:space="preserve">TXN1312826</t>
  </si>
  <si>
    <t xml:space="preserve">T-101408</t>
  </si>
  <si>
    <t xml:space="preserve">TXN4242929</t>
  </si>
  <si>
    <t xml:space="preserve">T-101441</t>
  </si>
  <si>
    <t xml:space="preserve">TXN6058762</t>
  </si>
  <si>
    <t xml:space="preserve">T-101421</t>
  </si>
  <si>
    <t xml:space="preserve">TXN1381556</t>
  </si>
  <si>
    <t xml:space="preserve">T-101423</t>
  </si>
  <si>
    <t xml:space="preserve">TXN9831626</t>
  </si>
  <si>
    <t xml:space="preserve">T-101433</t>
  </si>
  <si>
    <t xml:space="preserve">TXN7542775</t>
  </si>
  <si>
    <t xml:space="preserve">T-101459</t>
  </si>
  <si>
    <t xml:space="preserve">TXN9516609</t>
  </si>
  <si>
    <t xml:space="preserve">T-101451</t>
  </si>
  <si>
    <t xml:space="preserve">TXN8552775</t>
  </si>
  <si>
    <t xml:space="preserve">T-101467</t>
  </si>
  <si>
    <t xml:space="preserve">TXN7602859</t>
  </si>
  <si>
    <t xml:space="preserve">T-101452</t>
  </si>
  <si>
    <t xml:space="preserve">TXN8541824</t>
  </si>
  <si>
    <t xml:space="preserve">T-101446</t>
  </si>
  <si>
    <t xml:space="preserve">TXN7440124</t>
  </si>
  <si>
    <t xml:space="preserve">T-101468</t>
  </si>
  <si>
    <t xml:space="preserve">TXN2875239</t>
  </si>
  <si>
    <t xml:space="preserve">T-101470</t>
  </si>
  <si>
    <t xml:space="preserve">TXN4032614</t>
  </si>
  <si>
    <t xml:space="preserve">T-101448</t>
  </si>
  <si>
    <t xml:space="preserve">TXN5644872</t>
  </si>
  <si>
    <t xml:space="preserve">T-101444</t>
  </si>
  <si>
    <t xml:space="preserve">TXN1744874</t>
  </si>
  <si>
    <t xml:space="preserve">T-101457</t>
  </si>
  <si>
    <t xml:space="preserve">TXN2935312</t>
  </si>
  <si>
    <t xml:space="preserve">T-101445</t>
  </si>
  <si>
    <t xml:space="preserve">TXN8664291</t>
  </si>
  <si>
    <t xml:space="preserve">T-101463</t>
  </si>
  <si>
    <t xml:space="preserve">TXN8505035</t>
  </si>
  <si>
    <t xml:space="preserve">T-101454</t>
  </si>
  <si>
    <t xml:space="preserve">TXN6405457</t>
  </si>
  <si>
    <t xml:space="preserve">T-101462</t>
  </si>
  <si>
    <t xml:space="preserve">TXN1301258</t>
  </si>
  <si>
    <t xml:space="preserve">T-101458</t>
  </si>
  <si>
    <t xml:space="preserve">TXN4863793</t>
  </si>
  <si>
    <t xml:space="preserve">T-101464</t>
  </si>
  <si>
    <t xml:space="preserve">TXN1667984</t>
  </si>
  <si>
    <t xml:space="preserve">T-101469</t>
  </si>
  <si>
    <t xml:space="preserve">TXN1937927</t>
  </si>
  <si>
    <t xml:space="preserve">T-101443</t>
  </si>
  <si>
    <t xml:space="preserve">TXN5255931</t>
  </si>
  <si>
    <t xml:space="preserve">T-101449</t>
  </si>
  <si>
    <t xml:space="preserve">TXN3429706</t>
  </si>
  <si>
    <t xml:space="preserve">T-101447</t>
  </si>
  <si>
    <t xml:space="preserve">TXN9819105</t>
  </si>
  <si>
    <t xml:space="preserve">T-101455</t>
  </si>
  <si>
    <t xml:space="preserve">TXN4954851</t>
  </si>
  <si>
    <t xml:space="preserve">T-101456</t>
  </si>
  <si>
    <t xml:space="preserve">TXN8066832</t>
  </si>
  <si>
    <t xml:space="preserve">T-101466</t>
  </si>
  <si>
    <t xml:space="preserve">TXN1982569</t>
  </si>
  <si>
    <t xml:space="preserve">T-101442</t>
  </si>
  <si>
    <t xml:space="preserve">TXN5766038</t>
  </si>
  <si>
    <t xml:space="preserve">T-101465</t>
  </si>
  <si>
    <t xml:space="preserve">TXN7156142</t>
  </si>
  <si>
    <t xml:space="preserve">T-101460</t>
  </si>
  <si>
    <t xml:space="preserve">TXN4039253</t>
  </si>
  <si>
    <t xml:space="preserve">T-101450</t>
  </si>
  <si>
    <t xml:space="preserve">TXN4408989</t>
  </si>
  <si>
    <t xml:space="preserve">T-101503</t>
  </si>
  <si>
    <t xml:space="preserve">TXN3941527</t>
  </si>
  <si>
    <t xml:space="preserve">2025-05</t>
  </si>
  <si>
    <t xml:space="preserve">T-101501</t>
  </si>
  <si>
    <t xml:space="preserve">TXN3656388</t>
  </si>
  <si>
    <t xml:space="preserve">T-101494</t>
  </si>
  <si>
    <t xml:space="preserve">TXN9131094</t>
  </si>
  <si>
    <t xml:space="preserve">T-101493</t>
  </si>
  <si>
    <t xml:space="preserve">TXN8374635</t>
  </si>
  <si>
    <t xml:space="preserve">T-101507</t>
  </si>
  <si>
    <t xml:space="preserve">TXN5620941</t>
  </si>
  <si>
    <t xml:space="preserve">T-101506</t>
  </si>
  <si>
    <t xml:space="preserve">TXN6614242</t>
  </si>
  <si>
    <t xml:space="preserve">T-101489</t>
  </si>
  <si>
    <t xml:space="preserve">TXN7390667</t>
  </si>
  <si>
    <t xml:space="preserve">T-101490</t>
  </si>
  <si>
    <t xml:space="preserve">TXN8663133</t>
  </si>
  <si>
    <t xml:space="preserve">T-101478</t>
  </si>
  <si>
    <t xml:space="preserve">TXN8015446</t>
  </si>
  <si>
    <t xml:space="preserve">T-101477</t>
  </si>
  <si>
    <t xml:space="preserve">TXN3687355</t>
  </si>
  <si>
    <t xml:space="preserve">T-101497</t>
  </si>
  <si>
    <t xml:space="preserve">TXN4708920</t>
  </si>
  <si>
    <t xml:space="preserve">T-101482</t>
  </si>
  <si>
    <t xml:space="preserve">TXN8676839</t>
  </si>
  <si>
    <t xml:space="preserve">T-101473</t>
  </si>
  <si>
    <t xml:space="preserve">TXN3991685</t>
  </si>
  <si>
    <t xml:space="preserve">T-101496</t>
  </si>
  <si>
    <t xml:space="preserve">TXN9060811</t>
  </si>
  <si>
    <t xml:space="preserve">T-101474</t>
  </si>
  <si>
    <t xml:space="preserve">TXN7252743</t>
  </si>
  <si>
    <t xml:space="preserve">T-101483</t>
  </si>
  <si>
    <t xml:space="preserve">TXN5043094</t>
  </si>
  <si>
    <t xml:space="preserve">T-101485</t>
  </si>
  <si>
    <t xml:space="preserve">TXN1648833</t>
  </si>
  <si>
    <t xml:space="preserve">T-101508</t>
  </si>
  <si>
    <t xml:space="preserve">TXN1844336</t>
  </si>
  <si>
    <t xml:space="preserve">T-101495</t>
  </si>
  <si>
    <t xml:space="preserve">TXN4838089</t>
  </si>
  <si>
    <t xml:space="preserve">T-101475</t>
  </si>
  <si>
    <t xml:space="preserve">TXN8827374</t>
  </si>
  <si>
    <t xml:space="preserve">T-101481</t>
  </si>
  <si>
    <t xml:space="preserve">TXN1810392</t>
  </si>
  <si>
    <t xml:space="preserve">T-101486</t>
  </si>
  <si>
    <t xml:space="preserve">TXN6252840</t>
  </si>
  <si>
    <t xml:space="preserve">T-101472</t>
  </si>
  <si>
    <t xml:space="preserve">TXN5228545</t>
  </si>
  <si>
    <t xml:space="preserve">T-101471</t>
  </si>
  <si>
    <t xml:space="preserve">TXN7777856</t>
  </si>
  <si>
    <t xml:space="preserve">T-101479</t>
  </si>
  <si>
    <t xml:space="preserve">TXN9510186</t>
  </si>
  <si>
    <t xml:space="preserve">T-101491</t>
  </si>
  <si>
    <t xml:space="preserve">TXN9358689</t>
  </si>
  <si>
    <t xml:space="preserve">T-101484</t>
  </si>
  <si>
    <t xml:space="preserve">TXN7893380</t>
  </si>
  <si>
    <t xml:space="preserve">T-101499</t>
  </si>
  <si>
    <t xml:space="preserve">TXN5830844</t>
  </si>
  <si>
    <t xml:space="preserve">T-101498</t>
  </si>
  <si>
    <t xml:space="preserve">TXN3774333</t>
  </si>
  <si>
    <t xml:space="preserve">T-101505</t>
  </si>
  <si>
    <t xml:space="preserve">TXN5606332</t>
  </si>
  <si>
    <t xml:space="preserve">T-101500</t>
  </si>
  <si>
    <t xml:space="preserve">TXN4787856</t>
  </si>
  <si>
    <t xml:space="preserve">T-101476</t>
  </si>
  <si>
    <t xml:space="preserve">TXN1894324</t>
  </si>
  <si>
    <t xml:space="preserve">T-101502</t>
  </si>
  <si>
    <t xml:space="preserve">TXN8110776</t>
  </si>
  <si>
    <t xml:space="preserve">T-101504</t>
  </si>
  <si>
    <t xml:space="preserve">TXN5311626</t>
  </si>
  <si>
    <t xml:space="preserve">T-101492</t>
  </si>
  <si>
    <t xml:space="preserve">TXN7979427</t>
  </si>
  <si>
    <t xml:space="preserve">T-101487</t>
  </si>
  <si>
    <t xml:space="preserve">TXN6048341</t>
  </si>
  <si>
    <t xml:space="preserve">T-101531</t>
  </si>
  <si>
    <t xml:space="preserve">TXN7057195</t>
  </si>
  <si>
    <t xml:space="preserve">T-101536</t>
  </si>
  <si>
    <t xml:space="preserve">TXN8664677</t>
  </si>
  <si>
    <t xml:space="preserve">T-101545</t>
  </si>
  <si>
    <t xml:space="preserve">TXN1639488</t>
  </si>
  <si>
    <t xml:space="preserve">T-101530</t>
  </si>
  <si>
    <t xml:space="preserve">TXN3731055</t>
  </si>
  <si>
    <t xml:space="preserve">T-101540</t>
  </si>
  <si>
    <t xml:space="preserve">TXN8186485</t>
  </si>
  <si>
    <t xml:space="preserve">T-101514</t>
  </si>
  <si>
    <t xml:space="preserve">TXN6276549</t>
  </si>
  <si>
    <t xml:space="preserve">T-101510</t>
  </si>
  <si>
    <t xml:space="preserve">TXN2752439</t>
  </si>
  <si>
    <t xml:space="preserve">T-101543</t>
  </si>
  <si>
    <t xml:space="preserve">TXN2368081</t>
  </si>
  <si>
    <t xml:space="preserve">T-101524</t>
  </si>
  <si>
    <t xml:space="preserve">TXN9262170</t>
  </si>
  <si>
    <t xml:space="preserve">T-101515</t>
  </si>
  <si>
    <t xml:space="preserve">TXN2161721</t>
  </si>
  <si>
    <t xml:space="preserve">T-101525</t>
  </si>
  <si>
    <t xml:space="preserve">TXN7251359</t>
  </si>
  <si>
    <t xml:space="preserve">T-101513</t>
  </si>
  <si>
    <t xml:space="preserve">TXN3424835</t>
  </si>
  <si>
    <t xml:space="preserve">T-101516</t>
  </si>
  <si>
    <t xml:space="preserve">TXN8224081</t>
  </si>
  <si>
    <t xml:space="preserve">T-101527</t>
  </si>
  <si>
    <t xml:space="preserve">TXN3844601</t>
  </si>
  <si>
    <t xml:space="preserve">T-101541</t>
  </si>
  <si>
    <t xml:space="preserve">TXN2662783</t>
  </si>
  <si>
    <t xml:space="preserve">T-101544</t>
  </si>
  <si>
    <t xml:space="preserve">TXN7582678</t>
  </si>
  <si>
    <t xml:space="preserve">T-101535</t>
  </si>
  <si>
    <t xml:space="preserve">TXN2699067</t>
  </si>
  <si>
    <t xml:space="preserve">T-101522</t>
  </si>
  <si>
    <t xml:space="preserve">TXN8855024</t>
  </si>
  <si>
    <t xml:space="preserve">T-101546</t>
  </si>
  <si>
    <t xml:space="preserve">TXN4398175</t>
  </si>
  <si>
    <t xml:space="preserve">T-101512</t>
  </si>
  <si>
    <t xml:space="preserve">TXN1905421</t>
  </si>
  <si>
    <t xml:space="preserve">T-101537</t>
  </si>
  <si>
    <t xml:space="preserve">TXN2540693</t>
  </si>
  <si>
    <t xml:space="preserve">T-101528</t>
  </si>
  <si>
    <t xml:space="preserve">TXN4350185</t>
  </si>
  <si>
    <t xml:space="preserve">T-101523</t>
  </si>
  <si>
    <t xml:space="preserve">TXN2083043</t>
  </si>
  <si>
    <t xml:space="preserve">T-101547</t>
  </si>
  <si>
    <t xml:space="preserve">TXN1356034</t>
  </si>
  <si>
    <t xml:space="preserve">T-101538</t>
  </si>
  <si>
    <t xml:space="preserve">TXN8931886</t>
  </si>
  <si>
    <t xml:space="preserve">T-101509</t>
  </si>
  <si>
    <t xml:space="preserve">TXN4172726</t>
  </si>
  <si>
    <t xml:space="preserve">T-101517</t>
  </si>
  <si>
    <t xml:space="preserve">TXN7399855</t>
  </si>
  <si>
    <t xml:space="preserve">T-101519</t>
  </si>
  <si>
    <t xml:space="preserve">TXN1548671</t>
  </si>
  <si>
    <t xml:space="preserve">T-101539</t>
  </si>
  <si>
    <t xml:space="preserve">TXN4237344</t>
  </si>
  <si>
    <t xml:space="preserve">T-101511</t>
  </si>
  <si>
    <t xml:space="preserve">TXN6942802</t>
  </si>
  <si>
    <t xml:space="preserve">T-101534</t>
  </si>
  <si>
    <t xml:space="preserve">TXN7170298</t>
  </si>
  <si>
    <t xml:space="preserve">T-101521</t>
  </si>
  <si>
    <t xml:space="preserve">TXN7044924</t>
  </si>
  <si>
    <t xml:space="preserve">T-101526</t>
  </si>
  <si>
    <t xml:space="preserve">TXN1876538</t>
  </si>
  <si>
    <t xml:space="preserve">T-101532</t>
  </si>
  <si>
    <t xml:space="preserve">TXN7087057</t>
  </si>
  <si>
    <t xml:space="preserve">T-101520</t>
  </si>
  <si>
    <t xml:space="preserve">TXN7786557</t>
  </si>
  <si>
    <t xml:space="preserve">T-101569</t>
  </si>
  <si>
    <t xml:space="preserve">TXN8009739</t>
  </si>
  <si>
    <t xml:space="preserve">T-101561</t>
  </si>
  <si>
    <t xml:space="preserve">TXN6216613</t>
  </si>
  <si>
    <t xml:space="preserve">T-101559</t>
  </si>
  <si>
    <t xml:space="preserve">TXN7047209</t>
  </si>
  <si>
    <t xml:space="preserve">T-101551</t>
  </si>
  <si>
    <t xml:space="preserve">TXN9473740</t>
  </si>
  <si>
    <t xml:space="preserve">T-101567</t>
  </si>
  <si>
    <t xml:space="preserve">TXN8723037</t>
  </si>
  <si>
    <t xml:space="preserve">T-101558</t>
  </si>
  <si>
    <t xml:space="preserve">TXN9604589</t>
  </si>
  <si>
    <t xml:space="preserve">T-101574</t>
  </si>
  <si>
    <t xml:space="preserve">TXN6881074</t>
  </si>
  <si>
    <t xml:space="preserve">T-101582</t>
  </si>
  <si>
    <t xml:space="preserve">TXN1257762</t>
  </si>
  <si>
    <t xml:space="preserve">T-101553</t>
  </si>
  <si>
    <t xml:space="preserve">TXN2949693</t>
  </si>
  <si>
    <t xml:space="preserve">T-101573</t>
  </si>
  <si>
    <t xml:space="preserve">TXN7563443</t>
  </si>
  <si>
    <t xml:space="preserve">T-101587</t>
  </si>
  <si>
    <t xml:space="preserve">TXN2652888</t>
  </si>
  <si>
    <t xml:space="preserve">T-101549</t>
  </si>
  <si>
    <t xml:space="preserve">TXN1352460</t>
  </si>
  <si>
    <t xml:space="preserve">T-101578</t>
  </si>
  <si>
    <t xml:space="preserve">TXN8065004</t>
  </si>
  <si>
    <t xml:space="preserve">T-101565</t>
  </si>
  <si>
    <t xml:space="preserve">TXN4079544</t>
  </si>
  <si>
    <t xml:space="preserve">T-101577</t>
  </si>
  <si>
    <t xml:space="preserve">TXN7585171</t>
  </si>
  <si>
    <t xml:space="preserve">T-101552</t>
  </si>
  <si>
    <t xml:space="preserve">TXN3055121</t>
  </si>
  <si>
    <t xml:space="preserve">T-101581</t>
  </si>
  <si>
    <t xml:space="preserve">TXN2116796</t>
  </si>
  <si>
    <t xml:space="preserve">T-101554</t>
  </si>
  <si>
    <t xml:space="preserve">TXN9927879</t>
  </si>
  <si>
    <t xml:space="preserve">T-101548</t>
  </si>
  <si>
    <t xml:space="preserve">TXN9250785</t>
  </si>
  <si>
    <t xml:space="preserve">T-101589</t>
  </si>
  <si>
    <t xml:space="preserve">TXN5988956</t>
  </si>
  <si>
    <t xml:space="preserve">T-101557</t>
  </si>
  <si>
    <t xml:space="preserve">TXN8033827</t>
  </si>
  <si>
    <t xml:space="preserve">T-101580</t>
  </si>
  <si>
    <t xml:space="preserve">TXN8045509</t>
  </si>
  <si>
    <t xml:space="preserve">T-101563</t>
  </si>
  <si>
    <t xml:space="preserve">TXN2637484</t>
  </si>
  <si>
    <t xml:space="preserve">T-101583</t>
  </si>
  <si>
    <t xml:space="preserve">TXN9363840</t>
  </si>
  <si>
    <t xml:space="preserve">T-101575</t>
  </si>
  <si>
    <t xml:space="preserve">TXN6503575</t>
  </si>
  <si>
    <t xml:space="preserve">T-101585</t>
  </si>
  <si>
    <t xml:space="preserve">TXN6625317</t>
  </si>
  <si>
    <t xml:space="preserve">T-101555</t>
  </si>
  <si>
    <t xml:space="preserve">TXN8080015</t>
  </si>
  <si>
    <t xml:space="preserve">T-101586</t>
  </si>
  <si>
    <t xml:space="preserve">TXN6198824</t>
  </si>
  <si>
    <t xml:space="preserve">T-101564</t>
  </si>
  <si>
    <t xml:space="preserve">TXN5166047</t>
  </si>
  <si>
    <t xml:space="preserve">T-101579</t>
  </si>
  <si>
    <t xml:space="preserve">TXN2872862</t>
  </si>
  <si>
    <t xml:space="preserve">T-101588</t>
  </si>
  <si>
    <t xml:space="preserve">TXN8140763</t>
  </si>
  <si>
    <t xml:space="preserve">T-101560</t>
  </si>
  <si>
    <t xml:space="preserve">TXN6528283</t>
  </si>
  <si>
    <t xml:space="preserve">T-101572</t>
  </si>
  <si>
    <t xml:space="preserve">TXN5634249</t>
  </si>
  <si>
    <t xml:space="preserve">T-101562</t>
  </si>
  <si>
    <t xml:space="preserve">TXN3435492</t>
  </si>
  <si>
    <t xml:space="preserve">T-101584</t>
  </si>
  <si>
    <t xml:space="preserve">TXN7185018</t>
  </si>
  <si>
    <t xml:space="preserve">T-101590</t>
  </si>
  <si>
    <t xml:space="preserve">TXN1402146</t>
  </si>
  <si>
    <t xml:space="preserve">T-101566</t>
  </si>
  <si>
    <t xml:space="preserve">TXN9313763</t>
  </si>
  <si>
    <t xml:space="preserve">T-101570</t>
  </si>
  <si>
    <t xml:space="preserve">TXN3042534</t>
  </si>
  <si>
    <t xml:space="preserve">T-101550</t>
  </si>
  <si>
    <t xml:space="preserve">TXN3478278</t>
  </si>
  <si>
    <t xml:space="preserve">T-101576</t>
  </si>
  <si>
    <t xml:space="preserve">TXN1358032</t>
  </si>
  <si>
    <t xml:space="preserve">T-101568</t>
  </si>
  <si>
    <t xml:space="preserve">TXN6793242</t>
  </si>
  <si>
    <t xml:space="preserve">T-101595</t>
  </si>
  <si>
    <t xml:space="preserve">TXN3630205</t>
  </si>
  <si>
    <t xml:space="preserve">T-101617</t>
  </si>
  <si>
    <t xml:space="preserve">TXN4864764</t>
  </si>
  <si>
    <t xml:space="preserve">T-101594</t>
  </si>
  <si>
    <t xml:space="preserve">TXN1342825</t>
  </si>
  <si>
    <t xml:space="preserve">T-101619</t>
  </si>
  <si>
    <t xml:space="preserve">TXN5206931</t>
  </si>
  <si>
    <t xml:space="preserve">T-101620</t>
  </si>
  <si>
    <t xml:space="preserve">TXN2651647</t>
  </si>
  <si>
    <t xml:space="preserve">T-101611</t>
  </si>
  <si>
    <t xml:space="preserve">TXN8772693</t>
  </si>
  <si>
    <t xml:space="preserve">T-101612</t>
  </si>
  <si>
    <t xml:space="preserve">TXN4953696</t>
  </si>
  <si>
    <t xml:space="preserve">T-101601</t>
  </si>
  <si>
    <t xml:space="preserve">TXN8574853</t>
  </si>
  <si>
    <t xml:space="preserve">T-101598</t>
  </si>
  <si>
    <t xml:space="preserve">TXN3874050</t>
  </si>
  <si>
    <t xml:space="preserve">T-101592</t>
  </si>
  <si>
    <t xml:space="preserve">TXN5332523</t>
  </si>
  <si>
    <t xml:space="preserve">T-101599</t>
  </si>
  <si>
    <t xml:space="preserve">TXN1931679</t>
  </si>
  <si>
    <t xml:space="preserve">T-101597</t>
  </si>
  <si>
    <t xml:space="preserve">TXN1938071</t>
  </si>
  <si>
    <t xml:space="preserve">T-101614</t>
  </si>
  <si>
    <t xml:space="preserve">TXN3880373</t>
  </si>
  <si>
    <t xml:space="preserve">T-101602</t>
  </si>
  <si>
    <t xml:space="preserve">TXN9629930</t>
  </si>
  <si>
    <t xml:space="preserve">T-101616</t>
  </si>
  <si>
    <t xml:space="preserve">TXN9526767</t>
  </si>
  <si>
    <t xml:space="preserve">T-101603</t>
  </si>
  <si>
    <t xml:space="preserve">TXN7677008</t>
  </si>
  <si>
    <t xml:space="preserve">T-101610</t>
  </si>
  <si>
    <t xml:space="preserve">TXN3781062</t>
  </si>
  <si>
    <t xml:space="preserve">T-101606</t>
  </si>
  <si>
    <t xml:space="preserve">TXN6181409</t>
  </si>
  <si>
    <t xml:space="preserve">T-101600</t>
  </si>
  <si>
    <t xml:space="preserve">TXN1160569</t>
  </si>
  <si>
    <t xml:space="preserve">T-101608</t>
  </si>
  <si>
    <t xml:space="preserve">TXN3552176</t>
  </si>
  <si>
    <t xml:space="preserve">T-101607</t>
  </si>
  <si>
    <t xml:space="preserve">TXN7348513</t>
  </si>
  <si>
    <t xml:space="preserve">T-101613</t>
  </si>
  <si>
    <t xml:space="preserve">TXN1708018</t>
  </si>
  <si>
    <t xml:space="preserve">T-101596</t>
  </si>
  <si>
    <t xml:space="preserve">TXN7531471</t>
  </si>
  <si>
    <t xml:space="preserve">T-101591</t>
  </si>
  <si>
    <t xml:space="preserve">TXN5173347</t>
  </si>
  <si>
    <t xml:space="preserve">T-101618</t>
  </si>
  <si>
    <t xml:space="preserve">TXN4295390</t>
  </si>
  <si>
    <t xml:space="preserve">T-101593</t>
  </si>
  <si>
    <t xml:space="preserve">TXN5153544</t>
  </si>
  <si>
    <t xml:space="preserve">T-101609</t>
  </si>
  <si>
    <t xml:space="preserve">TXN7124252</t>
  </si>
  <si>
    <t xml:space="preserve">T-101615</t>
  </si>
  <si>
    <t xml:space="preserve">TXN1849040</t>
  </si>
  <si>
    <t xml:space="preserve">T-101605</t>
  </si>
  <si>
    <t xml:space="preserve">TXN8524338</t>
  </si>
  <si>
    <t xml:space="preserve">T-101604</t>
  </si>
  <si>
    <t xml:space="preserve">TXN3632012</t>
  </si>
  <si>
    <t xml:space="preserve">T-101639</t>
  </si>
  <si>
    <t xml:space="preserve">TXN7712988</t>
  </si>
  <si>
    <t xml:space="preserve">T-101636</t>
  </si>
  <si>
    <t xml:space="preserve">TXN8532055</t>
  </si>
  <si>
    <t xml:space="preserve">T-101630</t>
  </si>
  <si>
    <t xml:space="preserve">TXN9446439</t>
  </si>
  <si>
    <t xml:space="preserve">T-101641</t>
  </si>
  <si>
    <t xml:space="preserve">TXN4209523</t>
  </si>
  <si>
    <t xml:space="preserve">T-101635</t>
  </si>
  <si>
    <t xml:space="preserve">TXN5063726</t>
  </si>
  <si>
    <t xml:space="preserve">T-101626</t>
  </si>
  <si>
    <t xml:space="preserve">TXN6662406</t>
  </si>
  <si>
    <t xml:space="preserve">T-101625</t>
  </si>
  <si>
    <t xml:space="preserve">TXN5788530</t>
  </si>
  <si>
    <t xml:space="preserve">T-101622</t>
  </si>
  <si>
    <t xml:space="preserve">TXN1482231</t>
  </si>
  <si>
    <t xml:space="preserve">T-101632</t>
  </si>
  <si>
    <t xml:space="preserve">TXN7525980</t>
  </si>
  <si>
    <t xml:space="preserve">T-101640</t>
  </si>
  <si>
    <t xml:space="preserve">TXN7439804</t>
  </si>
  <si>
    <t xml:space="preserve">T-101628</t>
  </si>
  <si>
    <t xml:space="preserve">TXN6241927</t>
  </si>
  <si>
    <t xml:space="preserve">T-101631</t>
  </si>
  <si>
    <t xml:space="preserve">TXN6368748</t>
  </si>
  <si>
    <t xml:space="preserve">T-101621</t>
  </si>
  <si>
    <t xml:space="preserve">TXN3625000</t>
  </si>
  <si>
    <t xml:space="preserve">T-101633</t>
  </si>
  <si>
    <t xml:space="preserve">TXN9745464</t>
  </si>
  <si>
    <t xml:space="preserve">T-101643</t>
  </si>
  <si>
    <t xml:space="preserve">TXN6591963</t>
  </si>
  <si>
    <t xml:space="preserve">T-101637</t>
  </si>
  <si>
    <t xml:space="preserve">TXN8193447</t>
  </si>
  <si>
    <t xml:space="preserve">T-101638</t>
  </si>
  <si>
    <t xml:space="preserve">TXN3603560</t>
  </si>
  <si>
    <t xml:space="preserve">T-101629</t>
  </si>
  <si>
    <t xml:space="preserve">TXN4957636</t>
  </si>
  <si>
    <t xml:space="preserve">T-101642</t>
  </si>
  <si>
    <t xml:space="preserve">TXN8489729</t>
  </si>
  <si>
    <t xml:space="preserve">T-101623</t>
  </si>
  <si>
    <t xml:space="preserve">TXN1112054</t>
  </si>
  <si>
    <t xml:space="preserve">T-101634</t>
  </si>
  <si>
    <t xml:space="preserve">TXN7691560</t>
  </si>
  <si>
    <t xml:space="preserve">T-101624</t>
  </si>
  <si>
    <t xml:space="preserve">TXN8996751</t>
  </si>
  <si>
    <t xml:space="preserve">T-101650</t>
  </si>
  <si>
    <t xml:space="preserve">TXN5922735</t>
  </si>
  <si>
    <t xml:space="preserve">T-101646</t>
  </si>
  <si>
    <t xml:space="preserve">TXN2229254</t>
  </si>
  <si>
    <t xml:space="preserve">T-101655</t>
  </si>
  <si>
    <t xml:space="preserve">TXN6538722</t>
  </si>
  <si>
    <t xml:space="preserve">T-101660</t>
  </si>
  <si>
    <t xml:space="preserve">TXN2085820</t>
  </si>
  <si>
    <t xml:space="preserve">T-101666</t>
  </si>
  <si>
    <t xml:space="preserve">TXN5842749</t>
  </si>
  <si>
    <t xml:space="preserve">T-101649</t>
  </si>
  <si>
    <t xml:space="preserve">TXN9257183</t>
  </si>
  <si>
    <t xml:space="preserve">T-101659</t>
  </si>
  <si>
    <t xml:space="preserve">TXN5993815</t>
  </si>
  <si>
    <t xml:space="preserve">T-101671</t>
  </si>
  <si>
    <t xml:space="preserve">TXN8529505</t>
  </si>
  <si>
    <t xml:space="preserve">T-101656</t>
  </si>
  <si>
    <t xml:space="preserve">TXN7556710</t>
  </si>
  <si>
    <t xml:space="preserve">T-101663</t>
  </si>
  <si>
    <t xml:space="preserve">TXN5606169</t>
  </si>
  <si>
    <t xml:space="preserve">T-101664</t>
  </si>
  <si>
    <t xml:space="preserve">TXN6307037</t>
  </si>
  <si>
    <t xml:space="preserve">T-101667</t>
  </si>
  <si>
    <t xml:space="preserve">TXN8522338</t>
  </si>
  <si>
    <t xml:space="preserve">T-101662</t>
  </si>
  <si>
    <t xml:space="preserve">TXN6048149</t>
  </si>
  <si>
    <t xml:space="preserve">T-101644</t>
  </si>
  <si>
    <t xml:space="preserve">TXN4534732</t>
  </si>
  <si>
    <t xml:space="preserve">T-101654</t>
  </si>
  <si>
    <t xml:space="preserve">TXN6025861</t>
  </si>
  <si>
    <t xml:space="preserve">T-101658</t>
  </si>
  <si>
    <t xml:space="preserve">TXN8275269</t>
  </si>
  <si>
    <t xml:space="preserve">T-101665</t>
  </si>
  <si>
    <t xml:space="preserve">TXN8027835</t>
  </si>
  <si>
    <t xml:space="preserve">T-101670</t>
  </si>
  <si>
    <t xml:space="preserve">TXN1689292</t>
  </si>
  <si>
    <t xml:space="preserve">T-101651</t>
  </si>
  <si>
    <t xml:space="preserve">TXN4246285</t>
  </si>
  <si>
    <t xml:space="preserve">T-101653</t>
  </si>
  <si>
    <t xml:space="preserve">TXN3968884</t>
  </si>
  <si>
    <t xml:space="preserve">T-101668</t>
  </si>
  <si>
    <t xml:space="preserve">TXN3795462</t>
  </si>
  <si>
    <t xml:space="preserve">T-101648</t>
  </si>
  <si>
    <t xml:space="preserve">TXN1915666</t>
  </si>
  <si>
    <t xml:space="preserve">T-101657</t>
  </si>
  <si>
    <t xml:space="preserve">TXN2223818</t>
  </si>
  <si>
    <t xml:space="preserve">T-101652</t>
  </si>
  <si>
    <t xml:space="preserve">TXN8032107</t>
  </si>
  <si>
    <t xml:space="preserve">T-101645</t>
  </si>
  <si>
    <t xml:space="preserve">TXN1422256</t>
  </si>
  <si>
    <t xml:space="preserve">T-101672</t>
  </si>
  <si>
    <t xml:space="preserve">TXN8964545</t>
  </si>
  <si>
    <t xml:space="preserve">T-101647</t>
  </si>
  <si>
    <t xml:space="preserve">TXN5751963</t>
  </si>
  <si>
    <t xml:space="preserve">T-101669</t>
  </si>
  <si>
    <t xml:space="preserve">TXN4177970</t>
  </si>
  <si>
    <t xml:space="preserve">T-101661</t>
  </si>
  <si>
    <t xml:space="preserve">TXN4810078</t>
  </si>
  <si>
    <t xml:space="preserve">T-101719</t>
  </si>
  <si>
    <t xml:space="preserve">TXN4327767</t>
  </si>
  <si>
    <t xml:space="preserve">T-101682</t>
  </si>
  <si>
    <t xml:space="preserve">TXN6046650</t>
  </si>
  <si>
    <t xml:space="preserve">T-101683</t>
  </si>
  <si>
    <t xml:space="preserve">TXN6706076</t>
  </si>
  <si>
    <t xml:space="preserve">T-101702</t>
  </si>
  <si>
    <t xml:space="preserve">TXN3249332</t>
  </si>
  <si>
    <t xml:space="preserve">T-101707</t>
  </si>
  <si>
    <t xml:space="preserve">TXN2809936</t>
  </si>
  <si>
    <t xml:space="preserve">T-101690</t>
  </si>
  <si>
    <t xml:space="preserve">TXN3193153</t>
  </si>
  <si>
    <t xml:space="preserve">T-101703</t>
  </si>
  <si>
    <t xml:space="preserve">TXN3509784</t>
  </si>
  <si>
    <t xml:space="preserve">T-101696</t>
  </si>
  <si>
    <t xml:space="preserve">TXN7173693</t>
  </si>
  <si>
    <t xml:space="preserve">T-101693</t>
  </si>
  <si>
    <t xml:space="preserve">TXN2170852</t>
  </si>
  <si>
    <t xml:space="preserve">T-101705</t>
  </si>
  <si>
    <t xml:space="preserve">TXN1454102</t>
  </si>
  <si>
    <t xml:space="preserve">T-101680</t>
  </si>
  <si>
    <t xml:space="preserve">TXN4240253</t>
  </si>
  <si>
    <t xml:space="preserve">T-101709</t>
  </si>
  <si>
    <t xml:space="preserve">TXN1973506</t>
  </si>
  <si>
    <t xml:space="preserve">T-101692</t>
  </si>
  <si>
    <t xml:space="preserve">TXN9025023</t>
  </si>
  <si>
    <t xml:space="preserve">T-101712</t>
  </si>
  <si>
    <t xml:space="preserve">TXN4116221</t>
  </si>
  <si>
    <t xml:space="preserve">T-101689</t>
  </si>
  <si>
    <t xml:space="preserve">TXN1819788</t>
  </si>
  <si>
    <t xml:space="preserve">T-101711</t>
  </si>
  <si>
    <t xml:space="preserve">TXN8999045</t>
  </si>
  <si>
    <t xml:space="preserve">T-101673</t>
  </si>
  <si>
    <t xml:space="preserve">TXN4108269</t>
  </si>
  <si>
    <t xml:space="preserve">T-101710</t>
  </si>
  <si>
    <t xml:space="preserve">TXN3322962</t>
  </si>
  <si>
    <t xml:space="preserve">T-101678</t>
  </si>
  <si>
    <t xml:space="preserve">TXN1168200</t>
  </si>
  <si>
    <t xml:space="preserve">T-101716</t>
  </si>
  <si>
    <t xml:space="preserve">TXN5701917</t>
  </si>
  <si>
    <t xml:space="preserve">T-101722</t>
  </si>
  <si>
    <t xml:space="preserve">TXN6066087</t>
  </si>
  <si>
    <t xml:space="preserve">T-101695</t>
  </si>
  <si>
    <t xml:space="preserve">TXN8050339</t>
  </si>
  <si>
    <t xml:space="preserve">T-101684</t>
  </si>
  <si>
    <t xml:space="preserve">TXN5991491</t>
  </si>
  <si>
    <t xml:space="preserve">T-101688</t>
  </si>
  <si>
    <t xml:space="preserve">TXN1291064</t>
  </si>
  <si>
    <t xml:space="preserve">T-101676</t>
  </si>
  <si>
    <t xml:space="preserve">TXN8040716</t>
  </si>
  <si>
    <t xml:space="preserve">T-101675</t>
  </si>
  <si>
    <t xml:space="preserve">TXN4447209</t>
  </si>
  <si>
    <t xml:space="preserve">T-101701</t>
  </si>
  <si>
    <t xml:space="preserve">TXN3816108</t>
  </si>
  <si>
    <t xml:space="preserve">T-101714</t>
  </si>
  <si>
    <t xml:space="preserve">TXN6975528</t>
  </si>
  <si>
    <t xml:space="preserve">T-101687</t>
  </si>
  <si>
    <t xml:space="preserve">TXN4932845</t>
  </si>
  <si>
    <t xml:space="preserve">T-101718</t>
  </si>
  <si>
    <t xml:space="preserve">TXN6913356</t>
  </si>
  <si>
    <t xml:space="preserve">T-101698</t>
  </si>
  <si>
    <t xml:space="preserve">TXN9829520</t>
  </si>
  <si>
    <t xml:space="preserve">T-101717</t>
  </si>
  <si>
    <t xml:space="preserve">TXN8028592</t>
  </si>
  <si>
    <t xml:space="preserve">T-101699</t>
  </si>
  <si>
    <t xml:space="preserve">TXN1732329</t>
  </si>
  <si>
    <t xml:space="preserve">T-101697</t>
  </si>
  <si>
    <t xml:space="preserve">TXN8078683</t>
  </si>
  <si>
    <t xml:space="preserve">T-101700</t>
  </si>
  <si>
    <t xml:space="preserve">TXN6515865</t>
  </si>
  <si>
    <t xml:space="preserve">T-101674</t>
  </si>
  <si>
    <t xml:space="preserve">TXN4283432</t>
  </si>
  <si>
    <t xml:space="preserve">T-101686</t>
  </si>
  <si>
    <t xml:space="preserve">TXN9473829</t>
  </si>
  <si>
    <t xml:space="preserve">T-101681</t>
  </si>
  <si>
    <t xml:space="preserve">TXN6734240</t>
  </si>
  <si>
    <t xml:space="preserve">T-101720</t>
  </si>
  <si>
    <t xml:space="preserve">TXN3481518</t>
  </si>
  <si>
    <t xml:space="preserve">T-101677</t>
  </si>
  <si>
    <t xml:space="preserve">TXN2014585</t>
  </si>
  <si>
    <t xml:space="preserve">T-101706</t>
  </si>
  <si>
    <t xml:space="preserve">TXN2868163</t>
  </si>
  <si>
    <t xml:space="preserve">T-101713</t>
  </si>
  <si>
    <t xml:space="preserve">TXN5850292</t>
  </si>
  <si>
    <t xml:space="preserve">T-101704</t>
  </si>
  <si>
    <t xml:space="preserve">TXN1549516</t>
  </si>
  <si>
    <t xml:space="preserve">T-101721</t>
  </si>
  <si>
    <t xml:space="preserve">TXN1502029</t>
  </si>
  <si>
    <t xml:space="preserve">T-101685</t>
  </si>
  <si>
    <t xml:space="preserve">TXN2950176</t>
  </si>
  <si>
    <t xml:space="preserve">T-101679</t>
  </si>
  <si>
    <t xml:space="preserve">TXN1240942</t>
  </si>
  <si>
    <t xml:space="preserve">T-101723</t>
  </si>
  <si>
    <t xml:space="preserve">TXN2666101</t>
  </si>
  <si>
    <t xml:space="preserve">T-101759</t>
  </si>
  <si>
    <t xml:space="preserve">TXN1544837</t>
  </si>
  <si>
    <t xml:space="preserve">T-101753</t>
  </si>
  <si>
    <t xml:space="preserve">TXN3831458</t>
  </si>
  <si>
    <t xml:space="preserve">T-101764</t>
  </si>
  <si>
    <t xml:space="preserve">TXN5586287</t>
  </si>
  <si>
    <t xml:space="preserve">T-101728</t>
  </si>
  <si>
    <t xml:space="preserve">TXN8067037</t>
  </si>
  <si>
    <t xml:space="preserve">T-101733</t>
  </si>
  <si>
    <t xml:space="preserve">TXN3041400</t>
  </si>
  <si>
    <t xml:space="preserve">T-101756</t>
  </si>
  <si>
    <t xml:space="preserve">TXN2510988</t>
  </si>
  <si>
    <t xml:space="preserve">T-101745</t>
  </si>
  <si>
    <t xml:space="preserve">TXN4261375</t>
  </si>
  <si>
    <t xml:space="preserve">T-101762</t>
  </si>
  <si>
    <t xml:space="preserve">TXN2450091</t>
  </si>
  <si>
    <t xml:space="preserve">T-101731</t>
  </si>
  <si>
    <t xml:space="preserve">TXN6368381</t>
  </si>
  <si>
    <t xml:space="preserve">T-101726</t>
  </si>
  <si>
    <t xml:space="preserve">TXN5513942</t>
  </si>
  <si>
    <t xml:space="preserve">T-101727</t>
  </si>
  <si>
    <t xml:space="preserve">TXN5925230</t>
  </si>
  <si>
    <t xml:space="preserve">T-101758</t>
  </si>
  <si>
    <t xml:space="preserve">TXN2531652</t>
  </si>
  <si>
    <t xml:space="preserve">T-101766</t>
  </si>
  <si>
    <t xml:space="preserve">TXN9678715</t>
  </si>
  <si>
    <t xml:space="preserve">T-101729</t>
  </si>
  <si>
    <t xml:space="preserve">TXN1029420</t>
  </si>
  <si>
    <t xml:space="preserve">T-101742</t>
  </si>
  <si>
    <t xml:space="preserve">TXN9887798</t>
  </si>
  <si>
    <t xml:space="preserve">T-101755</t>
  </si>
  <si>
    <t xml:space="preserve">TXN3042390</t>
  </si>
  <si>
    <t xml:space="preserve">T-101743</t>
  </si>
  <si>
    <t xml:space="preserve">TXN4060681</t>
  </si>
  <si>
    <t xml:space="preserve">T-101732</t>
  </si>
  <si>
    <t xml:space="preserve">TXN2799901</t>
  </si>
  <si>
    <t xml:space="preserve">T-101752</t>
  </si>
  <si>
    <t xml:space="preserve">TXN4073870</t>
  </si>
  <si>
    <t xml:space="preserve">T-101741</t>
  </si>
  <si>
    <t xml:space="preserve">TXN1770985</t>
  </si>
  <si>
    <t xml:space="preserve">T-101730</t>
  </si>
  <si>
    <t xml:space="preserve">TXN9657798</t>
  </si>
  <si>
    <t xml:space="preserve">T-101746</t>
  </si>
  <si>
    <t xml:space="preserve">TXN5490016</t>
  </si>
  <si>
    <t xml:space="preserve">T-101750</t>
  </si>
  <si>
    <t xml:space="preserve">TXN2232398</t>
  </si>
  <si>
    <t xml:space="preserve">T-101763</t>
  </si>
  <si>
    <t xml:space="preserve">TXN4382711</t>
  </si>
  <si>
    <t xml:space="preserve">T-101739</t>
  </si>
  <si>
    <t xml:space="preserve">TXN4577448</t>
  </si>
  <si>
    <t xml:space="preserve">T-101754</t>
  </si>
  <si>
    <t xml:space="preserve">TXN8564667</t>
  </si>
  <si>
    <t xml:space="preserve">T-101749</t>
  </si>
  <si>
    <t xml:space="preserve">TXN7448965</t>
  </si>
  <si>
    <t xml:space="preserve">T-101765</t>
  </si>
  <si>
    <t xml:space="preserve">TXN6060437</t>
  </si>
  <si>
    <t xml:space="preserve">T-101734</t>
  </si>
  <si>
    <t xml:space="preserve">TXN4026110</t>
  </si>
  <si>
    <t xml:space="preserve">T-101744</t>
  </si>
  <si>
    <t xml:space="preserve">TXN2483950</t>
  </si>
  <si>
    <t xml:space="preserve">T-101735</t>
  </si>
  <si>
    <t xml:space="preserve">TXN8718888</t>
  </si>
  <si>
    <t xml:space="preserve">T-101751</t>
  </si>
  <si>
    <t xml:space="preserve">TXN9631504</t>
  </si>
  <si>
    <t xml:space="preserve">T-101737</t>
  </si>
  <si>
    <t xml:space="preserve">TXN6361262</t>
  </si>
  <si>
    <t xml:space="preserve">T-101767</t>
  </si>
  <si>
    <t xml:space="preserve">TXN2451521</t>
  </si>
  <si>
    <t xml:space="preserve">T-101757</t>
  </si>
  <si>
    <t xml:space="preserve">TXN2247980</t>
  </si>
  <si>
    <t xml:space="preserve">T-101740</t>
  </si>
  <si>
    <t xml:space="preserve">TXN6694820</t>
  </si>
  <si>
    <t xml:space="preserve">T-101736</t>
  </si>
  <si>
    <t xml:space="preserve">TXN9517487</t>
  </si>
  <si>
    <t xml:space="preserve">T-101725</t>
  </si>
  <si>
    <t xml:space="preserve">TXN7090318</t>
  </si>
  <si>
    <t xml:space="preserve">T-101748</t>
  </si>
  <si>
    <t xml:space="preserve">TXN3200237</t>
  </si>
  <si>
    <t xml:space="preserve">T-101747</t>
  </si>
  <si>
    <t xml:space="preserve">TXN8994756</t>
  </si>
  <si>
    <t xml:space="preserve">T-101768</t>
  </si>
  <si>
    <t xml:space="preserve">TXN8402816</t>
  </si>
  <si>
    <t xml:space="preserve">T-101784</t>
  </si>
  <si>
    <t xml:space="preserve">TXN3309569</t>
  </si>
  <si>
    <t xml:space="preserve">T-101778</t>
  </si>
  <si>
    <t xml:space="preserve">TXN9711132</t>
  </si>
  <si>
    <t xml:space="preserve">T-101781</t>
  </si>
  <si>
    <t xml:space="preserve">TXN6806320</t>
  </si>
  <si>
    <t xml:space="preserve">T-101769</t>
  </si>
  <si>
    <t xml:space="preserve">TXN7921658</t>
  </si>
  <si>
    <t xml:space="preserve">T-101774</t>
  </si>
  <si>
    <t xml:space="preserve">TXN2822519</t>
  </si>
  <si>
    <t xml:space="preserve">T-101780</t>
  </si>
  <si>
    <t xml:space="preserve">TXN3022926</t>
  </si>
  <si>
    <t xml:space="preserve">T-101796</t>
  </si>
  <si>
    <t xml:space="preserve">TXN8478052</t>
  </si>
  <si>
    <t xml:space="preserve">T-101782</t>
  </si>
  <si>
    <t xml:space="preserve">TXN1085643</t>
  </si>
  <si>
    <t xml:space="preserve">T-101775</t>
  </si>
  <si>
    <t xml:space="preserve">TXN1113228</t>
  </si>
  <si>
    <t xml:space="preserve">T-101788</t>
  </si>
  <si>
    <t xml:space="preserve">TXN8437072</t>
  </si>
  <si>
    <t xml:space="preserve">T-101794</t>
  </si>
  <si>
    <t xml:space="preserve">TXN5135449</t>
  </si>
  <si>
    <t xml:space="preserve">T-101791</t>
  </si>
  <si>
    <t xml:space="preserve">TXN3395282</t>
  </si>
  <si>
    <t xml:space="preserve">T-101776</t>
  </si>
  <si>
    <t xml:space="preserve">TXN4416544</t>
  </si>
  <si>
    <t xml:space="preserve">T-101773</t>
  </si>
  <si>
    <t xml:space="preserve">TXN9559684</t>
  </si>
  <si>
    <t xml:space="preserve">T-101779</t>
  </si>
  <si>
    <t xml:space="preserve">TXN8067932</t>
  </si>
  <si>
    <t xml:space="preserve">T-101789</t>
  </si>
  <si>
    <t xml:space="preserve">TXN7584737</t>
  </si>
  <si>
    <t xml:space="preserve">T-101770</t>
  </si>
  <si>
    <t xml:space="preserve">TXN5192437</t>
  </si>
  <si>
    <t xml:space="preserve">T-101771</t>
  </si>
  <si>
    <t xml:space="preserve">TXN5285375</t>
  </si>
  <si>
    <t xml:space="preserve">T-101777</t>
  </si>
  <si>
    <t xml:space="preserve">TXN7760663</t>
  </si>
  <si>
    <t xml:space="preserve">T-101783</t>
  </si>
  <si>
    <t xml:space="preserve">TXN5289761</t>
  </si>
  <si>
    <t xml:space="preserve">T-101793</t>
  </si>
  <si>
    <t xml:space="preserve">TXN2089593</t>
  </si>
  <si>
    <t xml:space="preserve">T-101792</t>
  </si>
  <si>
    <t xml:space="preserve">TXN3949997</t>
  </si>
  <si>
    <t xml:space="preserve">T-101786</t>
  </si>
  <si>
    <t xml:space="preserve">TXN7542309</t>
  </si>
  <si>
    <t xml:space="preserve">T-101797</t>
  </si>
  <si>
    <t xml:space="preserve">TXN5037165</t>
  </si>
  <si>
    <t xml:space="preserve">T-101795</t>
  </si>
  <si>
    <t xml:space="preserve">TXN7951644</t>
  </si>
  <si>
    <t xml:space="preserve">T-101787</t>
  </si>
  <si>
    <t xml:space="preserve">TXN4823745</t>
  </si>
  <si>
    <t xml:space="preserve">T-101785</t>
  </si>
  <si>
    <t xml:space="preserve">TXN6349114</t>
  </si>
  <si>
    <t xml:space="preserve">T-101772</t>
  </si>
  <si>
    <t xml:space="preserve">TXN3545892</t>
  </si>
  <si>
    <t xml:space="preserve">T-101790</t>
  </si>
  <si>
    <t xml:space="preserve">TXN2617578</t>
  </si>
  <si>
    <t xml:space="preserve">T-101817</t>
  </si>
  <si>
    <t xml:space="preserve">TXN4616361</t>
  </si>
  <si>
    <t xml:space="preserve">T-101812</t>
  </si>
  <si>
    <t xml:space="preserve">TXN4470922</t>
  </si>
  <si>
    <t xml:space="preserve">T-101819</t>
  </si>
  <si>
    <t xml:space="preserve">TXN3430304</t>
  </si>
  <si>
    <t xml:space="preserve">T-101798</t>
  </si>
  <si>
    <t xml:space="preserve">TXN8904143</t>
  </si>
  <si>
    <t xml:space="preserve">T-101808</t>
  </si>
  <si>
    <t xml:space="preserve">TXN7825960</t>
  </si>
  <si>
    <t xml:space="preserve">T-101818</t>
  </si>
  <si>
    <t xml:space="preserve">TXN7436801</t>
  </si>
  <si>
    <t xml:space="preserve">T-101823</t>
  </si>
  <si>
    <t xml:space="preserve">TXN6403665</t>
  </si>
  <si>
    <t xml:space="preserve">T-101821</t>
  </si>
  <si>
    <t xml:space="preserve">TXN9062961</t>
  </si>
  <si>
    <t xml:space="preserve">T-101800</t>
  </si>
  <si>
    <t xml:space="preserve">TXN7571391</t>
  </si>
  <si>
    <t xml:space="preserve">T-101815</t>
  </si>
  <si>
    <t xml:space="preserve">TXN5572109</t>
  </si>
  <si>
    <t xml:space="preserve">T-101824</t>
  </si>
  <si>
    <t xml:space="preserve">TXN7175481</t>
  </si>
  <si>
    <t xml:space="preserve">T-101799</t>
  </si>
  <si>
    <t xml:space="preserve">TXN1027440</t>
  </si>
  <si>
    <t xml:space="preserve">T-101807</t>
  </si>
  <si>
    <t xml:space="preserve">TXN9489790</t>
  </si>
  <si>
    <t xml:space="preserve">T-101820</t>
  </si>
  <si>
    <t xml:space="preserve">TXN9157902</t>
  </si>
  <si>
    <t xml:space="preserve">T-101810</t>
  </si>
  <si>
    <t xml:space="preserve">TXN8780685</t>
  </si>
  <si>
    <t xml:space="preserve">T-101816</t>
  </si>
  <si>
    <t xml:space="preserve">TXN2214946</t>
  </si>
  <si>
    <t xml:space="preserve">T-101825</t>
  </si>
  <si>
    <t xml:space="preserve">TXN9151120</t>
  </si>
  <si>
    <t xml:space="preserve">T-101806</t>
  </si>
  <si>
    <t xml:space="preserve">TXN9361054</t>
  </si>
  <si>
    <t xml:space="preserve">T-101805</t>
  </si>
  <si>
    <t xml:space="preserve">TXN8412890</t>
  </si>
  <si>
    <t xml:space="preserve">T-101826</t>
  </si>
  <si>
    <t xml:space="preserve">TXN3751564</t>
  </si>
  <si>
    <t xml:space="preserve">T-101814</t>
  </si>
  <si>
    <t xml:space="preserve">TXN4519110</t>
  </si>
  <si>
    <t xml:space="preserve">T-101802</t>
  </si>
  <si>
    <t xml:space="preserve">TXN2287681</t>
  </si>
  <si>
    <t xml:space="preserve">T-101827</t>
  </si>
  <si>
    <t xml:space="preserve">TXN9165031</t>
  </si>
  <si>
    <t xml:space="preserve">T-101822</t>
  </si>
  <si>
    <t xml:space="preserve">TXN1909427</t>
  </si>
  <si>
    <t xml:space="preserve">T-101813</t>
  </si>
  <si>
    <t xml:space="preserve">TXN2745537</t>
  </si>
  <si>
    <t xml:space="preserve">T-101801</t>
  </si>
  <si>
    <t xml:space="preserve">TXN7971267</t>
  </si>
  <si>
    <t xml:space="preserve">T-101809</t>
  </si>
  <si>
    <t xml:space="preserve">TXN4106382</t>
  </si>
  <si>
    <t xml:space="preserve">T-101803</t>
  </si>
  <si>
    <t xml:space="preserve">TXN3287623</t>
  </si>
  <si>
    <t xml:space="preserve">T-101831</t>
  </si>
  <si>
    <t xml:space="preserve">TXN6781098</t>
  </si>
  <si>
    <t xml:space="preserve">T-101847</t>
  </si>
  <si>
    <t xml:space="preserve">TXN4414111</t>
  </si>
  <si>
    <t xml:space="preserve">T-101837</t>
  </si>
  <si>
    <t xml:space="preserve">TXN7816501</t>
  </si>
  <si>
    <t xml:space="preserve">T-101853</t>
  </si>
  <si>
    <t xml:space="preserve">TXN9895784</t>
  </si>
  <si>
    <t xml:space="preserve">T-101835</t>
  </si>
  <si>
    <t xml:space="preserve">TXN4413091</t>
  </si>
  <si>
    <t xml:space="preserve">T-101839</t>
  </si>
  <si>
    <t xml:space="preserve">TXN8376613</t>
  </si>
  <si>
    <t xml:space="preserve">T-101854</t>
  </si>
  <si>
    <t xml:space="preserve">TXN3639075</t>
  </si>
  <si>
    <t xml:space="preserve">T-101842</t>
  </si>
  <si>
    <t xml:space="preserve">TXN2291002</t>
  </si>
  <si>
    <t xml:space="preserve">T-101838</t>
  </si>
  <si>
    <t xml:space="preserve">TXN1827216</t>
  </si>
  <si>
    <t xml:space="preserve">T-101851</t>
  </si>
  <si>
    <t xml:space="preserve">TXN8678969</t>
  </si>
  <si>
    <t xml:space="preserve">T-101828</t>
  </si>
  <si>
    <t xml:space="preserve">TXN4434322</t>
  </si>
  <si>
    <t xml:space="preserve">T-101857</t>
  </si>
  <si>
    <t xml:space="preserve">TXN3316429</t>
  </si>
  <si>
    <t xml:space="preserve">T-101840</t>
  </si>
  <si>
    <t xml:space="preserve">TXN1977170</t>
  </si>
  <si>
    <t xml:space="preserve">T-101848</t>
  </si>
  <si>
    <t xml:space="preserve">TXN2987420</t>
  </si>
  <si>
    <t xml:space="preserve">T-101829</t>
  </si>
  <si>
    <t xml:space="preserve">TXN9944228</t>
  </si>
  <si>
    <t xml:space="preserve">T-101834</t>
  </si>
  <si>
    <t xml:space="preserve">TXN8790599</t>
  </si>
  <si>
    <t xml:space="preserve">T-101849</t>
  </si>
  <si>
    <t xml:space="preserve">TXN7683932</t>
  </si>
  <si>
    <t xml:space="preserve">T-101833</t>
  </si>
  <si>
    <t xml:space="preserve">TXN6632736</t>
  </si>
  <si>
    <t xml:space="preserve">T-101856</t>
  </si>
  <si>
    <t xml:space="preserve">TXN5870527</t>
  </si>
  <si>
    <t xml:space="preserve">T-101832</t>
  </si>
  <si>
    <t xml:space="preserve">TXN8199017</t>
  </si>
  <si>
    <t xml:space="preserve">T-101843</t>
  </si>
  <si>
    <t xml:space="preserve">TXN4934230</t>
  </si>
  <si>
    <t xml:space="preserve">T-101852</t>
  </si>
  <si>
    <t xml:space="preserve">TXN1089300</t>
  </si>
  <si>
    <t xml:space="preserve">T-101846</t>
  </si>
  <si>
    <t xml:space="preserve">TXN6795148</t>
  </si>
  <si>
    <t xml:space="preserve">T-101830</t>
  </si>
  <si>
    <t xml:space="preserve">TXN8515160</t>
  </si>
  <si>
    <t xml:space="preserve">T-101836</t>
  </si>
  <si>
    <t xml:space="preserve">TXN2826826</t>
  </si>
  <si>
    <t xml:space="preserve">T-101844</t>
  </si>
  <si>
    <t xml:space="preserve">TXN7704298</t>
  </si>
  <si>
    <t xml:space="preserve">T-101841</t>
  </si>
  <si>
    <t xml:space="preserve">TXN9858280</t>
  </si>
  <si>
    <t xml:space="preserve">T-101850</t>
  </si>
  <si>
    <t xml:space="preserve">TXN8506350</t>
  </si>
  <si>
    <t xml:space="preserve">T-101864</t>
  </si>
  <si>
    <t xml:space="preserve">TXN8796777</t>
  </si>
  <si>
    <t xml:space="preserve">T-101875</t>
  </si>
  <si>
    <t xml:space="preserve">TXN6461852</t>
  </si>
  <si>
    <t xml:space="preserve">T-101867</t>
  </si>
  <si>
    <t xml:space="preserve">TXN2549556</t>
  </si>
  <si>
    <t xml:space="preserve">T-101869</t>
  </si>
  <si>
    <t xml:space="preserve">TXN5693090</t>
  </si>
  <si>
    <t xml:space="preserve">T-101888</t>
  </si>
  <si>
    <t xml:space="preserve">TXN7831536</t>
  </si>
  <si>
    <t xml:space="preserve">T-101878</t>
  </si>
  <si>
    <t xml:space="preserve">TXN5386172</t>
  </si>
  <si>
    <t xml:space="preserve">T-101891</t>
  </si>
  <si>
    <t xml:space="preserve">TXN7389612</t>
  </si>
  <si>
    <t xml:space="preserve">T-101861</t>
  </si>
  <si>
    <t xml:space="preserve">TXN4966842</t>
  </si>
  <si>
    <t xml:space="preserve">T-101883</t>
  </si>
  <si>
    <t xml:space="preserve">TXN4706564</t>
  </si>
  <si>
    <t xml:space="preserve">T-101882</t>
  </si>
  <si>
    <t xml:space="preserve">TXN1743929</t>
  </si>
  <si>
    <t xml:space="preserve">T-101868</t>
  </si>
  <si>
    <t xml:space="preserve">TXN1356193</t>
  </si>
  <si>
    <t xml:space="preserve">T-101863</t>
  </si>
  <si>
    <t xml:space="preserve">TXN1506338</t>
  </si>
  <si>
    <t xml:space="preserve">T-101858</t>
  </si>
  <si>
    <t xml:space="preserve">TXN1518925</t>
  </si>
  <si>
    <t xml:space="preserve">T-101890</t>
  </si>
  <si>
    <t xml:space="preserve">TXN9541721</t>
  </si>
  <si>
    <t xml:space="preserve">T-101866</t>
  </si>
  <si>
    <t xml:space="preserve">TXN2473209</t>
  </si>
  <si>
    <t xml:space="preserve">T-101880</t>
  </si>
  <si>
    <t xml:space="preserve">TXN6467642</t>
  </si>
  <si>
    <t xml:space="preserve">T-101881</t>
  </si>
  <si>
    <t xml:space="preserve">TXN4231593</t>
  </si>
  <si>
    <t xml:space="preserve">T-101871</t>
  </si>
  <si>
    <t xml:space="preserve">TXN6436178</t>
  </si>
  <si>
    <t xml:space="preserve">T-101889</t>
  </si>
  <si>
    <t xml:space="preserve">TXN8732472</t>
  </si>
  <si>
    <t xml:space="preserve">T-101870</t>
  </si>
  <si>
    <t xml:space="preserve">TXN4026326</t>
  </si>
  <si>
    <t xml:space="preserve">T-101865</t>
  </si>
  <si>
    <t xml:space="preserve">TXN9527733</t>
  </si>
  <si>
    <t xml:space="preserve">T-101859</t>
  </si>
  <si>
    <t xml:space="preserve">TXN1791150</t>
  </si>
  <si>
    <t xml:space="preserve">T-101872</t>
  </si>
  <si>
    <t xml:space="preserve">TXN9748091</t>
  </si>
  <si>
    <t xml:space="preserve">T-101862</t>
  </si>
  <si>
    <t xml:space="preserve">TXN9262422</t>
  </si>
  <si>
    <t xml:space="preserve">T-101886</t>
  </si>
  <si>
    <t xml:space="preserve">TXN5467522</t>
  </si>
  <si>
    <t xml:space="preserve">T-101879</t>
  </si>
  <si>
    <t xml:space="preserve">TXN1910820</t>
  </si>
  <si>
    <t xml:space="preserve">T-101876</t>
  </si>
  <si>
    <t xml:space="preserve">TXN3997813</t>
  </si>
  <si>
    <t xml:space="preserve">T-101884</t>
  </si>
  <si>
    <t xml:space="preserve">TXN3781119</t>
  </si>
  <si>
    <t xml:space="preserve">T-101860</t>
  </si>
  <si>
    <t xml:space="preserve">TXN3929864</t>
  </si>
  <si>
    <t xml:space="preserve">T-101885</t>
  </si>
  <si>
    <t xml:space="preserve">TXN5650023</t>
  </si>
  <si>
    <t xml:space="preserve">T-101873</t>
  </si>
  <si>
    <t xml:space="preserve">TXN3287768</t>
  </si>
  <si>
    <t xml:space="preserve">T-101887</t>
  </si>
  <si>
    <t xml:space="preserve">TXN3552073</t>
  </si>
  <si>
    <t xml:space="preserve">T-101912</t>
  </si>
  <si>
    <t xml:space="preserve">TXN6300434</t>
  </si>
  <si>
    <t xml:space="preserve">T-101917</t>
  </si>
  <si>
    <t xml:space="preserve">TXN4687084</t>
  </si>
  <si>
    <t xml:space="preserve">T-101892</t>
  </si>
  <si>
    <t xml:space="preserve">TXN1673892</t>
  </si>
  <si>
    <t xml:space="preserve">T-101915</t>
  </si>
  <si>
    <t xml:space="preserve">TXN8364913</t>
  </si>
  <si>
    <t xml:space="preserve">T-101924</t>
  </si>
  <si>
    <t xml:space="preserve">TXN7982884</t>
  </si>
  <si>
    <t xml:space="preserve">T-101923</t>
  </si>
  <si>
    <t xml:space="preserve">TXN8891429</t>
  </si>
  <si>
    <t xml:space="preserve">T-101908</t>
  </si>
  <si>
    <t xml:space="preserve">TXN7754240</t>
  </si>
  <si>
    <t xml:space="preserve">T-101895</t>
  </si>
  <si>
    <t xml:space="preserve">TXN8470856</t>
  </si>
  <si>
    <t xml:space="preserve">T-101903</t>
  </si>
  <si>
    <t xml:space="preserve">TXN8988803</t>
  </si>
  <si>
    <t xml:space="preserve">T-101902</t>
  </si>
  <si>
    <t xml:space="preserve">TXN6402190</t>
  </si>
  <si>
    <t xml:space="preserve">T-101919</t>
  </si>
  <si>
    <t xml:space="preserve">TXN8628800</t>
  </si>
  <si>
    <t xml:space="preserve">T-101910</t>
  </si>
  <si>
    <t xml:space="preserve">TXN4830851</t>
  </si>
  <si>
    <t xml:space="preserve">T-101914</t>
  </si>
  <si>
    <t xml:space="preserve">TXN3422620</t>
  </si>
  <si>
    <t xml:space="preserve">T-101907</t>
  </si>
  <si>
    <t xml:space="preserve">TXN3150530</t>
  </si>
  <si>
    <t xml:space="preserve">T-101916</t>
  </si>
  <si>
    <t xml:space="preserve">TXN9085873</t>
  </si>
  <si>
    <t xml:space="preserve">T-101899</t>
  </si>
  <si>
    <t xml:space="preserve">TXN4345732</t>
  </si>
  <si>
    <t xml:space="preserve">T-101911</t>
  </si>
  <si>
    <t xml:space="preserve">TXN9339780</t>
  </si>
  <si>
    <t xml:space="preserve">T-101922</t>
  </si>
  <si>
    <t xml:space="preserve">TXN1066410</t>
  </si>
  <si>
    <t xml:space="preserve">T-101901</t>
  </si>
  <si>
    <t xml:space="preserve">TXN8486573</t>
  </si>
  <si>
    <t xml:space="preserve">T-101913</t>
  </si>
  <si>
    <t xml:space="preserve">TXN6332024</t>
  </si>
  <si>
    <t xml:space="preserve">T-101898</t>
  </si>
  <si>
    <t xml:space="preserve">TXN8565269</t>
  </si>
  <si>
    <t xml:space="preserve">T-101920</t>
  </si>
  <si>
    <t xml:space="preserve">TXN4532200</t>
  </si>
  <si>
    <t xml:space="preserve">T-101893</t>
  </si>
  <si>
    <t xml:space="preserve">TXN9185379</t>
  </si>
  <si>
    <t xml:space="preserve">T-101896</t>
  </si>
  <si>
    <t xml:space="preserve">TXN7128397</t>
  </si>
  <si>
    <t xml:space="preserve">T-101904</t>
  </si>
  <si>
    <t xml:space="preserve">TXN4738162</t>
  </si>
  <si>
    <t xml:space="preserve">T-101926</t>
  </si>
  <si>
    <t xml:space="preserve">TXN8764525</t>
  </si>
  <si>
    <t xml:space="preserve">T-101909</t>
  </si>
  <si>
    <t xml:space="preserve">TXN4461531</t>
  </si>
  <si>
    <t xml:space="preserve">T-101905</t>
  </si>
  <si>
    <t xml:space="preserve">TXN5918757</t>
  </si>
  <si>
    <t xml:space="preserve">T-101925</t>
  </si>
  <si>
    <t xml:space="preserve">TXN7588857</t>
  </si>
  <si>
    <t xml:space="preserve">T-101894</t>
  </si>
  <si>
    <t xml:space="preserve">TXN5904091</t>
  </si>
  <si>
    <t xml:space="preserve">T-101921</t>
  </si>
  <si>
    <t xml:space="preserve">TXN5697254</t>
  </si>
  <si>
    <t xml:space="preserve">T-101897</t>
  </si>
  <si>
    <t xml:space="preserve">TXN3237243</t>
  </si>
  <si>
    <t xml:space="preserve">T-101900</t>
  </si>
  <si>
    <t xml:space="preserve">TXN1382606</t>
  </si>
  <si>
    <t xml:space="preserve">T-101918</t>
  </si>
  <si>
    <t xml:space="preserve">TXN1765383</t>
  </si>
  <si>
    <t xml:space="preserve">T-101906</t>
  </si>
  <si>
    <t xml:space="preserve">TXN4500383</t>
  </si>
  <si>
    <t xml:space="preserve">T-101957</t>
  </si>
  <si>
    <t xml:space="preserve">TXN3675494</t>
  </si>
  <si>
    <t xml:space="preserve">T-101953</t>
  </si>
  <si>
    <t xml:space="preserve">TXN8866007</t>
  </si>
  <si>
    <t xml:space="preserve">T-101947</t>
  </si>
  <si>
    <t xml:space="preserve">TXN2068225</t>
  </si>
  <si>
    <t xml:space="preserve">T-101927</t>
  </si>
  <si>
    <t xml:space="preserve">TXN8730597</t>
  </si>
  <si>
    <t xml:space="preserve">T-101930</t>
  </si>
  <si>
    <t xml:space="preserve">TXN1359469</t>
  </si>
  <si>
    <t xml:space="preserve">T-101928</t>
  </si>
  <si>
    <t xml:space="preserve">TXN2136309</t>
  </si>
  <si>
    <t xml:space="preserve">T-101942</t>
  </si>
  <si>
    <t xml:space="preserve">TXN4485601</t>
  </si>
  <si>
    <t xml:space="preserve">T-101956</t>
  </si>
  <si>
    <t xml:space="preserve">TXN8637197</t>
  </si>
  <si>
    <t xml:space="preserve">T-101952</t>
  </si>
  <si>
    <t xml:space="preserve">TXN8901862</t>
  </si>
  <si>
    <t xml:space="preserve">T-101939</t>
  </si>
  <si>
    <t xml:space="preserve">TXN1836570</t>
  </si>
  <si>
    <t xml:space="preserve">T-101941</t>
  </si>
  <si>
    <t xml:space="preserve">TXN2322828</t>
  </si>
  <si>
    <t xml:space="preserve">T-101944</t>
  </si>
  <si>
    <t xml:space="preserve">TXN2148066</t>
  </si>
  <si>
    <t xml:space="preserve">T-101929</t>
  </si>
  <si>
    <t xml:space="preserve">TXN2072157</t>
  </si>
  <si>
    <t xml:space="preserve">T-101948</t>
  </si>
  <si>
    <t xml:space="preserve">TXN3762191</t>
  </si>
  <si>
    <t xml:space="preserve">T-101950</t>
  </si>
  <si>
    <t xml:space="preserve">TXN9064340</t>
  </si>
  <si>
    <t xml:space="preserve">T-101938</t>
  </si>
  <si>
    <t xml:space="preserve">TXN9944019</t>
  </si>
  <si>
    <t xml:space="preserve">T-101951</t>
  </si>
  <si>
    <t xml:space="preserve">TXN9298642</t>
  </si>
  <si>
    <t xml:space="preserve">T-101932</t>
  </si>
  <si>
    <t xml:space="preserve">TXN6792887</t>
  </si>
  <si>
    <t xml:space="preserve">T-101940</t>
  </si>
  <si>
    <t xml:space="preserve">TXN9264490</t>
  </si>
  <si>
    <t xml:space="preserve">T-101934</t>
  </si>
  <si>
    <t xml:space="preserve">TXN7940600</t>
  </si>
  <si>
    <t xml:space="preserve">T-101931</t>
  </si>
  <si>
    <t xml:space="preserve">TXN2364081</t>
  </si>
  <si>
    <t xml:space="preserve">T-101949</t>
  </si>
  <si>
    <t xml:space="preserve">TXN4841882</t>
  </si>
  <si>
    <t xml:space="preserve">T-101955</t>
  </si>
  <si>
    <t xml:space="preserve">TXN2411541</t>
  </si>
  <si>
    <t xml:space="preserve">T-101946</t>
  </si>
  <si>
    <t xml:space="preserve">TXN7314092</t>
  </si>
  <si>
    <t xml:space="preserve">T-101937</t>
  </si>
  <si>
    <t xml:space="preserve">TXN1266860</t>
  </si>
  <si>
    <t xml:space="preserve">T-101936</t>
  </si>
  <si>
    <t xml:space="preserve">TXN3287994</t>
  </si>
  <si>
    <t xml:space="preserve">T-101935</t>
  </si>
  <si>
    <t xml:space="preserve">TXN5381363</t>
  </si>
  <si>
    <t xml:space="preserve">T-101945</t>
  </si>
  <si>
    <t xml:space="preserve">TXN4644361</t>
  </si>
  <si>
    <t xml:space="preserve">T-101978</t>
  </si>
  <si>
    <t xml:space="preserve">TXN2906588</t>
  </si>
  <si>
    <t xml:space="preserve">T-101960</t>
  </si>
  <si>
    <t xml:space="preserve">TXN8749176</t>
  </si>
  <si>
    <t xml:space="preserve">T-101991</t>
  </si>
  <si>
    <t xml:space="preserve">TXN4272957</t>
  </si>
  <si>
    <t xml:space="preserve">T-101976</t>
  </si>
  <si>
    <t xml:space="preserve">TXN1167780</t>
  </si>
  <si>
    <t xml:space="preserve">T-101962</t>
  </si>
  <si>
    <t xml:space="preserve">TXN2055331</t>
  </si>
  <si>
    <t xml:space="preserve">T-101967</t>
  </si>
  <si>
    <t xml:space="preserve">TXN2771146</t>
  </si>
  <si>
    <t xml:space="preserve">T-101966</t>
  </si>
  <si>
    <t xml:space="preserve">TXN4970283</t>
  </si>
  <si>
    <t xml:space="preserve">T-101999</t>
  </si>
  <si>
    <t xml:space="preserve">TXN9900432</t>
  </si>
  <si>
    <t xml:space="preserve">T-101970</t>
  </si>
  <si>
    <t xml:space="preserve">TXN7845841</t>
  </si>
  <si>
    <t xml:space="preserve">T-101959</t>
  </si>
  <si>
    <t xml:space="preserve">TXN8752284</t>
  </si>
  <si>
    <t xml:space="preserve">T-101993</t>
  </si>
  <si>
    <t xml:space="preserve">TXN2080205</t>
  </si>
  <si>
    <t xml:space="preserve">T-102000</t>
  </si>
  <si>
    <t xml:space="preserve">TXN5052016</t>
  </si>
  <si>
    <t xml:space="preserve">T-101963</t>
  </si>
  <si>
    <t xml:space="preserve">TXN3707441</t>
  </si>
  <si>
    <t xml:space="preserve">T-101998</t>
  </si>
  <si>
    <t xml:space="preserve">TXN1154240</t>
  </si>
  <si>
    <t xml:space="preserve">T-101981</t>
  </si>
  <si>
    <t xml:space="preserve">TXN1137867</t>
  </si>
  <si>
    <t xml:space="preserve">T-101990</t>
  </si>
  <si>
    <t xml:space="preserve">TXN4640663</t>
  </si>
  <si>
    <t xml:space="preserve">T-101965</t>
  </si>
  <si>
    <t xml:space="preserve">TXN3237335</t>
  </si>
  <si>
    <t xml:space="preserve">T-101988</t>
  </si>
  <si>
    <t xml:space="preserve">TXN4832274</t>
  </si>
  <si>
    <t xml:space="preserve">T-101968</t>
  </si>
  <si>
    <t xml:space="preserve">TXN8921161</t>
  </si>
  <si>
    <t xml:space="preserve">T-101983</t>
  </si>
  <si>
    <t xml:space="preserve">TXN3676046</t>
  </si>
  <si>
    <t xml:space="preserve">T-101989</t>
  </si>
  <si>
    <t xml:space="preserve">TXN3184343</t>
  </si>
  <si>
    <t xml:space="preserve">T-101984</t>
  </si>
  <si>
    <t xml:space="preserve">TXN4220752</t>
  </si>
  <si>
    <t xml:space="preserve">T-101972</t>
  </si>
  <si>
    <t xml:space="preserve">TXN7461091</t>
  </si>
  <si>
    <t xml:space="preserve">T-101969</t>
  </si>
  <si>
    <t xml:space="preserve">TXN9440781</t>
  </si>
  <si>
    <t xml:space="preserve">T-101997</t>
  </si>
  <si>
    <t xml:space="preserve">TXN2905565</t>
  </si>
  <si>
    <t xml:space="preserve">T-101977</t>
  </si>
  <si>
    <t xml:space="preserve">TXN1077883</t>
  </si>
  <si>
    <t xml:space="preserve">T-101987</t>
  </si>
  <si>
    <t xml:space="preserve">TXN9516456</t>
  </si>
  <si>
    <t xml:space="preserve">T-101961</t>
  </si>
  <si>
    <t xml:space="preserve">TXN1532628</t>
  </si>
  <si>
    <t xml:space="preserve">T-101980</t>
  </si>
  <si>
    <t xml:space="preserve">TXN1197233</t>
  </si>
  <si>
    <t xml:space="preserve">T-101958</t>
  </si>
  <si>
    <t xml:space="preserve">TXN4215410</t>
  </si>
  <si>
    <t xml:space="preserve">T-101971</t>
  </si>
  <si>
    <t xml:space="preserve">TXN2594326</t>
  </si>
  <si>
    <t xml:space="preserve">T-101985</t>
  </si>
  <si>
    <t xml:space="preserve">TXN7310446</t>
  </si>
  <si>
    <t xml:space="preserve">T-101974</t>
  </si>
  <si>
    <t xml:space="preserve">TXN3803648</t>
  </si>
  <si>
    <t xml:space="preserve">T-101973</t>
  </si>
  <si>
    <t xml:space="preserve">TXN6590074</t>
  </si>
  <si>
    <t xml:space="preserve">T-101964</t>
  </si>
  <si>
    <t xml:space="preserve">TXN1570548</t>
  </si>
  <si>
    <t xml:space="preserve">T-101979</t>
  </si>
  <si>
    <t xml:space="preserve">TXN8958914</t>
  </si>
  <si>
    <t xml:space="preserve">T-101992</t>
  </si>
  <si>
    <t xml:space="preserve">TXN6900098</t>
  </si>
  <si>
    <t xml:space="preserve">T-101986</t>
  </si>
  <si>
    <t xml:space="preserve">TXN6056638</t>
  </si>
  <si>
    <t xml:space="preserve">T-102010</t>
  </si>
  <si>
    <t xml:space="preserve">TXN9723805</t>
  </si>
  <si>
    <t xml:space="preserve">T-102024</t>
  </si>
  <si>
    <t xml:space="preserve">TXN5965568</t>
  </si>
  <si>
    <t xml:space="preserve">T-102008</t>
  </si>
  <si>
    <t xml:space="preserve">TXN8646134</t>
  </si>
  <si>
    <t xml:space="preserve">T-102009</t>
  </si>
  <si>
    <t xml:space="preserve">TXN8547880</t>
  </si>
  <si>
    <t xml:space="preserve">T-102004</t>
  </si>
  <si>
    <t xml:space="preserve">TXN7827466</t>
  </si>
  <si>
    <t xml:space="preserve">T-102023</t>
  </si>
  <si>
    <t xml:space="preserve">TXN2111023</t>
  </si>
  <si>
    <t xml:space="preserve">T-102005</t>
  </si>
  <si>
    <t xml:space="preserve">TXN5675738</t>
  </si>
  <si>
    <t xml:space="preserve">T-102012</t>
  </si>
  <si>
    <t xml:space="preserve">TXN6031635</t>
  </si>
  <si>
    <t xml:space="preserve">T-102011</t>
  </si>
  <si>
    <t xml:space="preserve">TXN7709091</t>
  </si>
  <si>
    <t xml:space="preserve">T-102001</t>
  </si>
  <si>
    <t xml:space="preserve">TXN2754929</t>
  </si>
  <si>
    <t xml:space="preserve">T-102014</t>
  </si>
  <si>
    <t xml:space="preserve">TXN3210808</t>
  </si>
  <si>
    <t xml:space="preserve">T-102033</t>
  </si>
  <si>
    <t xml:space="preserve">TXN4710965</t>
  </si>
  <si>
    <t xml:space="preserve">T-102003</t>
  </si>
  <si>
    <t xml:space="preserve">TXN9709709</t>
  </si>
  <si>
    <t xml:space="preserve">T-102028</t>
  </si>
  <si>
    <t xml:space="preserve">TXN3970390</t>
  </si>
  <si>
    <t xml:space="preserve">T-102006</t>
  </si>
  <si>
    <t xml:space="preserve">TXN1284203</t>
  </si>
  <si>
    <t xml:space="preserve">T-102022</t>
  </si>
  <si>
    <t xml:space="preserve">TXN3217553</t>
  </si>
  <si>
    <t xml:space="preserve">T-102016</t>
  </si>
  <si>
    <t xml:space="preserve">TXN4482672</t>
  </si>
  <si>
    <t xml:space="preserve">T-102018</t>
  </si>
  <si>
    <t xml:space="preserve">TXN5424801</t>
  </si>
  <si>
    <t xml:space="preserve">T-102002</t>
  </si>
  <si>
    <t xml:space="preserve">TXN5761467</t>
  </si>
  <si>
    <t xml:space="preserve">T-102029</t>
  </si>
  <si>
    <t xml:space="preserve">TXN6878253</t>
  </si>
  <si>
    <t xml:space="preserve">T-102021</t>
  </si>
  <si>
    <t xml:space="preserve">TXN8486184</t>
  </si>
  <si>
    <t xml:space="preserve">T-102013</t>
  </si>
  <si>
    <t xml:space="preserve">TXN4677415</t>
  </si>
  <si>
    <t xml:space="preserve">T-102034</t>
  </si>
  <si>
    <t xml:space="preserve">TXN6281605</t>
  </si>
  <si>
    <t xml:space="preserve">T-102019</t>
  </si>
  <si>
    <t xml:space="preserve">TXN1210925</t>
  </si>
  <si>
    <t xml:space="preserve">T-102007</t>
  </si>
  <si>
    <t xml:space="preserve">TXN7149382</t>
  </si>
  <si>
    <t xml:space="preserve">T-102020</t>
  </si>
  <si>
    <t xml:space="preserve">TXN1842331</t>
  </si>
  <si>
    <t xml:space="preserve">T-102025</t>
  </si>
  <si>
    <t xml:space="preserve">TXN5950334</t>
  </si>
  <si>
    <t xml:space="preserve">T-102030</t>
  </si>
  <si>
    <t xml:space="preserve">TXN9694116</t>
  </si>
  <si>
    <t xml:space="preserve">T-102015</t>
  </si>
  <si>
    <t xml:space="preserve">TXN4367004</t>
  </si>
  <si>
    <t xml:space="preserve">T-102027</t>
  </si>
  <si>
    <t xml:space="preserve">TXN7379349</t>
  </si>
  <si>
    <t xml:space="preserve">T-102026</t>
  </si>
  <si>
    <t xml:space="preserve">TXN9152501</t>
  </si>
  <si>
    <t xml:space="preserve">T-102031</t>
  </si>
  <si>
    <t xml:space="preserve">TXN2849588</t>
  </si>
  <si>
    <t xml:space="preserve">T-102032</t>
  </si>
  <si>
    <t xml:space="preserve">TXN6348635</t>
  </si>
  <si>
    <t xml:space="preserve">T-102017</t>
  </si>
  <si>
    <t xml:space="preserve">TXN6794003</t>
  </si>
  <si>
    <t xml:space="preserve">T-102037</t>
  </si>
  <si>
    <t xml:space="preserve">TXN1431415</t>
  </si>
  <si>
    <t xml:space="preserve">T-102052</t>
  </si>
  <si>
    <t xml:space="preserve">TXN5622526</t>
  </si>
  <si>
    <t xml:space="preserve">T-102064</t>
  </si>
  <si>
    <t xml:space="preserve">TXN4759390</t>
  </si>
  <si>
    <t xml:space="preserve">T-102046</t>
  </si>
  <si>
    <t xml:space="preserve">TXN1621202</t>
  </si>
  <si>
    <t xml:space="preserve">T-102038</t>
  </si>
  <si>
    <t xml:space="preserve">TXN6282703</t>
  </si>
  <si>
    <t xml:space="preserve">T-102036</t>
  </si>
  <si>
    <t xml:space="preserve">TXN6290383</t>
  </si>
  <si>
    <t xml:space="preserve">T-102054</t>
  </si>
  <si>
    <t xml:space="preserve">TXN2739141</t>
  </si>
  <si>
    <t xml:space="preserve">T-102050</t>
  </si>
  <si>
    <t xml:space="preserve">TXN1688213</t>
  </si>
  <si>
    <t xml:space="preserve">T-102051</t>
  </si>
  <si>
    <t xml:space="preserve">TXN4386059</t>
  </si>
  <si>
    <t xml:space="preserve">T-102044</t>
  </si>
  <si>
    <t xml:space="preserve">TXN6693626</t>
  </si>
  <si>
    <t xml:space="preserve">T-102053</t>
  </si>
  <si>
    <t xml:space="preserve">TXN5337277</t>
  </si>
  <si>
    <t xml:space="preserve">T-102055</t>
  </si>
  <si>
    <t xml:space="preserve">TXN7002616</t>
  </si>
  <si>
    <t xml:space="preserve">T-102048</t>
  </si>
  <si>
    <t xml:space="preserve">TXN4948761</t>
  </si>
  <si>
    <t xml:space="preserve">T-102058</t>
  </si>
  <si>
    <t xml:space="preserve">TXN3539239</t>
  </si>
  <si>
    <t xml:space="preserve">T-102039</t>
  </si>
  <si>
    <t xml:space="preserve">TXN7290508</t>
  </si>
  <si>
    <t xml:space="preserve">T-102041</t>
  </si>
  <si>
    <t xml:space="preserve">TXN1714209</t>
  </si>
  <si>
    <t xml:space="preserve">T-102060</t>
  </si>
  <si>
    <t xml:space="preserve">TXN7695478</t>
  </si>
  <si>
    <t xml:space="preserve">T-102059</t>
  </si>
  <si>
    <t xml:space="preserve">TXN7297558</t>
  </si>
  <si>
    <t xml:space="preserve">T-102056</t>
  </si>
  <si>
    <t xml:space="preserve">TXN3521360</t>
  </si>
  <si>
    <t xml:space="preserve">T-102045</t>
  </si>
  <si>
    <t xml:space="preserve">TXN9465611</t>
  </si>
  <si>
    <t xml:space="preserve">T-102065</t>
  </si>
  <si>
    <t xml:space="preserve">TXN6186800</t>
  </si>
  <si>
    <t xml:space="preserve">T-102043</t>
  </si>
  <si>
    <t xml:space="preserve">TXN5480752</t>
  </si>
  <si>
    <t xml:space="preserve">T-102042</t>
  </si>
  <si>
    <t xml:space="preserve">TXN5209624</t>
  </si>
  <si>
    <t xml:space="preserve">T-102063</t>
  </si>
  <si>
    <t xml:space="preserve">TXN8306384</t>
  </si>
  <si>
    <t xml:space="preserve">T-102061</t>
  </si>
  <si>
    <t xml:space="preserve">TXN3178107</t>
  </si>
  <si>
    <t xml:space="preserve">T-102062</t>
  </si>
  <si>
    <t xml:space="preserve">TXN8623802</t>
  </si>
  <si>
    <t xml:space="preserve">T-102057</t>
  </si>
  <si>
    <t xml:space="preserve">TXN9217061</t>
  </si>
  <si>
    <t xml:space="preserve">T-102040</t>
  </si>
  <si>
    <t xml:space="preserve">TXN5841513</t>
  </si>
  <si>
    <t xml:space="preserve">T-102047</t>
  </si>
  <si>
    <t xml:space="preserve">TXN9990098</t>
  </si>
  <si>
    <t xml:space="preserve">T-102049</t>
  </si>
  <si>
    <t xml:space="preserve">TXN7978541</t>
  </si>
  <si>
    <t xml:space="preserve">T-102093</t>
  </si>
  <si>
    <t xml:space="preserve">TXN3825058</t>
  </si>
  <si>
    <t xml:space="preserve">T-102072</t>
  </si>
  <si>
    <t xml:space="preserve">TXN7878023</t>
  </si>
  <si>
    <t xml:space="preserve">T-102078</t>
  </si>
  <si>
    <t xml:space="preserve">TXN6623460</t>
  </si>
  <si>
    <t xml:space="preserve">T-102066</t>
  </si>
  <si>
    <t xml:space="preserve">TXN7807789</t>
  </si>
  <si>
    <t xml:space="preserve">T-102091</t>
  </si>
  <si>
    <t xml:space="preserve">TXN1262111</t>
  </si>
  <si>
    <t xml:space="preserve">T-102077</t>
  </si>
  <si>
    <t xml:space="preserve">TXN5857405</t>
  </si>
  <si>
    <t xml:space="preserve">T-102090</t>
  </si>
  <si>
    <t xml:space="preserve">TXN2127760</t>
  </si>
  <si>
    <t xml:space="preserve">T-102079</t>
  </si>
  <si>
    <t xml:space="preserve">TXN3690151</t>
  </si>
  <si>
    <t xml:space="preserve">T-102081</t>
  </si>
  <si>
    <t xml:space="preserve">TXN4947745</t>
  </si>
  <si>
    <t xml:space="preserve">T-102076</t>
  </si>
  <si>
    <t xml:space="preserve">TXN1831568</t>
  </si>
  <si>
    <t xml:space="preserve">T-102071</t>
  </si>
  <si>
    <t xml:space="preserve">TXN1124069</t>
  </si>
  <si>
    <t xml:space="preserve">T-102087</t>
  </si>
  <si>
    <t xml:space="preserve">TXN9371908</t>
  </si>
  <si>
    <t xml:space="preserve">T-102088</t>
  </si>
  <si>
    <t xml:space="preserve">TXN8885005</t>
  </si>
  <si>
    <t xml:space="preserve">T-102080</t>
  </si>
  <si>
    <t xml:space="preserve">TXN4710344</t>
  </si>
  <si>
    <t xml:space="preserve">T-102089</t>
  </si>
  <si>
    <t xml:space="preserve">TXN4180032</t>
  </si>
  <si>
    <t xml:space="preserve">T-102067</t>
  </si>
  <si>
    <t xml:space="preserve">TXN4970062</t>
  </si>
  <si>
    <t xml:space="preserve">T-102074</t>
  </si>
  <si>
    <t xml:space="preserve">TXN3196531</t>
  </si>
  <si>
    <t xml:space="preserve">T-102069</t>
  </si>
  <si>
    <t xml:space="preserve">TXN5924083</t>
  </si>
  <si>
    <t xml:space="preserve">T-102084</t>
  </si>
  <si>
    <t xml:space="preserve">TXN2692287</t>
  </si>
  <si>
    <t xml:space="preserve">T-102070</t>
  </si>
  <si>
    <t xml:space="preserve">TXN5130660</t>
  </si>
  <si>
    <t xml:space="preserve">T-102086</t>
  </si>
  <si>
    <t xml:space="preserve">TXN2585530</t>
  </si>
  <si>
    <t xml:space="preserve">T-102095</t>
  </si>
  <si>
    <t xml:space="preserve">TXN9461279</t>
  </si>
  <si>
    <t xml:space="preserve">T-102092</t>
  </si>
  <si>
    <t xml:space="preserve">TXN8729891</t>
  </si>
  <si>
    <t xml:space="preserve">T-102094</t>
  </si>
  <si>
    <t xml:space="preserve">TXN8544991</t>
  </si>
  <si>
    <t xml:space="preserve">T-102075</t>
  </si>
  <si>
    <t xml:space="preserve">TXN9176654</t>
  </si>
  <si>
    <t xml:space="preserve">T-102068</t>
  </si>
  <si>
    <t xml:space="preserve">TXN8947217</t>
  </si>
  <si>
    <t xml:space="preserve">T-102085</t>
  </si>
  <si>
    <t xml:space="preserve">TXN8798561</t>
  </si>
  <si>
    <t xml:space="preserve">T-102082</t>
  </si>
  <si>
    <t xml:space="preserve">TXN8607096</t>
  </si>
  <si>
    <t xml:space="preserve">T-102083</t>
  </si>
  <si>
    <t xml:space="preserve">TXN4133892</t>
  </si>
  <si>
    <t xml:space="preserve">T-102125</t>
  </si>
  <si>
    <t xml:space="preserve">TXN7421256</t>
  </si>
  <si>
    <t xml:space="preserve">T-102118</t>
  </si>
  <si>
    <t xml:space="preserve">TXN4677840</t>
  </si>
  <si>
    <t xml:space="preserve">T-102120</t>
  </si>
  <si>
    <t xml:space="preserve">TXN2498949</t>
  </si>
  <si>
    <t xml:space="preserve">T-102121</t>
  </si>
  <si>
    <t xml:space="preserve">TXN4986540</t>
  </si>
  <si>
    <t xml:space="preserve">T-102103</t>
  </si>
  <si>
    <t xml:space="preserve">TXN2684360</t>
  </si>
  <si>
    <t xml:space="preserve">T-102101</t>
  </si>
  <si>
    <t xml:space="preserve">TXN1778203</t>
  </si>
  <si>
    <t xml:space="preserve">T-102098</t>
  </si>
  <si>
    <t xml:space="preserve">TXN5221002</t>
  </si>
  <si>
    <t xml:space="preserve">T-102112</t>
  </si>
  <si>
    <t xml:space="preserve">TXN8672129</t>
  </si>
  <si>
    <t xml:space="preserve">T-102108</t>
  </si>
  <si>
    <t xml:space="preserve">TXN9894511</t>
  </si>
  <si>
    <t xml:space="preserve">T-102110</t>
  </si>
  <si>
    <t xml:space="preserve">TXN5961344</t>
  </si>
  <si>
    <t xml:space="preserve">T-102104</t>
  </si>
  <si>
    <t xml:space="preserve">TXN3001511</t>
  </si>
  <si>
    <t xml:space="preserve">T-102099</t>
  </si>
  <si>
    <t xml:space="preserve">TXN3047800</t>
  </si>
  <si>
    <t xml:space="preserve">T-102097</t>
  </si>
  <si>
    <t xml:space="preserve">TXN5584193</t>
  </si>
  <si>
    <t xml:space="preserve">T-102119</t>
  </si>
  <si>
    <t xml:space="preserve">TXN4162691</t>
  </si>
  <si>
    <t xml:space="preserve">T-102127</t>
  </si>
  <si>
    <t xml:space="preserve">TXN6921824</t>
  </si>
  <si>
    <t xml:space="preserve">T-102126</t>
  </si>
  <si>
    <t xml:space="preserve">TXN1473691</t>
  </si>
  <si>
    <t xml:space="preserve">T-102109</t>
  </si>
  <si>
    <t xml:space="preserve">TXN3524927</t>
  </si>
  <si>
    <t xml:space="preserve">T-102115</t>
  </si>
  <si>
    <t xml:space="preserve">TXN3709852</t>
  </si>
  <si>
    <t xml:space="preserve">T-102100</t>
  </si>
  <si>
    <t xml:space="preserve">TXN5960493</t>
  </si>
  <si>
    <t xml:space="preserve">T-102123</t>
  </si>
  <si>
    <t xml:space="preserve">TXN2271605</t>
  </si>
  <si>
    <t xml:space="preserve">T-102116</t>
  </si>
  <si>
    <t xml:space="preserve">TXN4919797</t>
  </si>
  <si>
    <t xml:space="preserve">T-102096</t>
  </si>
  <si>
    <t xml:space="preserve">TXN4050488</t>
  </si>
  <si>
    <t xml:space="preserve">T-102122</t>
  </si>
  <si>
    <t xml:space="preserve">TXN6208435</t>
  </si>
  <si>
    <t xml:space="preserve">T-102114</t>
  </si>
  <si>
    <t xml:space="preserve">TXN1592336</t>
  </si>
  <si>
    <t xml:space="preserve">T-102106</t>
  </si>
  <si>
    <t xml:space="preserve">TXN6855628</t>
  </si>
  <si>
    <t xml:space="preserve">T-102113</t>
  </si>
  <si>
    <t xml:space="preserve">TXN3651328</t>
  </si>
  <si>
    <t xml:space="preserve">T-102111</t>
  </si>
  <si>
    <t xml:space="preserve">TXN6941772</t>
  </si>
  <si>
    <t xml:space="preserve">T-102117</t>
  </si>
  <si>
    <t xml:space="preserve">TXN4005360</t>
  </si>
  <si>
    <t xml:space="preserve">T-102132</t>
  </si>
  <si>
    <t xml:space="preserve">TXN7188666</t>
  </si>
  <si>
    <t xml:space="preserve">T-102138</t>
  </si>
  <si>
    <t xml:space="preserve">TXN7002529</t>
  </si>
  <si>
    <t xml:space="preserve">T-102153</t>
  </si>
  <si>
    <t xml:space="preserve">TXN2672603</t>
  </si>
  <si>
    <t xml:space="preserve">T-102158</t>
  </si>
  <si>
    <t xml:space="preserve">TXN6069417</t>
  </si>
  <si>
    <t xml:space="preserve">T-102141</t>
  </si>
  <si>
    <t xml:space="preserve">TXN1028349</t>
  </si>
  <si>
    <t xml:space="preserve">T-102146</t>
  </si>
  <si>
    <t xml:space="preserve">TXN1168512</t>
  </si>
  <si>
    <t xml:space="preserve">T-102143</t>
  </si>
  <si>
    <t xml:space="preserve">TXN9524852</t>
  </si>
  <si>
    <t xml:space="preserve">T-102134</t>
  </si>
  <si>
    <t xml:space="preserve">TXN9883841</t>
  </si>
  <si>
    <t xml:space="preserve">T-102129</t>
  </si>
  <si>
    <t xml:space="preserve">TXN2171503</t>
  </si>
  <si>
    <t xml:space="preserve">T-102155</t>
  </si>
  <si>
    <t xml:space="preserve">TXN3395406</t>
  </si>
  <si>
    <t xml:space="preserve">T-102151</t>
  </si>
  <si>
    <t xml:space="preserve">TXN2818276</t>
  </si>
  <si>
    <t xml:space="preserve">T-102142</t>
  </si>
  <si>
    <t xml:space="preserve">TXN1996483</t>
  </si>
  <si>
    <t xml:space="preserve">T-102150</t>
  </si>
  <si>
    <t xml:space="preserve">TXN9636900</t>
  </si>
  <si>
    <t xml:space="preserve">T-102133</t>
  </si>
  <si>
    <t xml:space="preserve">TXN3599271</t>
  </si>
  <si>
    <t xml:space="preserve">T-102137</t>
  </si>
  <si>
    <t xml:space="preserve">TXN7075930</t>
  </si>
  <si>
    <t xml:space="preserve">T-102160</t>
  </si>
  <si>
    <t xml:space="preserve">TXN3506393</t>
  </si>
  <si>
    <t xml:space="preserve">T-102147</t>
  </si>
  <si>
    <t xml:space="preserve">TXN4397536</t>
  </si>
  <si>
    <t xml:space="preserve">T-102135</t>
  </si>
  <si>
    <t xml:space="preserve">TXN8086516</t>
  </si>
  <si>
    <t xml:space="preserve">T-102130</t>
  </si>
  <si>
    <t xml:space="preserve">TXN7041241</t>
  </si>
  <si>
    <t xml:space="preserve">T-102154</t>
  </si>
  <si>
    <t xml:space="preserve">TXN1796178</t>
  </si>
  <si>
    <t xml:space="preserve">T-102162</t>
  </si>
  <si>
    <t xml:space="preserve">TXN1736642</t>
  </si>
  <si>
    <t xml:space="preserve">T-102131</t>
  </si>
  <si>
    <t xml:space="preserve">TXN3888872</t>
  </si>
  <si>
    <t xml:space="preserve">T-102136</t>
  </si>
  <si>
    <t xml:space="preserve">TXN2133125</t>
  </si>
  <si>
    <t xml:space="preserve">T-102145</t>
  </si>
  <si>
    <t xml:space="preserve">TXN2771093</t>
  </si>
  <si>
    <t xml:space="preserve">T-102152</t>
  </si>
  <si>
    <t xml:space="preserve">TXN7672943</t>
  </si>
  <si>
    <t xml:space="preserve">T-102144</t>
  </si>
  <si>
    <t xml:space="preserve">TXN4907586</t>
  </si>
  <si>
    <t xml:space="preserve">T-102148</t>
  </si>
  <si>
    <t xml:space="preserve">TXN5646720</t>
  </si>
  <si>
    <t xml:space="preserve">T-102157</t>
  </si>
  <si>
    <t xml:space="preserve">TXN6720249</t>
  </si>
  <si>
    <t xml:space="preserve">T-102161</t>
  </si>
  <si>
    <t xml:space="preserve">TXN1410447</t>
  </si>
  <si>
    <t xml:space="preserve">T-102140</t>
  </si>
  <si>
    <t xml:space="preserve">TXN5150954</t>
  </si>
  <si>
    <t xml:space="preserve">T-102149</t>
  </si>
  <si>
    <t xml:space="preserve">TXN4075649</t>
  </si>
  <si>
    <t xml:space="preserve">T-102159</t>
  </si>
  <si>
    <t xml:space="preserve">TXN3037973</t>
  </si>
  <si>
    <t xml:space="preserve">T-102170</t>
  </si>
  <si>
    <t xml:space="preserve">TXN1442663</t>
  </si>
  <si>
    <t xml:space="preserve">T-102171</t>
  </si>
  <si>
    <t xml:space="preserve">TXN3119315</t>
  </si>
  <si>
    <t xml:space="preserve">T-102183</t>
  </si>
  <si>
    <t xml:space="preserve">TXN3149793</t>
  </si>
  <si>
    <t xml:space="preserve">T-102178</t>
  </si>
  <si>
    <t xml:space="preserve">TXN6887029</t>
  </si>
  <si>
    <t xml:space="preserve">T-102185</t>
  </si>
  <si>
    <t xml:space="preserve">TXN2960371</t>
  </si>
  <si>
    <t xml:space="preserve">T-102184</t>
  </si>
  <si>
    <t xml:space="preserve">TXN6688750</t>
  </si>
  <si>
    <t xml:space="preserve">T-102188</t>
  </si>
  <si>
    <t xml:space="preserve">TXN5659781</t>
  </si>
  <si>
    <t xml:space="preserve">T-102166</t>
  </si>
  <si>
    <t xml:space="preserve">TXN2244615</t>
  </si>
  <si>
    <t xml:space="preserve">T-102180</t>
  </si>
  <si>
    <t xml:space="preserve">TXN1859821</t>
  </si>
  <si>
    <t xml:space="preserve">T-102175</t>
  </si>
  <si>
    <t xml:space="preserve">TXN2100617</t>
  </si>
  <si>
    <t xml:space="preserve">T-102191</t>
  </si>
  <si>
    <t xml:space="preserve">TXN2950721</t>
  </si>
  <si>
    <t xml:space="preserve">T-102192</t>
  </si>
  <si>
    <t xml:space="preserve">TXN5916631</t>
  </si>
  <si>
    <t xml:space="preserve">T-102176</t>
  </si>
  <si>
    <t xml:space="preserve">TXN7506744</t>
  </si>
  <si>
    <t xml:space="preserve">T-102181</t>
  </si>
  <si>
    <t xml:space="preserve">TXN4190716</t>
  </si>
  <si>
    <t xml:space="preserve">T-102182</t>
  </si>
  <si>
    <t xml:space="preserve">TXN1896811</t>
  </si>
  <si>
    <t xml:space="preserve">T-102190</t>
  </si>
  <si>
    <t xml:space="preserve">TXN1704163</t>
  </si>
  <si>
    <t xml:space="preserve">T-102186</t>
  </si>
  <si>
    <t xml:space="preserve">TXN5683754</t>
  </si>
  <si>
    <t xml:space="preserve">T-102189</t>
  </si>
  <si>
    <t xml:space="preserve">TXN7978009</t>
  </si>
  <si>
    <t xml:space="preserve">T-102163</t>
  </si>
  <si>
    <t xml:space="preserve">TXN7026068</t>
  </si>
  <si>
    <t xml:space="preserve">T-102187</t>
  </si>
  <si>
    <t xml:space="preserve">TXN9375294</t>
  </si>
  <si>
    <t xml:space="preserve">T-102164</t>
  </si>
  <si>
    <t xml:space="preserve">TXN2513502</t>
  </si>
  <si>
    <t xml:space="preserve">T-102177</t>
  </si>
  <si>
    <t xml:space="preserve">TXN5385804</t>
  </si>
  <si>
    <t xml:space="preserve">T-102179</t>
  </si>
  <si>
    <t xml:space="preserve">TXN6189926</t>
  </si>
  <si>
    <t xml:space="preserve">T-102165</t>
  </si>
  <si>
    <t xml:space="preserve">TXN6006005</t>
  </si>
  <si>
    <t xml:space="preserve">T-102169</t>
  </si>
  <si>
    <t xml:space="preserve">TXN5193938</t>
  </si>
  <si>
    <t xml:space="preserve">T-102172</t>
  </si>
  <si>
    <t xml:space="preserve">TXN6781777</t>
  </si>
  <si>
    <t xml:space="preserve">T-102168</t>
  </si>
  <si>
    <t xml:space="preserve">TXN6647111</t>
  </si>
  <si>
    <t xml:space="preserve">T-102174</t>
  </si>
  <si>
    <t xml:space="preserve">TXN8113966</t>
  </si>
  <si>
    <t xml:space="preserve">T-102173</t>
  </si>
  <si>
    <t xml:space="preserve">TXN6407329</t>
  </si>
  <si>
    <t xml:space="preserve">T-102222</t>
  </si>
  <si>
    <t xml:space="preserve">TXN9445044</t>
  </si>
  <si>
    <t xml:space="preserve">T-102210</t>
  </si>
  <si>
    <t xml:space="preserve">TXN1213929</t>
  </si>
  <si>
    <t xml:space="preserve">T-102216</t>
  </si>
  <si>
    <t xml:space="preserve">TXN1037830</t>
  </si>
  <si>
    <t xml:space="preserve">T-102197</t>
  </si>
  <si>
    <t xml:space="preserve">TXN8503654</t>
  </si>
  <si>
    <t xml:space="preserve">T-102194</t>
  </si>
  <si>
    <t xml:space="preserve">TXN2189619</t>
  </si>
  <si>
    <t xml:space="preserve">T-102198</t>
  </si>
  <si>
    <t xml:space="preserve">TXN7831592</t>
  </si>
  <si>
    <t xml:space="preserve">T-102196</t>
  </si>
  <si>
    <t xml:space="preserve">TXN6362852</t>
  </si>
  <si>
    <t xml:space="preserve">T-102200</t>
  </si>
  <si>
    <t xml:space="preserve">TXN3226637</t>
  </si>
  <si>
    <t xml:space="preserve">T-102224</t>
  </si>
  <si>
    <t xml:space="preserve">TXN2720579</t>
  </si>
  <si>
    <t xml:space="preserve">T-102204</t>
  </si>
  <si>
    <t xml:space="preserve">TXN9409147</t>
  </si>
  <si>
    <t xml:space="preserve">T-102208</t>
  </si>
  <si>
    <t xml:space="preserve">TXN9137193</t>
  </si>
  <si>
    <t xml:space="preserve">T-102218</t>
  </si>
  <si>
    <t xml:space="preserve">TXN1814828</t>
  </si>
  <si>
    <t xml:space="preserve">T-102212</t>
  </si>
  <si>
    <t xml:space="preserve">TXN9766441</t>
  </si>
  <si>
    <t xml:space="preserve">T-102201</t>
  </si>
  <si>
    <t xml:space="preserve">TXN8161345</t>
  </si>
  <si>
    <t xml:space="preserve">T-102215</t>
  </si>
  <si>
    <t xml:space="preserve">TXN8394496</t>
  </si>
  <si>
    <t xml:space="preserve">T-102221</t>
  </si>
  <si>
    <t xml:space="preserve">TXN9553924</t>
  </si>
  <si>
    <t xml:space="preserve">T-102199</t>
  </si>
  <si>
    <t xml:space="preserve">TXN7491731</t>
  </si>
  <si>
    <t xml:space="preserve">T-102205</t>
  </si>
  <si>
    <t xml:space="preserve">TXN1512233</t>
  </si>
  <si>
    <t xml:space="preserve">T-102203</t>
  </si>
  <si>
    <t xml:space="preserve">TXN1050233</t>
  </si>
  <si>
    <t xml:space="preserve">T-102193</t>
  </si>
  <si>
    <t xml:space="preserve">TXN5701064</t>
  </si>
  <si>
    <t xml:space="preserve">T-102202</t>
  </si>
  <si>
    <t xml:space="preserve">TXN3001016</t>
  </si>
  <si>
    <t xml:space="preserve">T-102209</t>
  </si>
  <si>
    <t xml:space="preserve">TXN4490291</t>
  </si>
  <si>
    <t xml:space="preserve">T-102211</t>
  </si>
  <si>
    <t xml:space="preserve">TXN1366072</t>
  </si>
  <si>
    <t xml:space="preserve">T-102217</t>
  </si>
  <si>
    <t xml:space="preserve">TXN5266008</t>
  </si>
  <si>
    <t xml:space="preserve">T-102219</t>
  </si>
  <si>
    <t xml:space="preserve">TXN4502639</t>
  </si>
  <si>
    <t xml:space="preserve">T-102223</t>
  </si>
  <si>
    <t xml:space="preserve">TXN4053757</t>
  </si>
  <si>
    <t xml:space="preserve">T-102207</t>
  </si>
  <si>
    <t xml:space="preserve">TXN6524439</t>
  </si>
  <si>
    <t xml:space="preserve">T-102206</t>
  </si>
  <si>
    <t xml:space="preserve">TXN1720536</t>
  </si>
  <si>
    <t xml:space="preserve">year_month</t>
  </si>
  <si>
    <t xml:space="preserve">actual_margin_aed</t>
  </si>
  <si>
    <t xml:space="preserve">budget_margin_aed</t>
  </si>
  <si>
    <t xml:space="preserve">margin_variance_aed</t>
  </si>
  <si>
    <t xml:space="preserve">margin_variance_pct</t>
  </si>
  <si>
    <t xml:space="preserve">fte</t>
  </si>
  <si>
    <t xml:space="preserve">available_hours</t>
  </si>
  <si>
    <t xml:space="preserve">booked_hours</t>
  </si>
  <si>
    <t xml:space="preserve">utilization_pct</t>
  </si>
  <si>
    <t xml:space="preserve">week_start (Mon)</t>
  </si>
  <si>
    <t xml:space="preserve">opened</t>
  </si>
  <si>
    <t xml:space="preserve">resolved</t>
  </si>
  <si>
    <t xml:space="preserve">resolution_rate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</si>
</sst>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"/>
    <numFmt numFmtId="168" formatCode="#,##0.00"/>
    <numFmt numFmtId="169" formatCode="yyyy\-mm\-dd\ hh:mm"/>
    <numFmt numFmtId="170" formatCode="General"/>
    <numFmt numFmtId="171" formatCode="yyyy\-mm\-dd"/>
    <numFmt numFmtId="172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3A5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clearance velocity by team (working 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FIN-OPS</c:v>
                </c:pt>
                <c:pt idx="1">
                  <c:v>PAY-OPS</c:v>
                </c:pt>
                <c:pt idx="2">
                  <c:v>CS-DXB</c:v>
                </c:pt>
                <c:pt idx="3">
                  <c:v>CS-AUH</c:v>
                </c:pt>
                <c:pt idx="4">
                  <c:v>FUL-DXB</c:v>
                </c:pt>
                <c:pt idx="5">
                  <c:v>FUL-RUH</c:v>
                </c:pt>
              </c:strCache>
            </c:strRef>
          </c:cat>
          <c:val>
            <c:numRef>
              <c:f>Dashboard!$C$15:$C$20</c:f>
              <c:numCache>
                <c:formatCode>0.0</c:formatCode>
                <c:ptCount val="6"/>
                <c:pt idx="0">
                  <c:v>15.46</c:v>
                </c:pt>
                <c:pt idx="1">
                  <c:v>20.1</c:v>
                </c:pt>
                <c:pt idx="2">
                  <c:v>13.45</c:v>
                </c:pt>
                <c:pt idx="3">
                  <c:v>14.04</c:v>
                </c:pt>
                <c:pt idx="4">
                  <c:v>24.93</c:v>
                </c:pt>
                <c:pt idx="5">
                  <c:v>32.73</c:v>
                </c:pt>
              </c:numCache>
            </c:numRef>
          </c:val>
        </c:ser>
        <c:gapWidth val="150"/>
        <c:overlap val="0"/>
        <c:axId val="78584693"/>
        <c:axId val="53445631"/>
      </c:barChart>
      <c:catAx>
        <c:axId val="78584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45631"/>
        <c:crosses val="autoZero"/>
        <c:auto val="1"/>
        <c:lblAlgn val="ctr"/>
        <c:lblOffset val="100"/>
        <c:noMultiLvlLbl val="0"/>
      </c:catAx>
      <c:valAx>
        <c:axId val="53445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84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tickets opened vs resolved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Weekly!B1</c:f>
              <c:strCache>
                <c:ptCount val="1"/>
                <c:pt idx="0">
                  <c:v>opened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Weekly!$A$2:$A$14</c:f>
              <c:strCache>
                <c:ptCount val="13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</c:strCache>
            </c:strRef>
          </c:cat>
          <c:val>
            <c:numRef>
              <c:f>Weekly!$B$2:$B$14</c:f>
              <c:numCache>
                <c:formatCode>General</c:formatCode>
                <c:ptCount val="13"/>
                <c:pt idx="0">
                  <c:v>173</c:v>
                </c:pt>
                <c:pt idx="1">
                  <c:v>158</c:v>
                </c:pt>
                <c:pt idx="2">
                  <c:v>152</c:v>
                </c:pt>
                <c:pt idx="3">
                  <c:v>128</c:v>
                </c:pt>
                <c:pt idx="4">
                  <c:v>182</c:v>
                </c:pt>
                <c:pt idx="5">
                  <c:v>164</c:v>
                </c:pt>
                <c:pt idx="6">
                  <c:v>148</c:v>
                </c:pt>
                <c:pt idx="7">
                  <c:v>151</c:v>
                </c:pt>
                <c:pt idx="8">
                  <c:v>176</c:v>
                </c:pt>
                <c:pt idx="9">
                  <c:v>168</c:v>
                </c:pt>
                <c:pt idx="10">
                  <c:v>159</c:v>
                </c:pt>
                <c:pt idx="11">
                  <c:v>165</c:v>
                </c:pt>
                <c:pt idx="12">
                  <c:v>146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Weekly!C1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Weekly!$A$2:$A$14</c:f>
              <c:strCache>
                <c:ptCount val="13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</c:strCache>
            </c:strRef>
          </c:cat>
          <c:val>
            <c:numRef>
              <c:f>Weekly!$C$2:$C$14</c:f>
              <c:numCache>
                <c:formatCode>General</c:formatCode>
                <c:ptCount val="13"/>
                <c:pt idx="0">
                  <c:v>156</c:v>
                </c:pt>
                <c:pt idx="1">
                  <c:v>146</c:v>
                </c:pt>
                <c:pt idx="2">
                  <c:v>143</c:v>
                </c:pt>
                <c:pt idx="3">
                  <c:v>125</c:v>
                </c:pt>
                <c:pt idx="4">
                  <c:v>167</c:v>
                </c:pt>
                <c:pt idx="5">
                  <c:v>157</c:v>
                </c:pt>
                <c:pt idx="6">
                  <c:v>138</c:v>
                </c:pt>
                <c:pt idx="7">
                  <c:v>147</c:v>
                </c:pt>
                <c:pt idx="8">
                  <c:v>154</c:v>
                </c:pt>
                <c:pt idx="9">
                  <c:v>162</c:v>
                </c:pt>
                <c:pt idx="10">
                  <c:v>149</c:v>
                </c:pt>
                <c:pt idx="11">
                  <c:v>145</c:v>
                </c:pt>
                <c:pt idx="12">
                  <c:v>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993252"/>
        <c:axId val="85943140"/>
      </c:lineChart>
      <c:catAx>
        <c:axId val="1999325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43140"/>
        <c:crosses val="autoZero"/>
        <c:auto val="1"/>
        <c:lblAlgn val="ctr"/>
        <c:lblOffset val="100"/>
        <c:noMultiLvlLbl val="0"/>
      </c:catAx>
      <c:valAx>
        <c:axId val="85943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93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variance %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FIN-OPS</c:v>
                </c:pt>
                <c:pt idx="1">
                  <c:v>PAY-OPS</c:v>
                </c:pt>
                <c:pt idx="2">
                  <c:v>CS-DXB</c:v>
                </c:pt>
                <c:pt idx="3">
                  <c:v>CS-AUH</c:v>
                </c:pt>
                <c:pt idx="4">
                  <c:v>FUL-DXB</c:v>
                </c:pt>
                <c:pt idx="5">
                  <c:v>FUL-RUH</c:v>
                </c:pt>
              </c:strCache>
            </c:strRef>
          </c:cat>
          <c:val>
            <c:numRef>
              <c:f>Dashboard!$G$15:$G$20</c:f>
              <c:numCache>
                <c:formatCode>0.0%</c:formatCode>
                <c:ptCount val="6"/>
                <c:pt idx="0">
                  <c:v>-0.045764192139738</c:v>
                </c:pt>
                <c:pt idx="1">
                  <c:v>-0.0194660194174757</c:v>
                </c:pt>
                <c:pt idx="2">
                  <c:v>-0.0231055776892431</c:v>
                </c:pt>
                <c:pt idx="3">
                  <c:v>-0.00937113402061852</c:v>
                </c:pt>
                <c:pt idx="4">
                  <c:v>0.0682274176408076</c:v>
                </c:pt>
                <c:pt idx="5">
                  <c:v>-0.0499208860759494</c:v>
                </c:pt>
              </c:numCache>
            </c:numRef>
          </c:val>
        </c:ser>
        <c:gapWidth val="150"/>
        <c:overlap val="0"/>
        <c:axId val="59008324"/>
        <c:axId val="9372183"/>
      </c:barChart>
      <c:catAx>
        <c:axId val="59008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2183"/>
        <c:crosses val="autoZero"/>
        <c:auto val="1"/>
        <c:lblAlgn val="ctr"/>
        <c:lblOffset val="100"/>
        <c:noMultiLvlLbl val="0"/>
      </c:catAx>
      <c:valAx>
        <c:axId val="9372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8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130680</xdr:rowOff>
    </xdr:from>
    <xdr:to>
      <xdr:col>18</xdr:col>
      <xdr:colOff>255960</xdr:colOff>
      <xdr:row>14</xdr:row>
      <xdr:rowOff>14040</xdr:rowOff>
    </xdr:to>
    <xdr:graphicFrame>
      <xdr:nvGraphicFramePr>
        <xdr:cNvPr id="0" name="Chart 1"/>
        <xdr:cNvGraphicFramePr/>
      </xdr:nvGraphicFramePr>
      <xdr:xfrm>
        <a:off x="1118412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172080</xdr:rowOff>
    </xdr:from>
    <xdr:to>
      <xdr:col>18</xdr:col>
      <xdr:colOff>255960</xdr:colOff>
      <xdr:row>30</xdr:row>
      <xdr:rowOff>14400</xdr:rowOff>
    </xdr:to>
    <xdr:graphicFrame>
      <xdr:nvGraphicFramePr>
        <xdr:cNvPr id="1" name="Chart 2"/>
        <xdr:cNvGraphicFramePr/>
      </xdr:nvGraphicFramePr>
      <xdr:xfrm>
        <a:off x="11184120" y="3429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172080</xdr:rowOff>
    </xdr:from>
    <xdr:to>
      <xdr:col>3</xdr:col>
      <xdr:colOff>825840</xdr:colOff>
      <xdr:row>35</xdr:row>
      <xdr:rowOff>14400</xdr:rowOff>
    </xdr:to>
    <xdr:graphicFrame>
      <xdr:nvGraphicFramePr>
        <xdr:cNvPr id="2" name="Chart 3"/>
        <xdr:cNvGraphicFramePr/>
      </xdr:nvGraphicFramePr>
      <xdr:xfrm>
        <a:off x="0" y="4381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0" t="s">
        <v>4</v>
      </c>
      <c r="B4" s="4" t="n">
        <f aca="false">COUNTA(Data_Tickets!$A$2:$A$2071)</f>
        <v>2070</v>
      </c>
    </row>
    <row r="5" customFormat="false" ht="15" hidden="false" customHeight="false" outlineLevel="0" collapsed="false">
      <c r="A5" s="0" t="s">
        <v>5</v>
      </c>
      <c r="B5" s="4" t="n">
        <f aca="false">COUNT(Data_Tickets!$L$2:$L$2071)</f>
        <v>1847</v>
      </c>
    </row>
    <row r="6" customFormat="false" ht="15" hidden="false" customHeight="false" outlineLevel="0" collapsed="false">
      <c r="A6" s="0" t="s">
        <v>6</v>
      </c>
      <c r="B6" s="5" t="n">
        <f aca="false">B5/B4</f>
        <v>0.892270531400966</v>
      </c>
    </row>
    <row r="7" customFormat="false" ht="15" hidden="false" customHeight="false" outlineLevel="0" collapsed="false">
      <c r="A7" s="0" t="s">
        <v>7</v>
      </c>
      <c r="B7" s="6" t="n">
        <f aca="false">MEDIAN(Data_Tickets!$L$2:$L$2071)</f>
        <v>18.08</v>
      </c>
    </row>
    <row r="8" customFormat="false" ht="15" hidden="false" customHeight="false" outlineLevel="0" collapsed="false">
      <c r="A8" s="0" t="s">
        <v>8</v>
      </c>
      <c r="B8" s="7" t="n">
        <f aca="false">SUM(Data_Tickets!$I$2:$I$2071)</f>
        <v>-1526.25</v>
      </c>
    </row>
    <row r="9" customFormat="false" ht="15" hidden="false" customHeight="false" outlineLevel="0" collapsed="false">
      <c r="A9" s="0" t="s">
        <v>9</v>
      </c>
      <c r="B9" s="5" t="n">
        <f aca="false">(SUM(Team_Month!C2:C19)-SUM(Team_Month!D2:D19))/SUM(Team_Month!D2:D19)</f>
        <v>0.00743275792854275</v>
      </c>
    </row>
    <row r="10" customFormat="false" ht="15" hidden="false" customHeight="false" outlineLevel="0" collapsed="false">
      <c r="A10" s="0" t="s">
        <v>10</v>
      </c>
      <c r="B10" s="5" t="n">
        <f aca="false">SUM(Utilization!E2:E19)/SUM(Utilization!D2:D19)</f>
        <v>0.806079664570231</v>
      </c>
    </row>
    <row r="13" customFormat="false" ht="15" hidden="false" customHeight="false" outlineLevel="0" collapsed="false">
      <c r="A13" s="8" t="s">
        <v>11</v>
      </c>
    </row>
    <row r="14" customFormat="false" ht="41.75" hidden="false" customHeight="false" outlineLevel="0" collapsed="false">
      <c r="A14" s="9" t="s">
        <v>12</v>
      </c>
      <c r="B14" s="9" t="s">
        <v>4</v>
      </c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</row>
    <row r="15" customFormat="false" ht="15" hidden="false" customHeight="false" outlineLevel="0" collapsed="false">
      <c r="A15" s="0" t="s">
        <v>19</v>
      </c>
      <c r="B15" s="0" t="n">
        <f aca="false">COUNTIFS(Data_Tickets!$C$2:$C$2071,A15)</f>
        <v>268</v>
      </c>
      <c r="C15" s="6" t="n">
        <f aca="false" t="array" ref="C15:C15">MEDIAN(IF((Data_Tickets!$C$2:$C$2071=A15)*ISNUMBER(Data_Tickets!$L$2:$L$2071),Data_Tickets!$L$2:$L$2071))</f>
        <v>15.46</v>
      </c>
      <c r="D15" s="7" t="n">
        <f aca="false">SUMIFS(Data_Tickets!$I$2:$I$2071,Data_Tickets!$C$2:$C$2071,A15)</f>
        <v>-423.77</v>
      </c>
      <c r="E15" s="4" t="n">
        <f aca="false">SUMIFS(Team_Month!C:C,Team_Month!A:A,A15)</f>
        <v>21852</v>
      </c>
      <c r="F15" s="4" t="n">
        <f aca="false">SUMIFS(Team_Month!D:D,Team_Month!A:A,A15)</f>
        <v>22900</v>
      </c>
      <c r="G15" s="5" t="n">
        <f aca="false">(E15-F15)/F15</f>
        <v>-0.045764192139738</v>
      </c>
      <c r="H15" s="5" t="n">
        <f aca="false">SUMIFS(Utilization!E:E,Utilization!A:A,A15)/SUMIFS(Utilization!D:D,Utilization!A:A,A15)</f>
        <v>0.849867724867725</v>
      </c>
    </row>
    <row r="16" customFormat="false" ht="15" hidden="false" customHeight="false" outlineLevel="0" collapsed="false">
      <c r="A16" s="0" t="s">
        <v>20</v>
      </c>
      <c r="B16" s="0" t="n">
        <f aca="false">COUNTIFS(Data_Tickets!$C$2:$C$2071,A16)</f>
        <v>345</v>
      </c>
      <c r="C16" s="6" t="n">
        <f aca="false" t="array" ref="C16:C16">MEDIAN(IF((Data_Tickets!$C$2:$C$2071=A16)*ISNUMBER(Data_Tickets!$L$2:$L$2071),Data_Tickets!$L$2:$L$2071))</f>
        <v>20.1</v>
      </c>
      <c r="D16" s="7" t="n">
        <f aca="false">SUMIFS(Data_Tickets!$I$2:$I$2071,Data_Tickets!$C$2:$C$2071,A16)</f>
        <v>53.9799999999991</v>
      </c>
      <c r="E16" s="4" t="n">
        <f aca="false">SUMIFS(Team_Month!C:C,Team_Month!A:A,A16)</f>
        <v>30298.5</v>
      </c>
      <c r="F16" s="4" t="n">
        <f aca="false">SUMIFS(Team_Month!D:D,Team_Month!A:A,A16)</f>
        <v>30900</v>
      </c>
      <c r="G16" s="5" t="n">
        <f aca="false">(E16-F16)/F16</f>
        <v>-0.0194660194174757</v>
      </c>
      <c r="H16" s="5" t="n">
        <f aca="false">SUMIFS(Utilization!E:E,Utilization!A:A,A16)/SUMIFS(Utilization!D:D,Utilization!A:A,A16)</f>
        <v>0.736111111111111</v>
      </c>
    </row>
    <row r="17" customFormat="false" ht="15" hidden="false" customHeight="false" outlineLevel="0" collapsed="false">
      <c r="A17" s="0" t="s">
        <v>21</v>
      </c>
      <c r="B17" s="0" t="n">
        <f aca="false">COUNTIFS(Data_Tickets!$C$2:$C$2071,A17)</f>
        <v>446</v>
      </c>
      <c r="C17" s="6" t="n">
        <f aca="false" t="array" ref="C17:C17">MEDIAN(IF((Data_Tickets!$C$2:$C$2071=A17)*ISNUMBER(Data_Tickets!$L$2:$L$2071),Data_Tickets!$L$2:$L$2071))</f>
        <v>13.45</v>
      </c>
      <c r="D17" s="7" t="n">
        <f aca="false">SUMIFS(Data_Tickets!$I$2:$I$2071,Data_Tickets!$C$2:$C$2071,A17)</f>
        <v>-685.03</v>
      </c>
      <c r="E17" s="4" t="n">
        <f aca="false">SUMIFS(Team_Month!C:C,Team_Month!A:A,A17)</f>
        <v>49040.1</v>
      </c>
      <c r="F17" s="4" t="n">
        <f aca="false">SUMIFS(Team_Month!D:D,Team_Month!A:A,A17)</f>
        <v>50200</v>
      </c>
      <c r="G17" s="5" t="n">
        <f aca="false">(E17-F17)/F17</f>
        <v>-0.0231055776892431</v>
      </c>
      <c r="H17" s="5" t="n">
        <f aca="false">SUMIFS(Utilization!E:E,Utilization!A:A,A17)/SUMIFS(Utilization!D:D,Utilization!A:A,A17)</f>
        <v>0.824206349206349</v>
      </c>
    </row>
    <row r="18" customFormat="false" ht="15" hidden="false" customHeight="false" outlineLevel="0" collapsed="false">
      <c r="A18" s="0" t="s">
        <v>22</v>
      </c>
      <c r="B18" s="0" t="n">
        <f aca="false">COUNTIFS(Data_Tickets!$C$2:$C$2071,A18)</f>
        <v>232</v>
      </c>
      <c r="C18" s="6" t="n">
        <f aca="false" t="array" ref="C18:C18">MEDIAN(IF((Data_Tickets!$C$2:$C$2071=A18)*ISNUMBER(Data_Tickets!$L$2:$L$2071),Data_Tickets!$L$2:$L$2071))</f>
        <v>14.04</v>
      </c>
      <c r="D18" s="7" t="n">
        <f aca="false">SUMIFS(Data_Tickets!$I$2:$I$2071,Data_Tickets!$C$2:$C$2071,A18)</f>
        <v>-509.890000000001</v>
      </c>
      <c r="E18" s="4" t="n">
        <f aca="false">SUMIFS(Team_Month!C:C,Team_Month!A:A,A18)</f>
        <v>19218.2</v>
      </c>
      <c r="F18" s="4" t="n">
        <f aca="false">SUMIFS(Team_Month!D:D,Team_Month!A:A,A18)</f>
        <v>19400</v>
      </c>
      <c r="G18" s="5" t="n">
        <f aca="false">(E18-F18)/F18</f>
        <v>-0.00937113402061852</v>
      </c>
      <c r="H18" s="5" t="n">
        <f aca="false">SUMIFS(Utilization!E:E,Utilization!A:A,A18)/SUMIFS(Utilization!D:D,Utilization!A:A,A18)</f>
        <v>0.804232804232804</v>
      </c>
    </row>
    <row r="19" customFormat="false" ht="15" hidden="false" customHeight="false" outlineLevel="0" collapsed="false">
      <c r="A19" s="0" t="s">
        <v>23</v>
      </c>
      <c r="B19" s="0" t="n">
        <f aca="false">COUNTIFS(Data_Tickets!$C$2:$C$2071,A19)</f>
        <v>589</v>
      </c>
      <c r="C19" s="6" t="n">
        <f aca="false" t="array" ref="C19:C19">MEDIAN(IF((Data_Tickets!$C$2:$C$2071=A19)*ISNUMBER(Data_Tickets!$L$2:$L$2071),Data_Tickets!$L$2:$L$2071))</f>
        <v>24.93</v>
      </c>
      <c r="D19" s="7" t="n">
        <f aca="false">SUMIFS(Data_Tickets!$I$2:$I$2071,Data_Tickets!$C$2:$C$2071,A19)</f>
        <v>-393.92</v>
      </c>
      <c r="E19" s="4" t="n">
        <f aca="false">SUMIFS(Team_Month!C:C,Team_Month!A:A,A19)</f>
        <v>100520.2</v>
      </c>
      <c r="F19" s="4" t="n">
        <f aca="false">SUMIFS(Team_Month!D:D,Team_Month!A:A,A19)</f>
        <v>94100</v>
      </c>
      <c r="G19" s="5" t="n">
        <f aca="false">(E19-F19)/F19</f>
        <v>0.0682274176408076</v>
      </c>
      <c r="H19" s="5" t="n">
        <f aca="false">SUMIFS(Utilization!E:E,Utilization!A:A,A19)/SUMIFS(Utilization!D:D,Utilization!A:A,A19)</f>
        <v>0.788265306122449</v>
      </c>
    </row>
    <row r="20" customFormat="false" ht="15" hidden="false" customHeight="false" outlineLevel="0" collapsed="false">
      <c r="A20" s="0" t="s">
        <v>24</v>
      </c>
      <c r="B20" s="0" t="n">
        <f aca="false">COUNTIFS(Data_Tickets!$C$2:$C$2071,A20)</f>
        <v>190</v>
      </c>
      <c r="C20" s="6" t="n">
        <f aca="false" t="array" ref="C20:C20">MEDIAN(IF((Data_Tickets!$C$2:$C$2071=A20)*ISNUMBER(Data_Tickets!$L$2:$L$2071),Data_Tickets!$L$2:$L$2071))</f>
        <v>32.73</v>
      </c>
      <c r="D20" s="7" t="n">
        <f aca="false">SUMIFS(Data_Tickets!$I$2:$I$2071,Data_Tickets!$C$2:$C$2071,A20)</f>
        <v>432.38</v>
      </c>
      <c r="E20" s="4" t="n">
        <f aca="false">SUMIFS(Team_Month!C:C,Team_Month!A:A,A20)</f>
        <v>30022.5</v>
      </c>
      <c r="F20" s="4" t="n">
        <f aca="false">SUMIFS(Team_Month!D:D,Team_Month!A:A,A20)</f>
        <v>31600</v>
      </c>
      <c r="G20" s="5" t="n">
        <f aca="false">(E20-F20)/F20</f>
        <v>-0.0499208860759494</v>
      </c>
      <c r="H20" s="5" t="n">
        <f aca="false">SUMIFS(Utilization!E:E,Utilization!A:A,A20)/SUMIFS(Utilization!D:D,Utilization!A:A,A20)</f>
        <v>0.847883597883598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9"/>
    <col collapsed="false" customWidth="true" hidden="false" outlineLevel="0" max="15" min="14" style="0" width="12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23</v>
      </c>
      <c r="D2" s="0" t="s">
        <v>42</v>
      </c>
      <c r="E2" s="10" t="n">
        <v>45719.3</v>
      </c>
      <c r="F2" s="10" t="n">
        <v>45719.6784722222</v>
      </c>
      <c r="G2" s="0" t="n">
        <v>341.61</v>
      </c>
      <c r="H2" s="0" t="n">
        <v>351.27</v>
      </c>
      <c r="I2" s="11" t="n">
        <f aca="false">H2-G2</f>
        <v>9.65999999999997</v>
      </c>
      <c r="J2" s="5" t="n">
        <f aca="false">IF(G2=0,"",I2/G2)</f>
        <v>0.028277860718363</v>
      </c>
      <c r="K2" s="0" t="n">
        <v>96.8</v>
      </c>
      <c r="L2" s="0" t="n">
        <v>9.08</v>
      </c>
      <c r="M2" s="11" t="s">
        <v>43</v>
      </c>
      <c r="N2" s="12" t="n">
        <f aca="false">INT(E2)</f>
        <v>45719</v>
      </c>
      <c r="O2" s="12" t="n">
        <f aca="false">IF(F2="","",INT(F2))</f>
        <v>45719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22</v>
      </c>
      <c r="D3" s="0" t="s">
        <v>42</v>
      </c>
      <c r="E3" s="10" t="n">
        <v>45719.3291666667</v>
      </c>
      <c r="F3" s="10" t="n">
        <v>45719.9141435185</v>
      </c>
      <c r="G3" s="0" t="n">
        <v>606.01</v>
      </c>
      <c r="H3" s="0" t="n">
        <v>597.7</v>
      </c>
      <c r="I3" s="11" t="n">
        <f aca="false">H3-G3</f>
        <v>-8.30999999999995</v>
      </c>
      <c r="J3" s="5" t="n">
        <f aca="false">IF(G3=0,"",I3/G3)</f>
        <v>-0.0137126450058579</v>
      </c>
      <c r="K3" s="0" t="n">
        <v>79.6</v>
      </c>
      <c r="L3" s="0" t="n">
        <v>14.04</v>
      </c>
      <c r="M3" s="11" t="s">
        <v>43</v>
      </c>
      <c r="N3" s="12" t="n">
        <f aca="false">INT(E3)</f>
        <v>45719</v>
      </c>
      <c r="O3" s="12" t="n">
        <f aca="false">IF(F3="","",INT(F3))</f>
        <v>45719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21</v>
      </c>
      <c r="D4" s="0" t="s">
        <v>48</v>
      </c>
      <c r="E4" s="10" t="n">
        <v>45719.3388888889</v>
      </c>
      <c r="F4" s="10"/>
      <c r="G4" s="0" t="n">
        <v>558.87</v>
      </c>
      <c r="H4" s="0" t="n">
        <v>559.3</v>
      </c>
      <c r="I4" s="11" t="n">
        <f aca="false">H4-G4</f>
        <v>0.42999999999995</v>
      </c>
      <c r="J4" s="5" t="n">
        <f aca="false">IF(G4=0,"",I4/G4)</f>
        <v>0.000769409701719452</v>
      </c>
      <c r="K4" s="0" t="n">
        <v>153.8</v>
      </c>
      <c r="M4" s="11" t="s">
        <v>43</v>
      </c>
      <c r="N4" s="12" t="n">
        <f aca="false">INT(E4)</f>
        <v>45719</v>
      </c>
      <c r="O4" s="12" t="str">
        <f aca="false">IF(F4="","",INT(F4))</f>
        <v/>
      </c>
    </row>
    <row r="5" customFormat="false" ht="15" hidden="false" customHeight="false" outlineLevel="0" collapsed="false">
      <c r="A5" s="0" t="s">
        <v>49</v>
      </c>
      <c r="B5" s="0" t="s">
        <v>50</v>
      </c>
      <c r="C5" s="0" t="s">
        <v>23</v>
      </c>
      <c r="D5" s="0" t="s">
        <v>42</v>
      </c>
      <c r="E5" s="10" t="n">
        <v>45719.3534722222</v>
      </c>
      <c r="F5" s="10" t="n">
        <v>45719.9493055556</v>
      </c>
      <c r="G5" s="0" t="n">
        <v>680.19</v>
      </c>
      <c r="H5" s="0" t="n">
        <v>684.68</v>
      </c>
      <c r="I5" s="11" t="n">
        <f aca="false">H5-G5</f>
        <v>4.4899999999999</v>
      </c>
      <c r="J5" s="5" t="n">
        <f aca="false">IF(G5=0,"",I5/G5)</f>
        <v>0.00660109675237786</v>
      </c>
      <c r="K5" s="0" t="n">
        <v>267.8</v>
      </c>
      <c r="L5" s="0" t="n">
        <v>14.3</v>
      </c>
      <c r="M5" s="11" t="s">
        <v>43</v>
      </c>
      <c r="N5" s="12" t="n">
        <f aca="false">INT(E5)</f>
        <v>45719</v>
      </c>
      <c r="O5" s="12" t="n">
        <f aca="false">IF(F5="","",INT(F5))</f>
        <v>45719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s">
        <v>23</v>
      </c>
      <c r="D6" s="0" t="s">
        <v>42</v>
      </c>
      <c r="E6" s="10" t="n">
        <v>45719.3736111111</v>
      </c>
      <c r="F6" s="10" t="n">
        <v>45721.3972453704</v>
      </c>
      <c r="G6" s="0" t="n">
        <v>187.91</v>
      </c>
      <c r="H6" s="0" t="n">
        <v>183.66</v>
      </c>
      <c r="I6" s="11" t="n">
        <f aca="false">H6-G6</f>
        <v>-4.25</v>
      </c>
      <c r="J6" s="5" t="n">
        <f aca="false">IF(G6=0,"",I6/G6)</f>
        <v>-0.0226172103666649</v>
      </c>
      <c r="K6" s="0" t="n">
        <v>78.1</v>
      </c>
      <c r="L6" s="0" t="n">
        <v>48.57</v>
      </c>
      <c r="M6" s="11" t="s">
        <v>43</v>
      </c>
      <c r="N6" s="12" t="n">
        <f aca="false">INT(E6)</f>
        <v>45719</v>
      </c>
      <c r="O6" s="12" t="n">
        <f aca="false">IF(F6="","",INT(F6))</f>
        <v>45721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20</v>
      </c>
      <c r="D7" s="0" t="s">
        <v>42</v>
      </c>
      <c r="E7" s="10" t="n">
        <v>45719.3756944445</v>
      </c>
      <c r="F7" s="10" t="n">
        <v>45719.9604166667</v>
      </c>
      <c r="G7" s="0" t="n">
        <v>88.42</v>
      </c>
      <c r="H7" s="0" t="n">
        <v>90.15</v>
      </c>
      <c r="I7" s="11" t="n">
        <f aca="false">H7-G7</f>
        <v>1.73</v>
      </c>
      <c r="J7" s="5" t="n">
        <f aca="false">IF(G7=0,"",I7/G7)</f>
        <v>0.0195657091155848</v>
      </c>
      <c r="K7" s="0" t="n">
        <v>13.3</v>
      </c>
      <c r="L7" s="0" t="n">
        <v>14.03</v>
      </c>
      <c r="M7" s="11" t="s">
        <v>43</v>
      </c>
      <c r="N7" s="12" t="n">
        <f aca="false">INT(E7)</f>
        <v>45719</v>
      </c>
      <c r="O7" s="12" t="n">
        <f aca="false">IF(F7="","",INT(F7))</f>
        <v>45719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23</v>
      </c>
      <c r="D8" s="0" t="s">
        <v>42</v>
      </c>
      <c r="E8" s="10" t="n">
        <v>45719.3805555556</v>
      </c>
      <c r="F8" s="10" t="n">
        <v>45722.2088078704</v>
      </c>
      <c r="G8" s="0" t="n">
        <v>201.58</v>
      </c>
      <c r="H8" s="0" t="n">
        <v>204.67</v>
      </c>
      <c r="I8" s="11" t="n">
        <f aca="false">H8-G8</f>
        <v>3.08999999999998</v>
      </c>
      <c r="J8" s="5" t="n">
        <f aca="false">IF(G8=0,"",I8/G8)</f>
        <v>0.0153289016767535</v>
      </c>
      <c r="K8" s="0" t="n">
        <v>49.3</v>
      </c>
      <c r="L8" s="0" t="n">
        <v>67.88</v>
      </c>
      <c r="M8" s="11" t="s">
        <v>43</v>
      </c>
      <c r="N8" s="12" t="n">
        <f aca="false">INT(E8)</f>
        <v>45719</v>
      </c>
      <c r="O8" s="12" t="n">
        <f aca="false">IF(F8="","",INT(F8))</f>
        <v>45722</v>
      </c>
    </row>
    <row r="9" customFormat="false" ht="15" hidden="false" customHeight="false" outlineLevel="0" collapsed="false">
      <c r="A9" s="0" t="s">
        <v>57</v>
      </c>
      <c r="B9" s="0" t="s">
        <v>58</v>
      </c>
      <c r="C9" s="0" t="s">
        <v>19</v>
      </c>
      <c r="D9" s="0" t="s">
        <v>42</v>
      </c>
      <c r="E9" s="10" t="n">
        <v>45719.3923611111</v>
      </c>
      <c r="F9" s="10" t="n">
        <v>45719.9222222222</v>
      </c>
      <c r="G9" s="0" t="n">
        <v>758.05</v>
      </c>
      <c r="H9" s="0" t="n">
        <v>747.94</v>
      </c>
      <c r="I9" s="11" t="n">
        <f aca="false">H9-G9</f>
        <v>-10.1099999999999</v>
      </c>
      <c r="J9" s="5" t="n">
        <f aca="false">IF(G9=0,"",I9/G9)</f>
        <v>-0.0133368511311917</v>
      </c>
      <c r="K9" s="0" t="n">
        <v>74.9</v>
      </c>
      <c r="L9" s="0" t="n">
        <v>12.72</v>
      </c>
      <c r="M9" s="11" t="s">
        <v>43</v>
      </c>
      <c r="N9" s="12" t="n">
        <f aca="false">INT(E9)</f>
        <v>45719</v>
      </c>
      <c r="O9" s="12" t="n">
        <f aca="false">IF(F9="","",INT(F9))</f>
        <v>45719</v>
      </c>
    </row>
    <row r="10" customFormat="false" ht="15" hidden="false" customHeight="false" outlineLevel="0" collapsed="false">
      <c r="A10" s="0" t="s">
        <v>59</v>
      </c>
      <c r="B10" s="0" t="s">
        <v>60</v>
      </c>
      <c r="C10" s="0" t="s">
        <v>21</v>
      </c>
      <c r="D10" s="0" t="s">
        <v>48</v>
      </c>
      <c r="E10" s="10" t="n">
        <v>45719.3958333333</v>
      </c>
      <c r="F10" s="10"/>
      <c r="G10" s="0" t="n">
        <v>130.83</v>
      </c>
      <c r="H10" s="0" t="n">
        <v>130.14</v>
      </c>
      <c r="I10" s="11" t="n">
        <f aca="false">H10-G10</f>
        <v>-0.690000000000026</v>
      </c>
      <c r="J10" s="5" t="n">
        <f aca="false">IF(G10=0,"",I10/G10)</f>
        <v>-0.00527401972024785</v>
      </c>
      <c r="K10" s="0" t="n">
        <v>31.7</v>
      </c>
      <c r="M10" s="11" t="s">
        <v>43</v>
      </c>
      <c r="N10" s="12" t="n">
        <f aca="false">INT(E10)</f>
        <v>45719</v>
      </c>
      <c r="O10" s="12" t="str">
        <f aca="false">IF(F10="","",INT(F10))</f>
        <v/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19</v>
      </c>
      <c r="D11" s="0" t="s">
        <v>42</v>
      </c>
      <c r="E11" s="10" t="n">
        <v>45719.425</v>
      </c>
      <c r="F11" s="10" t="n">
        <v>45720.1701388889</v>
      </c>
      <c r="G11" s="0" t="n">
        <v>710.39</v>
      </c>
      <c r="H11" s="0" t="n">
        <v>709.22</v>
      </c>
      <c r="I11" s="11" t="n">
        <f aca="false">H11-G11</f>
        <v>-1.16999999999996</v>
      </c>
      <c r="J11" s="5" t="n">
        <f aca="false">IF(G11=0,"",I11/G11)</f>
        <v>-0.0016469826433367</v>
      </c>
      <c r="K11" s="0" t="n">
        <v>68.9</v>
      </c>
      <c r="L11" s="0" t="n">
        <v>17.88</v>
      </c>
      <c r="M11" s="11" t="s">
        <v>43</v>
      </c>
      <c r="N11" s="12" t="n">
        <f aca="false">INT(E11)</f>
        <v>45719</v>
      </c>
      <c r="O11" s="12" t="n">
        <f aca="false">IF(F11="","",INT(F11))</f>
        <v>45720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20</v>
      </c>
      <c r="D12" s="0" t="s">
        <v>42</v>
      </c>
      <c r="E12" s="10" t="n">
        <v>45719.4291666667</v>
      </c>
      <c r="F12" s="10" t="n">
        <v>45721.8020833333</v>
      </c>
      <c r="G12" s="0" t="n">
        <v>232.62</v>
      </c>
      <c r="H12" s="0" t="n">
        <v>234.65</v>
      </c>
      <c r="I12" s="11" t="n">
        <f aca="false">H12-G12</f>
        <v>2.03</v>
      </c>
      <c r="J12" s="5" t="n">
        <f aca="false">IF(G12=0,"",I12/G12)</f>
        <v>0.00872667870346488</v>
      </c>
      <c r="K12" s="0" t="n">
        <v>41.8</v>
      </c>
      <c r="L12" s="0" t="n">
        <v>56.95</v>
      </c>
      <c r="M12" s="11" t="s">
        <v>43</v>
      </c>
      <c r="N12" s="12" t="n">
        <f aca="false">INT(E12)</f>
        <v>45719</v>
      </c>
      <c r="O12" s="12" t="n">
        <f aca="false">IF(F12="","",INT(F12))</f>
        <v>45721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20</v>
      </c>
      <c r="D13" s="0" t="s">
        <v>48</v>
      </c>
      <c r="E13" s="10" t="n">
        <v>45719.4375</v>
      </c>
      <c r="F13" s="10"/>
      <c r="G13" s="0" t="n">
        <v>320.13</v>
      </c>
      <c r="H13" s="0" t="n">
        <v>318.92</v>
      </c>
      <c r="I13" s="11" t="n">
        <f aca="false">H13-G13</f>
        <v>-1.20999999999998</v>
      </c>
      <c r="J13" s="5" t="n">
        <f aca="false">IF(G13=0,"",I13/G13)</f>
        <v>-0.00377971449098797</v>
      </c>
      <c r="K13" s="0" t="n">
        <v>42.5</v>
      </c>
      <c r="M13" s="11" t="s">
        <v>43</v>
      </c>
      <c r="N13" s="12" t="n">
        <f aca="false">INT(E13)</f>
        <v>45719</v>
      </c>
      <c r="O13" s="12" t="str">
        <f aca="false">IF(F13="","",INT(F13))</f>
        <v/>
      </c>
    </row>
    <row r="14" customFormat="false" ht="15" hidden="false" customHeight="false" outlineLevel="0" collapsed="false">
      <c r="A14" s="0" t="s">
        <v>67</v>
      </c>
      <c r="B14" s="0" t="s">
        <v>68</v>
      </c>
      <c r="C14" s="0" t="s">
        <v>23</v>
      </c>
      <c r="D14" s="0" t="s">
        <v>42</v>
      </c>
      <c r="E14" s="10" t="n">
        <v>45719.45</v>
      </c>
      <c r="F14" s="10" t="n">
        <v>45719.9590277778</v>
      </c>
      <c r="G14" s="0" t="n">
        <v>746.38</v>
      </c>
      <c r="H14" s="0" t="n">
        <v>743.04</v>
      </c>
      <c r="I14" s="11" t="n">
        <f aca="false">H14-G14</f>
        <v>-3.34000000000003</v>
      </c>
      <c r="J14" s="5" t="n">
        <f aca="false">IF(G14=0,"",I14/G14)</f>
        <v>-0.0044749323400949</v>
      </c>
      <c r="K14" s="0" t="n">
        <v>258.2</v>
      </c>
      <c r="L14" s="0" t="n">
        <v>12.22</v>
      </c>
      <c r="M14" s="11" t="s">
        <v>43</v>
      </c>
      <c r="N14" s="12" t="n">
        <f aca="false">INT(E14)</f>
        <v>45719</v>
      </c>
      <c r="O14" s="12" t="n">
        <f aca="false">IF(F14="","",INT(F14))</f>
        <v>45719</v>
      </c>
    </row>
    <row r="15" customFormat="false" ht="15" hidden="false" customHeight="false" outlineLevel="0" collapsed="false">
      <c r="A15" s="0" t="s">
        <v>69</v>
      </c>
      <c r="B15" s="0" t="s">
        <v>70</v>
      </c>
      <c r="C15" s="0" t="s">
        <v>23</v>
      </c>
      <c r="D15" s="0" t="s">
        <v>42</v>
      </c>
      <c r="E15" s="10" t="n">
        <v>45719.4527777778</v>
      </c>
      <c r="F15" s="10" t="n">
        <v>45720.6576851852</v>
      </c>
      <c r="G15" s="0" t="n">
        <v>405.97</v>
      </c>
      <c r="H15" s="0" t="n">
        <v>385.07</v>
      </c>
      <c r="I15" s="11" t="n">
        <f aca="false">H15-G15</f>
        <v>-20.9</v>
      </c>
      <c r="J15" s="5" t="n">
        <f aca="false">IF(G15=0,"",I15/G15)</f>
        <v>-0.0514816365741312</v>
      </c>
      <c r="K15" s="0" t="n">
        <v>159.8</v>
      </c>
      <c r="L15" s="0" t="n">
        <v>28.92</v>
      </c>
      <c r="M15" s="11" t="s">
        <v>43</v>
      </c>
      <c r="N15" s="12" t="n">
        <f aca="false">INT(E15)</f>
        <v>45719</v>
      </c>
      <c r="O15" s="12" t="n">
        <f aca="false">IF(F15="","",INT(F15))</f>
        <v>45720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19</v>
      </c>
      <c r="D16" s="0" t="s">
        <v>48</v>
      </c>
      <c r="E16" s="10" t="n">
        <v>45719.4666666667</v>
      </c>
      <c r="F16" s="10"/>
      <c r="G16" s="0" t="n">
        <v>768.29</v>
      </c>
      <c r="H16" s="0" t="n">
        <v>800.57</v>
      </c>
      <c r="I16" s="11" t="n">
        <f aca="false">H16-G16</f>
        <v>32.2800000000001</v>
      </c>
      <c r="J16" s="5" t="n">
        <f aca="false">IF(G16=0,"",I16/G16)</f>
        <v>0.0420153848156296</v>
      </c>
      <c r="K16" s="0" t="n">
        <v>91.9</v>
      </c>
      <c r="M16" s="11" t="s">
        <v>43</v>
      </c>
      <c r="N16" s="12" t="n">
        <f aca="false">INT(E16)</f>
        <v>45719</v>
      </c>
      <c r="O16" s="12" t="str">
        <f aca="false">IF(F16="","",INT(F16))</f>
        <v/>
      </c>
    </row>
    <row r="17" customFormat="false" ht="15" hidden="false" customHeight="false" outlineLevel="0" collapsed="false">
      <c r="A17" s="0" t="s">
        <v>73</v>
      </c>
      <c r="B17" s="0" t="s">
        <v>74</v>
      </c>
      <c r="C17" s="0" t="s">
        <v>20</v>
      </c>
      <c r="D17" s="0" t="s">
        <v>42</v>
      </c>
      <c r="E17" s="10" t="n">
        <v>45719.4847222222</v>
      </c>
      <c r="F17" s="10" t="n">
        <v>45720.2064583333</v>
      </c>
      <c r="G17" s="0" t="n">
        <v>376.18</v>
      </c>
      <c r="H17" s="0" t="n">
        <v>366.63</v>
      </c>
      <c r="I17" s="11" t="n">
        <f aca="false">H17-G17</f>
        <v>-9.55000000000001</v>
      </c>
      <c r="J17" s="5" t="n">
        <f aca="false">IF(G17=0,"",I17/G17)</f>
        <v>-0.0253867829230688</v>
      </c>
      <c r="K17" s="0" t="n">
        <v>63.9</v>
      </c>
      <c r="L17" s="0" t="n">
        <v>17.32</v>
      </c>
      <c r="M17" s="11" t="s">
        <v>43</v>
      </c>
      <c r="N17" s="12" t="n">
        <f aca="false">INT(E17)</f>
        <v>45719</v>
      </c>
      <c r="O17" s="12" t="n">
        <f aca="false">IF(F17="","",INT(F17))</f>
        <v>45720</v>
      </c>
    </row>
    <row r="18" customFormat="false" ht="15" hidden="false" customHeight="false" outlineLevel="0" collapsed="false">
      <c r="A18" s="0" t="s">
        <v>75</v>
      </c>
      <c r="B18" s="0" t="s">
        <v>76</v>
      </c>
      <c r="C18" s="0" t="s">
        <v>21</v>
      </c>
      <c r="D18" s="0" t="s">
        <v>42</v>
      </c>
      <c r="E18" s="10" t="n">
        <v>45719.4861111111</v>
      </c>
      <c r="F18" s="10" t="n">
        <v>45720.1844097222</v>
      </c>
      <c r="G18" s="0" t="n">
        <v>269.3</v>
      </c>
      <c r="H18" s="0" t="n">
        <v>269.76</v>
      </c>
      <c r="I18" s="11" t="n">
        <f aca="false">H18-G18</f>
        <v>0.45999999999998</v>
      </c>
      <c r="J18" s="5" t="n">
        <f aca="false">IF(G18=0,"",I18/G18)</f>
        <v>0.00170813219457846</v>
      </c>
      <c r="K18" s="0" t="n">
        <v>47.3</v>
      </c>
      <c r="L18" s="0" t="n">
        <v>16.76</v>
      </c>
      <c r="M18" s="11" t="s">
        <v>43</v>
      </c>
      <c r="N18" s="12" t="n">
        <f aca="false">INT(E18)</f>
        <v>45719</v>
      </c>
      <c r="O18" s="12" t="n">
        <f aca="false">IF(F18="","",INT(F18))</f>
        <v>45720</v>
      </c>
    </row>
    <row r="19" customFormat="false" ht="15" hidden="false" customHeight="false" outlineLevel="0" collapsed="false">
      <c r="A19" s="0" t="s">
        <v>77</v>
      </c>
      <c r="B19" s="0" t="s">
        <v>78</v>
      </c>
      <c r="C19" s="0" t="s">
        <v>24</v>
      </c>
      <c r="D19" s="0" t="s">
        <v>42</v>
      </c>
      <c r="E19" s="10" t="n">
        <v>45719.5083333333</v>
      </c>
      <c r="F19" s="10" t="n">
        <v>45721.7465277778</v>
      </c>
      <c r="G19" s="0" t="n">
        <v>336.46</v>
      </c>
      <c r="H19" s="0" t="n">
        <v>339.38</v>
      </c>
      <c r="I19" s="11" t="n">
        <f aca="false">H19-G19</f>
        <v>2.92000000000002</v>
      </c>
      <c r="J19" s="5" t="n">
        <f aca="false">IF(G19=0,"",I19/G19)</f>
        <v>0.00867859478095469</v>
      </c>
      <c r="K19" s="0" t="n">
        <v>121.6</v>
      </c>
      <c r="L19" s="0" t="n">
        <v>53.72</v>
      </c>
      <c r="M19" s="11" t="s">
        <v>43</v>
      </c>
      <c r="N19" s="12" t="n">
        <f aca="false">INT(E19)</f>
        <v>45719</v>
      </c>
      <c r="O19" s="12" t="n">
        <f aca="false">IF(F19="","",INT(F19))</f>
        <v>45721</v>
      </c>
    </row>
    <row r="20" customFormat="false" ht="15" hidden="false" customHeight="false" outlineLevel="0" collapsed="false">
      <c r="A20" s="0" t="s">
        <v>79</v>
      </c>
      <c r="B20" s="0" t="s">
        <v>80</v>
      </c>
      <c r="C20" s="0" t="s">
        <v>22</v>
      </c>
      <c r="D20" s="0" t="s">
        <v>42</v>
      </c>
      <c r="E20" s="10" t="n">
        <v>45719.5090277778</v>
      </c>
      <c r="F20" s="10" t="n">
        <v>45720.04375</v>
      </c>
      <c r="G20" s="0" t="n">
        <v>257.96</v>
      </c>
      <c r="H20" s="0" t="n">
        <v>200.82</v>
      </c>
      <c r="I20" s="11" t="n">
        <f aca="false">H20-G20</f>
        <v>-57.14</v>
      </c>
      <c r="J20" s="5" t="n">
        <f aca="false">IF(G20=0,"",I20/G20)</f>
        <v>-0.22150721042022</v>
      </c>
      <c r="K20" s="0" t="n">
        <v>35.9</v>
      </c>
      <c r="L20" s="0" t="n">
        <v>12.83</v>
      </c>
      <c r="M20" s="11" t="s">
        <v>43</v>
      </c>
      <c r="N20" s="12" t="n">
        <f aca="false">INT(E20)</f>
        <v>45719</v>
      </c>
      <c r="O20" s="12" t="n">
        <f aca="false">IF(F20="","",INT(F20))</f>
        <v>45720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0" t="s">
        <v>24</v>
      </c>
      <c r="D21" s="0" t="s">
        <v>42</v>
      </c>
      <c r="E21" s="10" t="n">
        <v>45719.5104166667</v>
      </c>
      <c r="F21" s="10" t="n">
        <v>45721.6065162037</v>
      </c>
      <c r="G21" s="0" t="n">
        <v>235.87</v>
      </c>
      <c r="H21" s="0" t="n">
        <v>231.91</v>
      </c>
      <c r="I21" s="11" t="n">
        <f aca="false">H21-G21</f>
        <v>-3.96000000000001</v>
      </c>
      <c r="J21" s="5" t="n">
        <f aca="false">IF(G21=0,"",I21/G21)</f>
        <v>-0.016788909144868</v>
      </c>
      <c r="K21" s="0" t="n">
        <v>43.1</v>
      </c>
      <c r="L21" s="0" t="n">
        <v>50.31</v>
      </c>
      <c r="M21" s="11" t="s">
        <v>43</v>
      </c>
      <c r="N21" s="12" t="n">
        <f aca="false">INT(E21)</f>
        <v>45719</v>
      </c>
      <c r="O21" s="12" t="n">
        <f aca="false">IF(F21="","",INT(F21))</f>
        <v>45721</v>
      </c>
    </row>
    <row r="22" customFormat="false" ht="15" hidden="false" customHeight="false" outlineLevel="0" collapsed="false">
      <c r="A22" s="0" t="s">
        <v>83</v>
      </c>
      <c r="B22" s="0" t="s">
        <v>84</v>
      </c>
      <c r="C22" s="0" t="s">
        <v>21</v>
      </c>
      <c r="D22" s="0" t="s">
        <v>42</v>
      </c>
      <c r="E22" s="10" t="n">
        <v>45719.5173611111</v>
      </c>
      <c r="F22" s="10" t="n">
        <v>45720.3520833333</v>
      </c>
      <c r="G22" s="0" t="n">
        <v>783.79</v>
      </c>
      <c r="H22" s="0" t="n">
        <v>876.92</v>
      </c>
      <c r="I22" s="11" t="n">
        <f aca="false">H22-G22</f>
        <v>93.13</v>
      </c>
      <c r="J22" s="5" t="n">
        <f aca="false">IF(G22=0,"",I22/G22)</f>
        <v>0.118820092116511</v>
      </c>
      <c r="K22" s="0" t="n">
        <v>145.5</v>
      </c>
      <c r="L22" s="0" t="n">
        <v>20.03</v>
      </c>
      <c r="M22" s="11" t="s">
        <v>43</v>
      </c>
      <c r="N22" s="12" t="n">
        <f aca="false">INT(E22)</f>
        <v>45719</v>
      </c>
      <c r="O22" s="12" t="n">
        <f aca="false">IF(F22="","",INT(F22))</f>
        <v>45720</v>
      </c>
    </row>
    <row r="23" customFormat="false" ht="15" hidden="false" customHeight="false" outlineLevel="0" collapsed="false">
      <c r="A23" s="0" t="s">
        <v>85</v>
      </c>
      <c r="B23" s="0" t="s">
        <v>86</v>
      </c>
      <c r="C23" s="0" t="s">
        <v>20</v>
      </c>
      <c r="D23" s="0" t="s">
        <v>48</v>
      </c>
      <c r="E23" s="10" t="n">
        <v>45719.5236111111</v>
      </c>
      <c r="F23" s="10"/>
      <c r="G23" s="0" t="n">
        <v>573.29</v>
      </c>
      <c r="H23" s="0" t="n">
        <v>560.84</v>
      </c>
      <c r="I23" s="11" t="n">
        <f aca="false">H23-G23</f>
        <v>-12.4499999999999</v>
      </c>
      <c r="J23" s="5" t="n">
        <f aca="false">IF(G23=0,"",I23/G23)</f>
        <v>-0.0217167576619162</v>
      </c>
      <c r="K23" s="0" t="n">
        <v>92.8</v>
      </c>
      <c r="M23" s="11" t="s">
        <v>43</v>
      </c>
      <c r="N23" s="12" t="n">
        <f aca="false">INT(E23)</f>
        <v>45719</v>
      </c>
      <c r="O23" s="12" t="str">
        <f aca="false">IF(F23="","",INT(F23))</f>
        <v/>
      </c>
    </row>
    <row r="24" customFormat="false" ht="15" hidden="false" customHeight="false" outlineLevel="0" collapsed="false">
      <c r="A24" s="0" t="s">
        <v>87</v>
      </c>
      <c r="B24" s="0" t="s">
        <v>88</v>
      </c>
      <c r="C24" s="0" t="s">
        <v>22</v>
      </c>
      <c r="D24" s="0" t="s">
        <v>42</v>
      </c>
      <c r="E24" s="10" t="n">
        <v>45719.5381944445</v>
      </c>
      <c r="F24" s="10" t="n">
        <v>45719.7986921296</v>
      </c>
      <c r="G24" s="0" t="n">
        <v>1166.62</v>
      </c>
      <c r="H24" s="0" t="n">
        <v>1209.21</v>
      </c>
      <c r="I24" s="11" t="n">
        <f aca="false">H24-G24</f>
        <v>42.5900000000001</v>
      </c>
      <c r="J24" s="5" t="n">
        <f aca="false">IF(G24=0,"",I24/G24)</f>
        <v>0.0365071745726973</v>
      </c>
      <c r="K24" s="0" t="n">
        <v>164.5</v>
      </c>
      <c r="L24" s="0" t="n">
        <v>6.25</v>
      </c>
      <c r="M24" s="11" t="s">
        <v>43</v>
      </c>
      <c r="N24" s="12" t="n">
        <f aca="false">INT(E24)</f>
        <v>45719</v>
      </c>
      <c r="O24" s="12" t="n">
        <f aca="false">IF(F24="","",INT(F24))</f>
        <v>45719</v>
      </c>
    </row>
    <row r="25" customFormat="false" ht="15" hidden="false" customHeight="false" outlineLevel="0" collapsed="false">
      <c r="A25" s="0" t="s">
        <v>89</v>
      </c>
      <c r="B25" s="0" t="s">
        <v>90</v>
      </c>
      <c r="C25" s="0" t="s">
        <v>19</v>
      </c>
      <c r="D25" s="0" t="s">
        <v>42</v>
      </c>
      <c r="E25" s="10" t="n">
        <v>45719.5527777778</v>
      </c>
      <c r="F25" s="10" t="n">
        <v>45721.3798958333</v>
      </c>
      <c r="G25" s="0" t="n">
        <v>999.01</v>
      </c>
      <c r="H25" s="0" t="n">
        <v>1023.71</v>
      </c>
      <c r="I25" s="11" t="n">
        <f aca="false">H25-G25</f>
        <v>24.7</v>
      </c>
      <c r="J25" s="5" t="n">
        <f aca="false">IF(G25=0,"",I25/G25)</f>
        <v>0.0247244772324602</v>
      </c>
      <c r="K25" s="0" t="n">
        <v>123.2</v>
      </c>
      <c r="L25" s="0" t="n">
        <v>43.85</v>
      </c>
      <c r="M25" s="11" t="s">
        <v>43</v>
      </c>
      <c r="N25" s="12" t="n">
        <f aca="false">INT(E25)</f>
        <v>45719</v>
      </c>
      <c r="O25" s="12" t="n">
        <f aca="false">IF(F25="","",INT(F25))</f>
        <v>45721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0" t="s">
        <v>23</v>
      </c>
      <c r="D26" s="0" t="s">
        <v>42</v>
      </c>
      <c r="E26" s="10" t="n">
        <v>45719.5944444445</v>
      </c>
      <c r="F26" s="10" t="n">
        <v>45721.3415046296</v>
      </c>
      <c r="G26" s="0" t="n">
        <v>139.78</v>
      </c>
      <c r="H26" s="0" t="n">
        <v>141.71</v>
      </c>
      <c r="I26" s="11" t="n">
        <f aca="false">H26-G26</f>
        <v>1.93000000000001</v>
      </c>
      <c r="J26" s="5" t="n">
        <f aca="false">IF(G26=0,"",I26/G26)</f>
        <v>0.0138074116468737</v>
      </c>
      <c r="K26" s="0" t="n">
        <v>28.7</v>
      </c>
      <c r="L26" s="0" t="n">
        <v>41.93</v>
      </c>
      <c r="M26" s="11" t="s">
        <v>43</v>
      </c>
      <c r="N26" s="12" t="n">
        <f aca="false">INT(E26)</f>
        <v>45719</v>
      </c>
      <c r="O26" s="12" t="n">
        <f aca="false">IF(F26="","",INT(F26))</f>
        <v>45721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0" t="s">
        <v>22</v>
      </c>
      <c r="D27" s="0" t="s">
        <v>42</v>
      </c>
      <c r="E27" s="10" t="n">
        <v>45719.5965277778</v>
      </c>
      <c r="F27" s="10" t="n">
        <v>45720.7734027778</v>
      </c>
      <c r="G27" s="0" t="n">
        <v>1325.41</v>
      </c>
      <c r="H27" s="0" t="n">
        <v>1342.72</v>
      </c>
      <c r="I27" s="11" t="n">
        <f aca="false">H27-G27</f>
        <v>17.3099999999999</v>
      </c>
      <c r="J27" s="5" t="n">
        <f aca="false">IF(G27=0,"",I27/G27)</f>
        <v>0.0130601097019035</v>
      </c>
      <c r="K27" s="0" t="n">
        <v>201.8</v>
      </c>
      <c r="L27" s="0" t="n">
        <v>28.25</v>
      </c>
      <c r="M27" s="11" t="s">
        <v>43</v>
      </c>
      <c r="N27" s="12" t="n">
        <f aca="false">INT(E27)</f>
        <v>45719</v>
      </c>
      <c r="O27" s="12" t="n">
        <f aca="false">IF(F27="","",INT(F27))</f>
        <v>45720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s">
        <v>19</v>
      </c>
      <c r="D28" s="0" t="s">
        <v>42</v>
      </c>
      <c r="E28" s="10" t="n">
        <v>45719.6055555556</v>
      </c>
      <c r="F28" s="10" t="n">
        <v>45720.0138888889</v>
      </c>
      <c r="G28" s="0" t="n">
        <v>685.67</v>
      </c>
      <c r="H28" s="0" t="n">
        <v>673.65</v>
      </c>
      <c r="I28" s="11" t="n">
        <f aca="false">H28-G28</f>
        <v>-12.02</v>
      </c>
      <c r="J28" s="5" t="n">
        <f aca="false">IF(G28=0,"",I28/G28)</f>
        <v>-0.0175302988317995</v>
      </c>
      <c r="K28" s="0" t="n">
        <v>118.6</v>
      </c>
      <c r="L28" s="0" t="n">
        <v>9.8</v>
      </c>
      <c r="M28" s="11" t="s">
        <v>43</v>
      </c>
      <c r="N28" s="12" t="n">
        <f aca="false">INT(E28)</f>
        <v>45719</v>
      </c>
      <c r="O28" s="12" t="n">
        <f aca="false">IF(F28="","",INT(F28))</f>
        <v>45720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0" t="s">
        <v>23</v>
      </c>
      <c r="D29" s="0" t="s">
        <v>42</v>
      </c>
      <c r="E29" s="10" t="n">
        <v>45719.6513888889</v>
      </c>
      <c r="F29" s="10" t="n">
        <v>45722.0897222222</v>
      </c>
      <c r="G29" s="0" t="n">
        <v>233.61</v>
      </c>
      <c r="H29" s="0" t="n">
        <v>230.94</v>
      </c>
      <c r="I29" s="11" t="n">
        <f aca="false">H29-G29</f>
        <v>-2.67000000000002</v>
      </c>
      <c r="J29" s="5" t="n">
        <f aca="false">IF(G29=0,"",I29/G29)</f>
        <v>-0.0114293052523437</v>
      </c>
      <c r="K29" s="0" t="n">
        <v>97.8</v>
      </c>
      <c r="L29" s="0" t="n">
        <v>58.52</v>
      </c>
      <c r="M29" s="11" t="s">
        <v>43</v>
      </c>
      <c r="N29" s="12" t="n">
        <f aca="false">INT(E29)</f>
        <v>45719</v>
      </c>
      <c r="O29" s="12" t="n">
        <f aca="false">IF(F29="","",INT(F29))</f>
        <v>45722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0" t="s">
        <v>23</v>
      </c>
      <c r="D30" s="0" t="s">
        <v>42</v>
      </c>
      <c r="E30" s="10" t="n">
        <v>45719.6527777778</v>
      </c>
      <c r="F30" s="10" t="n">
        <v>45721.063900463</v>
      </c>
      <c r="G30" s="0" t="n">
        <v>128.19</v>
      </c>
      <c r="H30" s="0" t="n">
        <v>131.08</v>
      </c>
      <c r="I30" s="11" t="n">
        <f aca="false">H30-G30</f>
        <v>2.89000000000002</v>
      </c>
      <c r="J30" s="5" t="n">
        <f aca="false">IF(G30=0,"",I30/G30)</f>
        <v>0.022544660269912</v>
      </c>
      <c r="K30" s="0" t="n">
        <v>40.8</v>
      </c>
      <c r="L30" s="0" t="n">
        <v>33.87</v>
      </c>
      <c r="M30" s="11" t="s">
        <v>43</v>
      </c>
      <c r="N30" s="12" t="n">
        <f aca="false">INT(E30)</f>
        <v>45719</v>
      </c>
      <c r="O30" s="12" t="n">
        <f aca="false">IF(F30="","",INT(F30))</f>
        <v>45721</v>
      </c>
    </row>
    <row r="31" customFormat="false" ht="15" hidden="false" customHeight="false" outlineLevel="0" collapsed="false">
      <c r="A31" s="0" t="s">
        <v>101</v>
      </c>
      <c r="B31" s="0" t="s">
        <v>102</v>
      </c>
      <c r="C31" s="0" t="s">
        <v>23</v>
      </c>
      <c r="D31" s="0" t="s">
        <v>42</v>
      </c>
      <c r="E31" s="10" t="n">
        <v>45719.6569444445</v>
      </c>
      <c r="F31" s="10" t="n">
        <v>45721.2201388889</v>
      </c>
      <c r="G31" s="0" t="n">
        <v>193.5</v>
      </c>
      <c r="H31" s="0" t="n">
        <v>204.06</v>
      </c>
      <c r="I31" s="11" t="n">
        <f aca="false">H31-G31</f>
        <v>10.56</v>
      </c>
      <c r="J31" s="5" t="n">
        <f aca="false">IF(G31=0,"",I31/G31)</f>
        <v>0.0545736434108527</v>
      </c>
      <c r="K31" s="0" t="n">
        <v>56.2</v>
      </c>
      <c r="L31" s="0" t="n">
        <v>37.52</v>
      </c>
      <c r="M31" s="11" t="s">
        <v>43</v>
      </c>
      <c r="N31" s="12" t="n">
        <f aca="false">INT(E31)</f>
        <v>45719</v>
      </c>
      <c r="O31" s="12" t="n">
        <f aca="false">IF(F31="","",INT(F31))</f>
        <v>45721</v>
      </c>
    </row>
    <row r="32" customFormat="false" ht="15" hidden="false" customHeight="false" outlineLevel="0" collapsed="false">
      <c r="A32" s="0" t="s">
        <v>103</v>
      </c>
      <c r="B32" s="0" t="s">
        <v>104</v>
      </c>
      <c r="C32" s="0" t="s">
        <v>20</v>
      </c>
      <c r="D32" s="0" t="s">
        <v>42</v>
      </c>
      <c r="E32" s="10" t="n">
        <v>45719.6576388889</v>
      </c>
      <c r="F32" s="10" t="n">
        <v>45721.3594675926</v>
      </c>
      <c r="G32" s="0" t="n">
        <v>509.47</v>
      </c>
      <c r="H32" s="0" t="n">
        <v>509</v>
      </c>
      <c r="I32" s="11" t="n">
        <f aca="false">H32-G32</f>
        <v>-0.470000000000027</v>
      </c>
      <c r="J32" s="5" t="n">
        <f aca="false">IF(G32=0,"",I32/G32)</f>
        <v>-0.000922527332325804</v>
      </c>
      <c r="K32" s="0" t="n">
        <v>49.6</v>
      </c>
      <c r="L32" s="0" t="n">
        <v>40.84</v>
      </c>
      <c r="M32" s="11" t="s">
        <v>43</v>
      </c>
      <c r="N32" s="12" t="n">
        <f aca="false">INT(E32)</f>
        <v>45719</v>
      </c>
      <c r="O32" s="12" t="n">
        <f aca="false">IF(F32="","",INT(F32))</f>
        <v>45721</v>
      </c>
    </row>
    <row r="33" customFormat="false" ht="15" hidden="false" customHeight="false" outlineLevel="0" collapsed="false">
      <c r="A33" s="0" t="s">
        <v>105</v>
      </c>
      <c r="B33" s="0" t="s">
        <v>106</v>
      </c>
      <c r="C33" s="0" t="s">
        <v>21</v>
      </c>
      <c r="D33" s="0" t="s">
        <v>42</v>
      </c>
      <c r="E33" s="10" t="n">
        <v>45719.6666666667</v>
      </c>
      <c r="F33" s="10" t="n">
        <v>45721.244837963</v>
      </c>
      <c r="G33" s="0" t="n">
        <v>112.68</v>
      </c>
      <c r="H33" s="0" t="n">
        <v>112.9</v>
      </c>
      <c r="I33" s="11" t="n">
        <f aca="false">H33-G33</f>
        <v>0.219999999999999</v>
      </c>
      <c r="J33" s="5" t="n">
        <f aca="false">IF(G33=0,"",I33/G33)</f>
        <v>0.00195243166489172</v>
      </c>
      <c r="K33" s="0" t="n">
        <v>18</v>
      </c>
      <c r="L33" s="0" t="n">
        <v>37.88</v>
      </c>
      <c r="M33" s="11" t="s">
        <v>43</v>
      </c>
      <c r="N33" s="12" t="n">
        <f aca="false">INT(E33)</f>
        <v>45719</v>
      </c>
      <c r="O33" s="12" t="n">
        <f aca="false">IF(F33="","",INT(F33))</f>
        <v>45721</v>
      </c>
    </row>
    <row r="34" customFormat="false" ht="15" hidden="false" customHeight="false" outlineLevel="0" collapsed="false">
      <c r="A34" s="0" t="s">
        <v>107</v>
      </c>
      <c r="B34" s="0" t="s">
        <v>108</v>
      </c>
      <c r="C34" s="0" t="s">
        <v>23</v>
      </c>
      <c r="D34" s="0" t="s">
        <v>42</v>
      </c>
      <c r="E34" s="10" t="n">
        <v>45719.6715277778</v>
      </c>
      <c r="F34" s="10" t="n">
        <v>45721.1998726852</v>
      </c>
      <c r="G34" s="0" t="n">
        <v>2161.56</v>
      </c>
      <c r="H34" s="0" t="n">
        <v>2165.08</v>
      </c>
      <c r="I34" s="11" t="n">
        <f aca="false">H34-G34</f>
        <v>3.51999999999998</v>
      </c>
      <c r="J34" s="5" t="n">
        <f aca="false">IF(G34=0,"",I34/G34)</f>
        <v>0.00162845352430651</v>
      </c>
      <c r="K34" s="0" t="n">
        <v>663.5</v>
      </c>
      <c r="L34" s="0" t="n">
        <v>36.68</v>
      </c>
      <c r="M34" s="11" t="s">
        <v>43</v>
      </c>
      <c r="N34" s="12" t="n">
        <f aca="false">INT(E34)</f>
        <v>45719</v>
      </c>
      <c r="O34" s="12" t="n">
        <f aca="false">IF(F34="","",INT(F34))</f>
        <v>45721</v>
      </c>
    </row>
    <row r="35" customFormat="false" ht="15" hidden="false" customHeight="false" outlineLevel="0" collapsed="false">
      <c r="A35" s="0" t="s">
        <v>109</v>
      </c>
      <c r="B35" s="0" t="s">
        <v>110</v>
      </c>
      <c r="C35" s="0" t="s">
        <v>24</v>
      </c>
      <c r="D35" s="0" t="s">
        <v>42</v>
      </c>
      <c r="E35" s="10" t="n">
        <v>45719.6784722222</v>
      </c>
      <c r="F35" s="10" t="n">
        <v>45721.7927777778</v>
      </c>
      <c r="G35" s="0" t="n">
        <v>481.96</v>
      </c>
      <c r="H35" s="0" t="n">
        <v>489.03</v>
      </c>
      <c r="I35" s="11" t="n">
        <f aca="false">H35-G35</f>
        <v>7.06999999999999</v>
      </c>
      <c r="J35" s="5" t="n">
        <f aca="false">IF(G35=0,"",I35/G35)</f>
        <v>0.0146692671591003</v>
      </c>
      <c r="K35" s="0" t="n">
        <v>114</v>
      </c>
      <c r="L35" s="0" t="n">
        <v>50.74</v>
      </c>
      <c r="M35" s="11" t="s">
        <v>43</v>
      </c>
      <c r="N35" s="12" t="n">
        <f aca="false">INT(E35)</f>
        <v>45719</v>
      </c>
      <c r="O35" s="12" t="n">
        <f aca="false">IF(F35="","",INT(F35))</f>
        <v>45721</v>
      </c>
    </row>
    <row r="36" customFormat="false" ht="15" hidden="false" customHeight="false" outlineLevel="0" collapsed="false">
      <c r="A36" s="0" t="s">
        <v>111</v>
      </c>
      <c r="B36" s="0" t="s">
        <v>112</v>
      </c>
      <c r="C36" s="0" t="s">
        <v>21</v>
      </c>
      <c r="D36" s="0" t="s">
        <v>42</v>
      </c>
      <c r="E36" s="10" t="n">
        <v>45719.70625</v>
      </c>
      <c r="F36" s="10" t="n">
        <v>45720.7933564815</v>
      </c>
      <c r="G36" s="0" t="n">
        <v>134.1</v>
      </c>
      <c r="H36" s="0" t="n">
        <v>132.06</v>
      </c>
      <c r="I36" s="11" t="n">
        <f aca="false">H36-G36</f>
        <v>-2.03999999999999</v>
      </c>
      <c r="J36" s="5" t="n">
        <f aca="false">IF(G36=0,"",I36/G36)</f>
        <v>-0.0152125279642058</v>
      </c>
      <c r="K36" s="0" t="n">
        <v>18.4</v>
      </c>
      <c r="L36" s="0" t="n">
        <v>26.09</v>
      </c>
      <c r="M36" s="11" t="s">
        <v>43</v>
      </c>
      <c r="N36" s="12" t="n">
        <f aca="false">INT(E36)</f>
        <v>45719</v>
      </c>
      <c r="O36" s="12" t="n">
        <f aca="false">IF(F36="","",INT(F36))</f>
        <v>45720</v>
      </c>
    </row>
    <row r="37" customFormat="false" ht="15" hidden="false" customHeight="false" outlineLevel="0" collapsed="false">
      <c r="A37" s="0" t="s">
        <v>113</v>
      </c>
      <c r="B37" s="0" t="s">
        <v>114</v>
      </c>
      <c r="C37" s="0" t="s">
        <v>20</v>
      </c>
      <c r="D37" s="0" t="s">
        <v>48</v>
      </c>
      <c r="E37" s="10" t="n">
        <v>45719.7097222222</v>
      </c>
      <c r="F37" s="10"/>
      <c r="G37" s="0" t="n">
        <v>417.3</v>
      </c>
      <c r="H37" s="0" t="n">
        <v>415.09</v>
      </c>
      <c r="I37" s="11" t="n">
        <f aca="false">H37-G37</f>
        <v>-2.21000000000004</v>
      </c>
      <c r="J37" s="5" t="n">
        <f aca="false">IF(G37=0,"",I37/G37)</f>
        <v>-0.00529595015576333</v>
      </c>
      <c r="K37" s="0" t="n">
        <v>73.5</v>
      </c>
      <c r="M37" s="11" t="s">
        <v>43</v>
      </c>
      <c r="N37" s="12" t="n">
        <f aca="false">INT(E37)</f>
        <v>45719</v>
      </c>
      <c r="O37" s="12" t="str">
        <f aca="false">IF(F37="","",INT(F37))</f>
        <v/>
      </c>
    </row>
    <row r="38" customFormat="false" ht="15" hidden="false" customHeight="false" outlineLevel="0" collapsed="false">
      <c r="A38" s="0" t="s">
        <v>115</v>
      </c>
      <c r="B38" s="0" t="s">
        <v>116</v>
      </c>
      <c r="C38" s="0" t="s">
        <v>23</v>
      </c>
      <c r="D38" s="0" t="s">
        <v>42</v>
      </c>
      <c r="E38" s="10" t="n">
        <v>45719.7118055556</v>
      </c>
      <c r="F38" s="10" t="n">
        <v>45720.5430555556</v>
      </c>
      <c r="G38" s="0" t="n">
        <v>480.13</v>
      </c>
      <c r="H38" s="0" t="n">
        <v>465.96</v>
      </c>
      <c r="I38" s="11" t="n">
        <f aca="false">H38-G38</f>
        <v>-14.17</v>
      </c>
      <c r="J38" s="5" t="n">
        <f aca="false">IF(G38=0,"",I38/G38)</f>
        <v>-0.0295128402724263</v>
      </c>
      <c r="K38" s="0" t="n">
        <v>140.5</v>
      </c>
      <c r="L38" s="0" t="n">
        <v>19.95</v>
      </c>
      <c r="M38" s="11" t="s">
        <v>43</v>
      </c>
      <c r="N38" s="12" t="n">
        <f aca="false">INT(E38)</f>
        <v>45719</v>
      </c>
      <c r="O38" s="12" t="n">
        <f aca="false">IF(F38="","",INT(F38))</f>
        <v>45720</v>
      </c>
    </row>
    <row r="39" customFormat="false" ht="15" hidden="false" customHeight="false" outlineLevel="0" collapsed="false">
      <c r="A39" s="0" t="s">
        <v>117</v>
      </c>
      <c r="B39" s="0" t="s">
        <v>118</v>
      </c>
      <c r="C39" s="0" t="s">
        <v>19</v>
      </c>
      <c r="D39" s="0" t="s">
        <v>42</v>
      </c>
      <c r="E39" s="10" t="n">
        <v>45719.7180555556</v>
      </c>
      <c r="F39" s="10" t="n">
        <v>45721.3378009259</v>
      </c>
      <c r="G39" s="0" t="n">
        <v>152.26</v>
      </c>
      <c r="H39" s="0" t="n">
        <v>147.16</v>
      </c>
      <c r="I39" s="11" t="n">
        <f aca="false">H39-G39</f>
        <v>-5.09999999999999</v>
      </c>
      <c r="J39" s="5" t="n">
        <f aca="false">IF(G39=0,"",I39/G39)</f>
        <v>-0.0334953369236831</v>
      </c>
      <c r="K39" s="0" t="n">
        <v>23.4</v>
      </c>
      <c r="L39" s="0" t="n">
        <v>38.87</v>
      </c>
      <c r="M39" s="11" t="s">
        <v>43</v>
      </c>
      <c r="N39" s="12" t="n">
        <f aca="false">INT(E39)</f>
        <v>45719</v>
      </c>
      <c r="O39" s="12" t="n">
        <f aca="false">IF(F39="","",INT(F39))</f>
        <v>45721</v>
      </c>
    </row>
    <row r="40" customFormat="false" ht="15" hidden="false" customHeight="false" outlineLevel="0" collapsed="false">
      <c r="A40" s="0" t="s">
        <v>119</v>
      </c>
      <c r="B40" s="0" t="s">
        <v>120</v>
      </c>
      <c r="C40" s="0" t="s">
        <v>24</v>
      </c>
      <c r="D40" s="0" t="s">
        <v>42</v>
      </c>
      <c r="E40" s="10" t="n">
        <v>45719.7833333333</v>
      </c>
      <c r="F40" s="10" t="n">
        <v>45721.7847106482</v>
      </c>
      <c r="G40" s="0" t="n">
        <v>855.85</v>
      </c>
      <c r="H40" s="0" t="n">
        <v>826.59</v>
      </c>
      <c r="I40" s="11" t="n">
        <f aca="false">H40-G40</f>
        <v>-29.26</v>
      </c>
      <c r="J40" s="5" t="n">
        <f aca="false">IF(G40=0,"",I40/G40)</f>
        <v>-0.0341882339194952</v>
      </c>
      <c r="K40" s="0" t="n">
        <v>246.4</v>
      </c>
      <c r="L40" s="0" t="n">
        <v>48.03</v>
      </c>
      <c r="M40" s="11" t="s">
        <v>43</v>
      </c>
      <c r="N40" s="12" t="n">
        <f aca="false">INT(E40)</f>
        <v>45719</v>
      </c>
      <c r="O40" s="12" t="n">
        <f aca="false">IF(F40="","",INT(F40))</f>
        <v>45721</v>
      </c>
    </row>
    <row r="41" customFormat="false" ht="15" hidden="false" customHeight="false" outlineLevel="0" collapsed="false">
      <c r="A41" s="0" t="s">
        <v>121</v>
      </c>
      <c r="B41" s="0" t="s">
        <v>122</v>
      </c>
      <c r="C41" s="0" t="s">
        <v>24</v>
      </c>
      <c r="D41" s="0" t="s">
        <v>42</v>
      </c>
      <c r="E41" s="10" t="n">
        <v>45720.2944444444</v>
      </c>
      <c r="F41" s="10" t="n">
        <v>45721.7605671296</v>
      </c>
      <c r="G41" s="0" t="n">
        <v>648.81</v>
      </c>
      <c r="H41" s="0" t="n">
        <v>654.67</v>
      </c>
      <c r="I41" s="11" t="n">
        <f aca="false">H41-G41</f>
        <v>5.86000000000001</v>
      </c>
      <c r="J41" s="5" t="n">
        <f aca="false">IF(G41=0,"",I41/G41)</f>
        <v>0.00903191997657252</v>
      </c>
      <c r="K41" s="0" t="n">
        <v>218.7</v>
      </c>
      <c r="L41" s="0" t="n">
        <v>35.19</v>
      </c>
      <c r="M41" s="11" t="s">
        <v>43</v>
      </c>
      <c r="N41" s="12" t="n">
        <f aca="false">INT(E41)</f>
        <v>45720</v>
      </c>
      <c r="O41" s="12" t="n">
        <f aca="false">IF(F41="","",INT(F41))</f>
        <v>45721</v>
      </c>
    </row>
    <row r="42" customFormat="false" ht="15" hidden="false" customHeight="false" outlineLevel="0" collapsed="false">
      <c r="A42" s="0" t="s">
        <v>123</v>
      </c>
      <c r="B42" s="0" t="s">
        <v>124</v>
      </c>
      <c r="C42" s="0" t="s">
        <v>23</v>
      </c>
      <c r="D42" s="0" t="s">
        <v>42</v>
      </c>
      <c r="E42" s="10" t="n">
        <v>45720.3138888889</v>
      </c>
      <c r="F42" s="10" t="n">
        <v>45722.9888888889</v>
      </c>
      <c r="G42" s="0" t="n">
        <v>380.15</v>
      </c>
      <c r="H42" s="0" t="n">
        <v>392.99</v>
      </c>
      <c r="I42" s="11" t="n">
        <f aca="false">H42-G42</f>
        <v>12.84</v>
      </c>
      <c r="J42" s="5" t="n">
        <f aca="false">IF(G42=0,"",I42/G42)</f>
        <v>0.033776140996975</v>
      </c>
      <c r="K42" s="0" t="n">
        <v>108.6</v>
      </c>
      <c r="L42" s="0" t="n">
        <v>64.2</v>
      </c>
      <c r="M42" s="11" t="s">
        <v>43</v>
      </c>
      <c r="N42" s="12" t="n">
        <f aca="false">INT(E42)</f>
        <v>45720</v>
      </c>
      <c r="O42" s="12" t="n">
        <f aca="false">IF(F42="","",INT(F42))</f>
        <v>45722</v>
      </c>
    </row>
    <row r="43" customFormat="false" ht="15" hidden="false" customHeight="false" outlineLevel="0" collapsed="false">
      <c r="A43" s="0" t="s">
        <v>125</v>
      </c>
      <c r="B43" s="0" t="s">
        <v>126</v>
      </c>
      <c r="C43" s="0" t="s">
        <v>23</v>
      </c>
      <c r="D43" s="0" t="s">
        <v>42</v>
      </c>
      <c r="E43" s="10" t="n">
        <v>45720.3430555556</v>
      </c>
      <c r="F43" s="10" t="n">
        <v>45722.0965277778</v>
      </c>
      <c r="G43" s="0" t="n">
        <v>141.13</v>
      </c>
      <c r="H43" s="0" t="n">
        <v>142.99</v>
      </c>
      <c r="I43" s="11" t="n">
        <f aca="false">H43-G43</f>
        <v>1.86000000000001</v>
      </c>
      <c r="J43" s="5" t="n">
        <f aca="false">IF(G43=0,"",I43/G43)</f>
        <v>0.0131793381988239</v>
      </c>
      <c r="K43" s="0" t="n">
        <v>28.2</v>
      </c>
      <c r="L43" s="0" t="n">
        <v>42.08</v>
      </c>
      <c r="M43" s="11" t="s">
        <v>43</v>
      </c>
      <c r="N43" s="12" t="n">
        <f aca="false">INT(E43)</f>
        <v>45720</v>
      </c>
      <c r="O43" s="12" t="n">
        <f aca="false">IF(F43="","",INT(F43))</f>
        <v>45722</v>
      </c>
    </row>
    <row r="44" customFormat="false" ht="15" hidden="false" customHeight="false" outlineLevel="0" collapsed="false">
      <c r="A44" s="0" t="s">
        <v>127</v>
      </c>
      <c r="B44" s="0" t="s">
        <v>128</v>
      </c>
      <c r="C44" s="0" t="s">
        <v>24</v>
      </c>
      <c r="D44" s="0" t="s">
        <v>42</v>
      </c>
      <c r="E44" s="10" t="n">
        <v>45720.3708333333</v>
      </c>
      <c r="F44" s="10" t="n">
        <v>45722.675</v>
      </c>
      <c r="G44" s="0" t="n">
        <v>833.15</v>
      </c>
      <c r="H44" s="0" t="n">
        <v>855.44</v>
      </c>
      <c r="I44" s="11" t="n">
        <f aca="false">H44-G44</f>
        <v>22.2900000000001</v>
      </c>
      <c r="J44" s="5" t="n">
        <f aca="false">IF(G44=0,"",I44/G44)</f>
        <v>0.0267538858548882</v>
      </c>
      <c r="K44" s="0" t="n">
        <v>325.5</v>
      </c>
      <c r="L44" s="0" t="n">
        <v>55.3</v>
      </c>
      <c r="M44" s="11" t="s">
        <v>43</v>
      </c>
      <c r="N44" s="12" t="n">
        <f aca="false">INT(E44)</f>
        <v>45720</v>
      </c>
      <c r="O44" s="12" t="n">
        <f aca="false">IF(F44="","",INT(F44))</f>
        <v>45722</v>
      </c>
    </row>
    <row r="45" customFormat="false" ht="15" hidden="false" customHeight="false" outlineLevel="0" collapsed="false">
      <c r="A45" s="0" t="s">
        <v>129</v>
      </c>
      <c r="B45" s="0" t="s">
        <v>130</v>
      </c>
      <c r="C45" s="0" t="s">
        <v>22</v>
      </c>
      <c r="D45" s="0" t="s">
        <v>42</v>
      </c>
      <c r="E45" s="10" t="n">
        <v>45720.3833333333</v>
      </c>
      <c r="F45" s="10" t="n">
        <v>45721.1916666667</v>
      </c>
      <c r="G45" s="0" t="n">
        <v>133.1</v>
      </c>
      <c r="H45" s="0" t="n">
        <v>101.43</v>
      </c>
      <c r="I45" s="11" t="n">
        <f aca="false">H45-G45</f>
        <v>-31.67</v>
      </c>
      <c r="J45" s="5" t="n">
        <f aca="false">IF(G45=0,"",I45/G45)</f>
        <v>-0.23794139744553</v>
      </c>
      <c r="K45" s="0" t="n">
        <v>12.9</v>
      </c>
      <c r="L45" s="0" t="n">
        <v>19.4</v>
      </c>
      <c r="M45" s="11" t="s">
        <v>43</v>
      </c>
      <c r="N45" s="12" t="n">
        <f aca="false">INT(E45)</f>
        <v>45720</v>
      </c>
      <c r="O45" s="12" t="n">
        <f aca="false">IF(F45="","",INT(F45))</f>
        <v>45721</v>
      </c>
    </row>
    <row r="46" customFormat="false" ht="15" hidden="false" customHeight="false" outlineLevel="0" collapsed="false">
      <c r="A46" s="0" t="s">
        <v>131</v>
      </c>
      <c r="B46" s="0" t="s">
        <v>132</v>
      </c>
      <c r="C46" s="0" t="s">
        <v>24</v>
      </c>
      <c r="D46" s="0" t="s">
        <v>42</v>
      </c>
      <c r="E46" s="10" t="n">
        <v>45720.3888888889</v>
      </c>
      <c r="F46" s="10" t="n">
        <v>45722.8215277778</v>
      </c>
      <c r="G46" s="0" t="n">
        <v>603.85</v>
      </c>
      <c r="H46" s="0" t="n">
        <v>592.79</v>
      </c>
      <c r="I46" s="11" t="n">
        <f aca="false">H46-G46</f>
        <v>-11.0600000000001</v>
      </c>
      <c r="J46" s="5" t="n">
        <f aca="false">IF(G46=0,"",I46/G46)</f>
        <v>-0.0183158069056886</v>
      </c>
      <c r="K46" s="0" t="n">
        <v>165.7</v>
      </c>
      <c r="L46" s="0" t="n">
        <v>58.38</v>
      </c>
      <c r="M46" s="11" t="s">
        <v>43</v>
      </c>
      <c r="N46" s="12" t="n">
        <f aca="false">INT(E46)</f>
        <v>45720</v>
      </c>
      <c r="O46" s="12" t="n">
        <f aca="false">IF(F46="","",INT(F46))</f>
        <v>45722</v>
      </c>
    </row>
    <row r="47" customFormat="false" ht="15" hidden="false" customHeight="false" outlineLevel="0" collapsed="false">
      <c r="A47" s="0" t="s">
        <v>133</v>
      </c>
      <c r="B47" s="0" t="s">
        <v>134</v>
      </c>
      <c r="C47" s="0" t="s">
        <v>21</v>
      </c>
      <c r="D47" s="0" t="s">
        <v>42</v>
      </c>
      <c r="E47" s="10" t="n">
        <v>45720.3888888889</v>
      </c>
      <c r="F47" s="10" t="n">
        <v>45721.3611111111</v>
      </c>
      <c r="G47" s="0" t="n">
        <v>211.6</v>
      </c>
      <c r="H47" s="0" t="n">
        <v>193.14</v>
      </c>
      <c r="I47" s="11" t="n">
        <f aca="false">H47-G47</f>
        <v>-18.46</v>
      </c>
      <c r="J47" s="5" t="n">
        <f aca="false">IF(G47=0,"",I47/G47)</f>
        <v>-0.0872400756143668</v>
      </c>
      <c r="K47" s="0" t="n">
        <v>49.4</v>
      </c>
      <c r="L47" s="0" t="n">
        <v>23.33</v>
      </c>
      <c r="M47" s="11" t="s">
        <v>43</v>
      </c>
      <c r="N47" s="12" t="n">
        <f aca="false">INT(E47)</f>
        <v>45720</v>
      </c>
      <c r="O47" s="12" t="n">
        <f aca="false">IF(F47="","",INT(F47))</f>
        <v>45721</v>
      </c>
    </row>
    <row r="48" customFormat="false" ht="15" hidden="false" customHeight="false" outlineLevel="0" collapsed="false">
      <c r="A48" s="0" t="s">
        <v>135</v>
      </c>
      <c r="B48" s="0" t="s">
        <v>136</v>
      </c>
      <c r="C48" s="0" t="s">
        <v>22</v>
      </c>
      <c r="D48" s="0" t="s">
        <v>42</v>
      </c>
      <c r="E48" s="10" t="n">
        <v>45720.4118055556</v>
      </c>
      <c r="F48" s="10" t="n">
        <v>45720.8458333333</v>
      </c>
      <c r="G48" s="0" t="n">
        <v>218.05</v>
      </c>
      <c r="H48" s="0" t="n">
        <v>219.54</v>
      </c>
      <c r="I48" s="11" t="n">
        <f aca="false">H48-G48</f>
        <v>1.48999999999998</v>
      </c>
      <c r="J48" s="5" t="n">
        <f aca="false">IF(G48=0,"",I48/G48)</f>
        <v>0.00683329511579904</v>
      </c>
      <c r="K48" s="0" t="n">
        <v>44.7</v>
      </c>
      <c r="L48" s="0" t="n">
        <v>10.42</v>
      </c>
      <c r="M48" s="11" t="s">
        <v>43</v>
      </c>
      <c r="N48" s="12" t="n">
        <f aca="false">INT(E48)</f>
        <v>45720</v>
      </c>
      <c r="O48" s="12" t="n">
        <f aca="false">IF(F48="","",INT(F48))</f>
        <v>45720</v>
      </c>
    </row>
    <row r="49" customFormat="false" ht="15" hidden="false" customHeight="false" outlineLevel="0" collapsed="false">
      <c r="A49" s="0" t="s">
        <v>137</v>
      </c>
      <c r="B49" s="0" t="s">
        <v>138</v>
      </c>
      <c r="C49" s="0" t="s">
        <v>21</v>
      </c>
      <c r="D49" s="0" t="s">
        <v>42</v>
      </c>
      <c r="E49" s="10" t="n">
        <v>45720.41875</v>
      </c>
      <c r="F49" s="10" t="n">
        <v>45720.7263888889</v>
      </c>
      <c r="G49" s="0" t="n">
        <v>347.83</v>
      </c>
      <c r="H49" s="0" t="n">
        <v>345.69</v>
      </c>
      <c r="I49" s="11" t="n">
        <f aca="false">H49-G49</f>
        <v>-2.13999999999999</v>
      </c>
      <c r="J49" s="5" t="n">
        <f aca="false">IF(G49=0,"",I49/G49)</f>
        <v>-0.00615243078515363</v>
      </c>
      <c r="K49" s="0" t="n">
        <v>60</v>
      </c>
      <c r="L49" s="0" t="n">
        <v>7.38</v>
      </c>
      <c r="M49" s="11" t="s">
        <v>43</v>
      </c>
      <c r="N49" s="12" t="n">
        <f aca="false">INT(E49)</f>
        <v>45720</v>
      </c>
      <c r="O49" s="12" t="n">
        <f aca="false">IF(F49="","",INT(F49))</f>
        <v>45720</v>
      </c>
    </row>
    <row r="50" customFormat="false" ht="15" hidden="false" customHeight="false" outlineLevel="0" collapsed="false">
      <c r="A50" s="0" t="s">
        <v>139</v>
      </c>
      <c r="B50" s="0" t="s">
        <v>140</v>
      </c>
      <c r="C50" s="0" t="s">
        <v>23</v>
      </c>
      <c r="D50" s="0" t="s">
        <v>42</v>
      </c>
      <c r="E50" s="10" t="n">
        <v>45720.4208333333</v>
      </c>
      <c r="F50" s="10" t="n">
        <v>45721.5440740741</v>
      </c>
      <c r="G50" s="0" t="n">
        <v>645.77</v>
      </c>
      <c r="H50" s="0" t="n">
        <v>623.2</v>
      </c>
      <c r="I50" s="11" t="n">
        <f aca="false">H50-G50</f>
        <v>-22.5699999999999</v>
      </c>
      <c r="J50" s="5" t="n">
        <f aca="false">IF(G50=0,"",I50/G50)</f>
        <v>-0.0349505241804357</v>
      </c>
      <c r="K50" s="0" t="n">
        <v>129.5</v>
      </c>
      <c r="L50" s="0" t="n">
        <v>26.96</v>
      </c>
      <c r="M50" s="11" t="s">
        <v>43</v>
      </c>
      <c r="N50" s="12" t="n">
        <f aca="false">INT(E50)</f>
        <v>45720</v>
      </c>
      <c r="O50" s="12" t="n">
        <f aca="false">IF(F50="","",INT(F50))</f>
        <v>45721</v>
      </c>
    </row>
    <row r="51" customFormat="false" ht="15" hidden="false" customHeight="false" outlineLevel="0" collapsed="false">
      <c r="A51" s="0" t="s">
        <v>141</v>
      </c>
      <c r="B51" s="0" t="s">
        <v>142</v>
      </c>
      <c r="C51" s="0" t="s">
        <v>21</v>
      </c>
      <c r="D51" s="0" t="s">
        <v>42</v>
      </c>
      <c r="E51" s="10" t="n">
        <v>45720.4263888889</v>
      </c>
      <c r="F51" s="10" t="n">
        <v>45720.7760416667</v>
      </c>
      <c r="G51" s="0" t="n">
        <v>802.21</v>
      </c>
      <c r="H51" s="0" t="n">
        <v>832.98</v>
      </c>
      <c r="I51" s="11" t="n">
        <f aca="false">H51-G51</f>
        <v>30.77</v>
      </c>
      <c r="J51" s="5" t="n">
        <f aca="false">IF(G51=0,"",I51/G51)</f>
        <v>0.0383565400580895</v>
      </c>
      <c r="K51" s="0" t="n">
        <v>189.4</v>
      </c>
      <c r="L51" s="0" t="n">
        <v>8.39</v>
      </c>
      <c r="M51" s="11" t="s">
        <v>43</v>
      </c>
      <c r="N51" s="12" t="n">
        <f aca="false">INT(E51)</f>
        <v>45720</v>
      </c>
      <c r="O51" s="12" t="n">
        <f aca="false">IF(F51="","",INT(F51))</f>
        <v>45720</v>
      </c>
    </row>
    <row r="52" customFormat="false" ht="15" hidden="false" customHeight="false" outlineLevel="0" collapsed="false">
      <c r="A52" s="0" t="s">
        <v>143</v>
      </c>
      <c r="B52" s="0" t="s">
        <v>144</v>
      </c>
      <c r="C52" s="0" t="s">
        <v>19</v>
      </c>
      <c r="D52" s="0" t="s">
        <v>42</v>
      </c>
      <c r="E52" s="10" t="n">
        <v>45720.4277777778</v>
      </c>
      <c r="F52" s="10" t="n">
        <v>45720.8847222222</v>
      </c>
      <c r="G52" s="0" t="n">
        <v>193.63</v>
      </c>
      <c r="H52" s="0" t="n">
        <v>189.27</v>
      </c>
      <c r="I52" s="11" t="n">
        <f aca="false">H52-G52</f>
        <v>-4.35999999999999</v>
      </c>
      <c r="J52" s="5" t="n">
        <f aca="false">IF(G52=0,"",I52/G52)</f>
        <v>-0.0225171719258379</v>
      </c>
      <c r="K52" s="0" t="n">
        <v>33.8</v>
      </c>
      <c r="L52" s="0" t="n">
        <v>10.97</v>
      </c>
      <c r="M52" s="11" t="s">
        <v>43</v>
      </c>
      <c r="N52" s="12" t="n">
        <f aca="false">INT(E52)</f>
        <v>45720</v>
      </c>
      <c r="O52" s="12" t="n">
        <f aca="false">IF(F52="","",INT(F52))</f>
        <v>45720</v>
      </c>
    </row>
    <row r="53" customFormat="false" ht="15" hidden="false" customHeight="false" outlineLevel="0" collapsed="false">
      <c r="A53" s="0" t="s">
        <v>145</v>
      </c>
      <c r="B53" s="0" t="s">
        <v>146</v>
      </c>
      <c r="C53" s="0" t="s">
        <v>23</v>
      </c>
      <c r="D53" s="0" t="s">
        <v>42</v>
      </c>
      <c r="E53" s="10" t="n">
        <v>45720.4451388889</v>
      </c>
      <c r="F53" s="10" t="n">
        <v>45722.2722222222</v>
      </c>
      <c r="G53" s="0" t="n">
        <v>825.07</v>
      </c>
      <c r="H53" s="0" t="n">
        <v>839.27</v>
      </c>
      <c r="I53" s="11" t="n">
        <f aca="false">H53-G53</f>
        <v>14.1999999999999</v>
      </c>
      <c r="J53" s="5" t="n">
        <f aca="false">IF(G53=0,"",I53/G53)</f>
        <v>0.0172106609136194</v>
      </c>
      <c r="K53" s="0" t="n">
        <v>368.1</v>
      </c>
      <c r="L53" s="0" t="n">
        <v>43.85</v>
      </c>
      <c r="M53" s="11" t="s">
        <v>43</v>
      </c>
      <c r="N53" s="12" t="n">
        <f aca="false">INT(E53)</f>
        <v>45720</v>
      </c>
      <c r="O53" s="12" t="n">
        <f aca="false">IF(F53="","",INT(F53))</f>
        <v>45722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19</v>
      </c>
      <c r="D54" s="0" t="s">
        <v>42</v>
      </c>
      <c r="E54" s="10" t="n">
        <v>45720.4451388889</v>
      </c>
      <c r="F54" s="10" t="n">
        <v>45721.5772453704</v>
      </c>
      <c r="G54" s="0" t="n">
        <v>1169.57</v>
      </c>
      <c r="H54" s="0" t="n">
        <v>1152.38</v>
      </c>
      <c r="I54" s="11" t="n">
        <f aca="false">H54-G54</f>
        <v>-17.1899999999998</v>
      </c>
      <c r="J54" s="5" t="n">
        <f aca="false">IF(G54=0,"",I54/G54)</f>
        <v>-0.014697709414571</v>
      </c>
      <c r="K54" s="0" t="n">
        <v>169.2</v>
      </c>
      <c r="L54" s="0" t="n">
        <v>27.17</v>
      </c>
      <c r="M54" s="11" t="s">
        <v>43</v>
      </c>
      <c r="N54" s="12" t="n">
        <f aca="false">INT(E54)</f>
        <v>45720</v>
      </c>
      <c r="O54" s="12" t="n">
        <f aca="false">IF(F54="","",INT(F54))</f>
        <v>45721</v>
      </c>
    </row>
    <row r="55" customFormat="false" ht="15" hidden="false" customHeight="false" outlineLevel="0" collapsed="false">
      <c r="A55" s="0" t="s">
        <v>149</v>
      </c>
      <c r="B55" s="0" t="s">
        <v>150</v>
      </c>
      <c r="C55" s="0" t="s">
        <v>20</v>
      </c>
      <c r="D55" s="0" t="s">
        <v>42</v>
      </c>
      <c r="E55" s="10" t="n">
        <v>45720.5006944445</v>
      </c>
      <c r="F55" s="10" t="n">
        <v>45722.3743055556</v>
      </c>
      <c r="G55" s="0" t="n">
        <v>411.1</v>
      </c>
      <c r="H55" s="0" t="n">
        <v>417.63</v>
      </c>
      <c r="I55" s="11" t="n">
        <f aca="false">H55-G55</f>
        <v>6.52999999999997</v>
      </c>
      <c r="J55" s="5" t="n">
        <f aca="false">IF(G55=0,"",I55/G55)</f>
        <v>0.0158842130868401</v>
      </c>
      <c r="K55" s="0" t="n">
        <v>71.2</v>
      </c>
      <c r="L55" s="0" t="n">
        <v>44.97</v>
      </c>
      <c r="M55" s="11" t="s">
        <v>43</v>
      </c>
      <c r="N55" s="12" t="n">
        <f aca="false">INT(E55)</f>
        <v>45720</v>
      </c>
      <c r="O55" s="12" t="n">
        <f aca="false">IF(F55="","",INT(F55))</f>
        <v>45722</v>
      </c>
    </row>
    <row r="56" customFormat="false" ht="15" hidden="false" customHeight="false" outlineLevel="0" collapsed="false">
      <c r="A56" s="0" t="s">
        <v>151</v>
      </c>
      <c r="B56" s="0" t="s">
        <v>152</v>
      </c>
      <c r="C56" s="0" t="s">
        <v>20</v>
      </c>
      <c r="D56" s="0" t="s">
        <v>42</v>
      </c>
      <c r="E56" s="10" t="n">
        <v>45720.5118055556</v>
      </c>
      <c r="F56" s="10" t="n">
        <v>45720.9541666667</v>
      </c>
      <c r="G56" s="0" t="n">
        <v>297.94</v>
      </c>
      <c r="H56" s="0" t="n">
        <v>303.71</v>
      </c>
      <c r="I56" s="11" t="n">
        <f aca="false">H56-G56</f>
        <v>5.76999999999998</v>
      </c>
      <c r="J56" s="5" t="n">
        <f aca="false">IF(G56=0,"",I56/G56)</f>
        <v>0.0193663153655098</v>
      </c>
      <c r="K56" s="0" t="n">
        <v>63.8</v>
      </c>
      <c r="L56" s="0" t="n">
        <v>10.62</v>
      </c>
      <c r="M56" s="11" t="s">
        <v>43</v>
      </c>
      <c r="N56" s="12" t="n">
        <f aca="false">INT(E56)</f>
        <v>45720</v>
      </c>
      <c r="O56" s="12" t="n">
        <f aca="false">IF(F56="","",INT(F56))</f>
        <v>45720</v>
      </c>
    </row>
    <row r="57" customFormat="false" ht="15" hidden="false" customHeight="false" outlineLevel="0" collapsed="false">
      <c r="A57" s="0" t="s">
        <v>153</v>
      </c>
      <c r="B57" s="0" t="s">
        <v>154</v>
      </c>
      <c r="C57" s="0" t="s">
        <v>23</v>
      </c>
      <c r="D57" s="0" t="s">
        <v>42</v>
      </c>
      <c r="E57" s="10" t="n">
        <v>45720.5555555556</v>
      </c>
      <c r="F57" s="10" t="n">
        <v>45722.4312615741</v>
      </c>
      <c r="G57" s="0" t="n">
        <v>1278.99</v>
      </c>
      <c r="H57" s="0" t="n">
        <v>1305.41</v>
      </c>
      <c r="I57" s="11" t="n">
        <f aca="false">H57-G57</f>
        <v>26.4200000000001</v>
      </c>
      <c r="J57" s="5" t="n">
        <f aca="false">IF(G57=0,"",I57/G57)</f>
        <v>0.0206569246045709</v>
      </c>
      <c r="K57" s="0" t="n">
        <v>312.9</v>
      </c>
      <c r="L57" s="0" t="n">
        <v>45.02</v>
      </c>
      <c r="M57" s="11" t="s">
        <v>43</v>
      </c>
      <c r="N57" s="12" t="n">
        <f aca="false">INT(E57)</f>
        <v>45720</v>
      </c>
      <c r="O57" s="12" t="n">
        <f aca="false">IF(F57="","",INT(F57))</f>
        <v>45722</v>
      </c>
    </row>
    <row r="58" customFormat="false" ht="15" hidden="false" customHeight="false" outlineLevel="0" collapsed="false">
      <c r="A58" s="0" t="s">
        <v>155</v>
      </c>
      <c r="B58" s="0" t="s">
        <v>156</v>
      </c>
      <c r="C58" s="0" t="s">
        <v>23</v>
      </c>
      <c r="D58" s="0" t="s">
        <v>42</v>
      </c>
      <c r="E58" s="10" t="n">
        <v>45720.5645833333</v>
      </c>
      <c r="F58" s="10" t="n">
        <v>45725.05625</v>
      </c>
      <c r="G58" s="0" t="n">
        <v>641.67</v>
      </c>
      <c r="H58" s="0" t="n">
        <v>639.2</v>
      </c>
      <c r="I58" s="11" t="n">
        <f aca="false">H58-G58</f>
        <v>-2.46999999999991</v>
      </c>
      <c r="J58" s="5" t="n">
        <f aca="false">IF(G58=0,"",I58/G58)</f>
        <v>-0.00384933065282764</v>
      </c>
      <c r="K58" s="0" t="n">
        <v>141.9</v>
      </c>
      <c r="L58" s="0" t="n">
        <v>82.45</v>
      </c>
      <c r="M58" s="11" t="s">
        <v>43</v>
      </c>
      <c r="N58" s="12" t="n">
        <f aca="false">INT(E58)</f>
        <v>45720</v>
      </c>
      <c r="O58" s="12" t="n">
        <f aca="false">IF(F58="","",INT(F58))</f>
        <v>45725</v>
      </c>
    </row>
    <row r="59" customFormat="false" ht="15" hidden="false" customHeight="false" outlineLevel="0" collapsed="false">
      <c r="A59" s="0" t="s">
        <v>157</v>
      </c>
      <c r="B59" s="0" t="s">
        <v>158</v>
      </c>
      <c r="C59" s="0" t="s">
        <v>21</v>
      </c>
      <c r="D59" s="0" t="s">
        <v>42</v>
      </c>
      <c r="E59" s="10" t="n">
        <v>45720.5708333333</v>
      </c>
      <c r="F59" s="10" t="n">
        <v>45721.6805555556</v>
      </c>
      <c r="G59" s="0" t="n">
        <v>2390.64</v>
      </c>
      <c r="H59" s="0" t="n">
        <v>2402.04</v>
      </c>
      <c r="I59" s="11" t="n">
        <f aca="false">H59-G59</f>
        <v>11.4000000000001</v>
      </c>
      <c r="J59" s="5" t="n">
        <f aca="false">IF(G59=0,"",I59/G59)</f>
        <v>0.00476859753036848</v>
      </c>
      <c r="K59" s="0" t="n">
        <v>409.7</v>
      </c>
      <c r="L59" s="0" t="n">
        <v>26.63</v>
      </c>
      <c r="M59" s="11" t="s">
        <v>43</v>
      </c>
      <c r="N59" s="12" t="n">
        <f aca="false">INT(E59)</f>
        <v>45720</v>
      </c>
      <c r="O59" s="12" t="n">
        <f aca="false">IF(F59="","",INT(F59))</f>
        <v>45721</v>
      </c>
    </row>
    <row r="60" customFormat="false" ht="15" hidden="false" customHeight="false" outlineLevel="0" collapsed="false">
      <c r="A60" s="0" t="s">
        <v>159</v>
      </c>
      <c r="B60" s="0" t="s">
        <v>160</v>
      </c>
      <c r="C60" s="0" t="s">
        <v>22</v>
      </c>
      <c r="D60" s="0" t="s">
        <v>42</v>
      </c>
      <c r="E60" s="10" t="n">
        <v>45720.5729166667</v>
      </c>
      <c r="F60" s="10" t="n">
        <v>45720.8958333333</v>
      </c>
      <c r="G60" s="0" t="n">
        <v>1580.39</v>
      </c>
      <c r="H60" s="0" t="n">
        <v>1236.47</v>
      </c>
      <c r="I60" s="11" t="n">
        <f aca="false">H60-G60</f>
        <v>-343.92</v>
      </c>
      <c r="J60" s="5" t="n">
        <f aca="false">IF(G60=0,"",I60/G60)</f>
        <v>-0.21761717044527</v>
      </c>
      <c r="K60" s="0" t="n">
        <v>222</v>
      </c>
      <c r="L60" s="0" t="n">
        <v>7.75</v>
      </c>
      <c r="M60" s="11" t="s">
        <v>43</v>
      </c>
      <c r="N60" s="12" t="n">
        <f aca="false">INT(E60)</f>
        <v>45720</v>
      </c>
      <c r="O60" s="12" t="n">
        <f aca="false">IF(F60="","",INT(F60))</f>
        <v>45720</v>
      </c>
    </row>
    <row r="61" customFormat="false" ht="15" hidden="false" customHeight="false" outlineLevel="0" collapsed="false">
      <c r="A61" s="0" t="s">
        <v>161</v>
      </c>
      <c r="B61" s="0" t="s">
        <v>162</v>
      </c>
      <c r="C61" s="0" t="s">
        <v>21</v>
      </c>
      <c r="D61" s="0" t="s">
        <v>42</v>
      </c>
      <c r="E61" s="10" t="n">
        <v>45720.575</v>
      </c>
      <c r="F61" s="10" t="n">
        <v>45721.10625</v>
      </c>
      <c r="G61" s="0" t="n">
        <v>461.98</v>
      </c>
      <c r="H61" s="0" t="n">
        <v>459.62</v>
      </c>
      <c r="I61" s="11" t="n">
        <f aca="false">H61-G61</f>
        <v>-2.36000000000001</v>
      </c>
      <c r="J61" s="5" t="n">
        <f aca="false">IF(G61=0,"",I61/G61)</f>
        <v>-0.00510844625308458</v>
      </c>
      <c r="K61" s="0" t="n">
        <v>77.8</v>
      </c>
      <c r="L61" s="0" t="n">
        <v>12.75</v>
      </c>
      <c r="M61" s="11" t="s">
        <v>43</v>
      </c>
      <c r="N61" s="12" t="n">
        <f aca="false">INT(E61)</f>
        <v>45720</v>
      </c>
      <c r="O61" s="12" t="n">
        <f aca="false">IF(F61="","",INT(F61))</f>
        <v>45721</v>
      </c>
    </row>
    <row r="62" customFormat="false" ht="15" hidden="false" customHeight="false" outlineLevel="0" collapsed="false">
      <c r="A62" s="0" t="s">
        <v>163</v>
      </c>
      <c r="B62" s="0" t="s">
        <v>164</v>
      </c>
      <c r="C62" s="0" t="s">
        <v>23</v>
      </c>
      <c r="D62" s="0" t="s">
        <v>48</v>
      </c>
      <c r="E62" s="10" t="n">
        <v>45720.5916666667</v>
      </c>
      <c r="F62" s="10"/>
      <c r="G62" s="0" t="n">
        <v>403.78</v>
      </c>
      <c r="H62" s="0" t="n">
        <v>398.97</v>
      </c>
      <c r="I62" s="11" t="n">
        <f aca="false">H62-G62</f>
        <v>-4.80999999999995</v>
      </c>
      <c r="J62" s="5" t="n">
        <f aca="false">IF(G62=0,"",I62/G62)</f>
        <v>-0.011912427559562</v>
      </c>
      <c r="K62" s="0" t="n">
        <v>96.8</v>
      </c>
      <c r="M62" s="11" t="s">
        <v>43</v>
      </c>
      <c r="N62" s="12" t="n">
        <f aca="false">INT(E62)</f>
        <v>45720</v>
      </c>
      <c r="O62" s="12" t="str">
        <f aca="false">IF(F62="","",INT(F62))</f>
        <v/>
      </c>
    </row>
    <row r="63" customFormat="false" ht="15" hidden="false" customHeight="false" outlineLevel="0" collapsed="false">
      <c r="A63" s="0" t="s">
        <v>165</v>
      </c>
      <c r="B63" s="0" t="s">
        <v>166</v>
      </c>
      <c r="C63" s="0" t="s">
        <v>24</v>
      </c>
      <c r="D63" s="0" t="s">
        <v>42</v>
      </c>
      <c r="E63" s="10" t="n">
        <v>45720.60625</v>
      </c>
      <c r="F63" s="10" t="n">
        <v>45722.9129398148</v>
      </c>
      <c r="G63" s="0" t="n">
        <v>325.14</v>
      </c>
      <c r="H63" s="0" t="n">
        <v>323.15</v>
      </c>
      <c r="I63" s="11" t="n">
        <f aca="false">H63-G63</f>
        <v>-1.99000000000001</v>
      </c>
      <c r="J63" s="5" t="n">
        <f aca="false">IF(G63=0,"",I63/G63)</f>
        <v>-0.00612044042566282</v>
      </c>
      <c r="K63" s="0" t="n">
        <v>62.5</v>
      </c>
      <c r="L63" s="0" t="n">
        <v>55.36</v>
      </c>
      <c r="M63" s="11" t="s">
        <v>43</v>
      </c>
      <c r="N63" s="12" t="n">
        <f aca="false">INT(E63)</f>
        <v>45720</v>
      </c>
      <c r="O63" s="12" t="n">
        <f aca="false">IF(F63="","",INT(F63))</f>
        <v>45722</v>
      </c>
    </row>
    <row r="64" customFormat="false" ht="15" hidden="false" customHeight="false" outlineLevel="0" collapsed="false">
      <c r="A64" s="0" t="s">
        <v>167</v>
      </c>
      <c r="B64" s="0" t="s">
        <v>168</v>
      </c>
      <c r="C64" s="0" t="s">
        <v>23</v>
      </c>
      <c r="D64" s="0" t="s">
        <v>42</v>
      </c>
      <c r="E64" s="10" t="n">
        <v>45720.6076388889</v>
      </c>
      <c r="F64" s="10" t="n">
        <v>45721.4534722222</v>
      </c>
      <c r="G64" s="0" t="n">
        <v>267.04</v>
      </c>
      <c r="H64" s="0" t="n">
        <v>267.36</v>
      </c>
      <c r="I64" s="11" t="n">
        <f aca="false">H64-G64</f>
        <v>0.319999999999993</v>
      </c>
      <c r="J64" s="5" t="n">
        <f aca="false">IF(G64=0,"",I64/G64)</f>
        <v>0.00119832234871178</v>
      </c>
      <c r="K64" s="0" t="n">
        <v>53</v>
      </c>
      <c r="L64" s="0" t="n">
        <v>20.3</v>
      </c>
      <c r="M64" s="11" t="s">
        <v>43</v>
      </c>
      <c r="N64" s="12" t="n">
        <f aca="false">INT(E64)</f>
        <v>45720</v>
      </c>
      <c r="O64" s="12" t="n">
        <f aca="false">IF(F64="","",INT(F64))</f>
        <v>45721</v>
      </c>
    </row>
    <row r="65" customFormat="false" ht="15" hidden="false" customHeight="false" outlineLevel="0" collapsed="false">
      <c r="A65" s="0" t="s">
        <v>169</v>
      </c>
      <c r="B65" s="0" t="s">
        <v>170</v>
      </c>
      <c r="C65" s="0" t="s">
        <v>19</v>
      </c>
      <c r="D65" s="0" t="s">
        <v>42</v>
      </c>
      <c r="E65" s="10" t="n">
        <v>45720.6159722222</v>
      </c>
      <c r="F65" s="10" t="n">
        <v>45721.3381944444</v>
      </c>
      <c r="G65" s="0" t="n">
        <v>420.78</v>
      </c>
      <c r="H65" s="0" t="n">
        <v>328.57</v>
      </c>
      <c r="I65" s="11" t="n">
        <f aca="false">H65-G65</f>
        <v>-92.21</v>
      </c>
      <c r="J65" s="5" t="n">
        <f aca="false">IF(G65=0,"",I65/G65)</f>
        <v>-0.219140643566709</v>
      </c>
      <c r="K65" s="0" t="n">
        <v>36</v>
      </c>
      <c r="L65" s="0" t="n">
        <v>17.33</v>
      </c>
      <c r="M65" s="11" t="s">
        <v>43</v>
      </c>
      <c r="N65" s="12" t="n">
        <f aca="false">INT(E65)</f>
        <v>45720</v>
      </c>
      <c r="O65" s="12" t="n">
        <f aca="false">IF(F65="","",INT(F65))</f>
        <v>45721</v>
      </c>
    </row>
    <row r="66" customFormat="false" ht="15" hidden="false" customHeight="false" outlineLevel="0" collapsed="false">
      <c r="A66" s="0" t="s">
        <v>171</v>
      </c>
      <c r="B66" s="0" t="s">
        <v>172</v>
      </c>
      <c r="C66" s="0" t="s">
        <v>24</v>
      </c>
      <c r="D66" s="0" t="s">
        <v>42</v>
      </c>
      <c r="E66" s="10" t="n">
        <v>45720.6368055556</v>
      </c>
      <c r="F66" s="10" t="n">
        <v>45721.3613888889</v>
      </c>
      <c r="G66" s="0" t="n">
        <v>232.05</v>
      </c>
      <c r="H66" s="0" t="n">
        <v>232.37</v>
      </c>
      <c r="I66" s="11" t="n">
        <f aca="false">H66-G66</f>
        <v>0.319999999999993</v>
      </c>
      <c r="J66" s="5" t="n">
        <f aca="false">IF(G66=0,"",I66/G66)</f>
        <v>0.001379013143719</v>
      </c>
      <c r="K66" s="0" t="n">
        <v>65</v>
      </c>
      <c r="L66" s="0" t="n">
        <v>17.39</v>
      </c>
      <c r="M66" s="11" t="s">
        <v>43</v>
      </c>
      <c r="N66" s="12" t="n">
        <f aca="false">INT(E66)</f>
        <v>45720</v>
      </c>
      <c r="O66" s="12" t="n">
        <f aca="false">IF(F66="","",INT(F66))</f>
        <v>45721</v>
      </c>
    </row>
    <row r="67" customFormat="false" ht="15" hidden="false" customHeight="false" outlineLevel="0" collapsed="false">
      <c r="A67" s="0" t="s">
        <v>173</v>
      </c>
      <c r="B67" s="0" t="s">
        <v>174</v>
      </c>
      <c r="C67" s="0" t="s">
        <v>21</v>
      </c>
      <c r="D67" s="0" t="s">
        <v>42</v>
      </c>
      <c r="E67" s="10" t="n">
        <v>45720.6645833333</v>
      </c>
      <c r="F67" s="10" t="n">
        <v>45722.7952430556</v>
      </c>
      <c r="G67" s="0" t="n">
        <v>477.24</v>
      </c>
      <c r="H67" s="0" t="n">
        <v>473.17</v>
      </c>
      <c r="I67" s="11" t="n">
        <f aca="false">H67-G67</f>
        <v>-4.06999999999999</v>
      </c>
      <c r="J67" s="5" t="n">
        <f aca="false">IF(G67=0,"",I67/G67)</f>
        <v>-0.0085282038387394</v>
      </c>
      <c r="K67" s="0" t="n">
        <v>100.8</v>
      </c>
      <c r="L67" s="0" t="n">
        <v>51.14</v>
      </c>
      <c r="M67" s="11" t="s">
        <v>43</v>
      </c>
      <c r="N67" s="12" t="n">
        <f aca="false">INT(E67)</f>
        <v>45720</v>
      </c>
      <c r="O67" s="12" t="n">
        <f aca="false">IF(F67="","",INT(F67))</f>
        <v>45722</v>
      </c>
    </row>
    <row r="68" customFormat="false" ht="15" hidden="false" customHeight="false" outlineLevel="0" collapsed="false">
      <c r="A68" s="0" t="s">
        <v>175</v>
      </c>
      <c r="B68" s="0" t="s">
        <v>176</v>
      </c>
      <c r="C68" s="0" t="s">
        <v>21</v>
      </c>
      <c r="D68" s="0" t="s">
        <v>42</v>
      </c>
      <c r="E68" s="10" t="n">
        <v>45720.6736111111</v>
      </c>
      <c r="F68" s="10" t="n">
        <v>45721.3107407407</v>
      </c>
      <c r="G68" s="0" t="n">
        <v>218.66</v>
      </c>
      <c r="H68" s="0" t="n">
        <v>212.31</v>
      </c>
      <c r="I68" s="11" t="n">
        <f aca="false">H68-G68</f>
        <v>-6.34999999999999</v>
      </c>
      <c r="J68" s="5" t="n">
        <f aca="false">IF(G68=0,"",I68/G68)</f>
        <v>-0.0290405195280344</v>
      </c>
      <c r="K68" s="0" t="n">
        <v>35</v>
      </c>
      <c r="L68" s="0" t="n">
        <v>15.29</v>
      </c>
      <c r="M68" s="11" t="s">
        <v>43</v>
      </c>
      <c r="N68" s="12" t="n">
        <f aca="false">INT(E68)</f>
        <v>45720</v>
      </c>
      <c r="O68" s="12" t="n">
        <f aca="false">IF(F68="","",INT(F68))</f>
        <v>45721</v>
      </c>
    </row>
    <row r="69" customFormat="false" ht="15" hidden="false" customHeight="false" outlineLevel="0" collapsed="false">
      <c r="A69" s="0" t="s">
        <v>177</v>
      </c>
      <c r="B69" s="0" t="s">
        <v>178</v>
      </c>
      <c r="C69" s="0" t="s">
        <v>19</v>
      </c>
      <c r="D69" s="0" t="s">
        <v>42</v>
      </c>
      <c r="E69" s="10" t="n">
        <v>45720.675</v>
      </c>
      <c r="F69" s="10" t="n">
        <v>45721.3021990741</v>
      </c>
      <c r="G69" s="0" t="n">
        <v>303.16</v>
      </c>
      <c r="H69" s="0" t="n">
        <v>302.51</v>
      </c>
      <c r="I69" s="11" t="n">
        <f aca="false">H69-G69</f>
        <v>-0.650000000000034</v>
      </c>
      <c r="J69" s="5" t="n">
        <f aca="false">IF(G69=0,"",I69/G69)</f>
        <v>-0.00214408233276169</v>
      </c>
      <c r="K69" s="0" t="n">
        <v>49.5</v>
      </c>
      <c r="L69" s="0" t="n">
        <v>15.05</v>
      </c>
      <c r="M69" s="11" t="s">
        <v>43</v>
      </c>
      <c r="N69" s="12" t="n">
        <f aca="false">INT(E69)</f>
        <v>45720</v>
      </c>
      <c r="O69" s="12" t="n">
        <f aca="false">IF(F69="","",INT(F69))</f>
        <v>45721</v>
      </c>
    </row>
    <row r="70" customFormat="false" ht="15" hidden="false" customHeight="false" outlineLevel="0" collapsed="false">
      <c r="A70" s="0" t="s">
        <v>179</v>
      </c>
      <c r="B70" s="0" t="s">
        <v>180</v>
      </c>
      <c r="C70" s="0" t="s">
        <v>20</v>
      </c>
      <c r="D70" s="0" t="s">
        <v>42</v>
      </c>
      <c r="E70" s="10" t="n">
        <v>45720.6826388889</v>
      </c>
      <c r="F70" s="10" t="n">
        <v>45721</v>
      </c>
      <c r="G70" s="0" t="n">
        <v>545.69</v>
      </c>
      <c r="H70" s="0" t="n">
        <v>548.56</v>
      </c>
      <c r="I70" s="11" t="n">
        <f aca="false">H70-G70</f>
        <v>2.86999999999989</v>
      </c>
      <c r="J70" s="5" t="n">
        <f aca="false">IF(G70=0,"",I70/G70)</f>
        <v>0.00525939636057082</v>
      </c>
      <c r="K70" s="0" t="n">
        <v>58.1</v>
      </c>
      <c r="L70" s="0" t="n">
        <v>7.62</v>
      </c>
      <c r="M70" s="11" t="s">
        <v>43</v>
      </c>
      <c r="N70" s="12" t="n">
        <f aca="false">INT(E70)</f>
        <v>45720</v>
      </c>
      <c r="O70" s="12" t="n">
        <f aca="false">IF(F70="","",INT(F70))</f>
        <v>45721</v>
      </c>
    </row>
    <row r="71" customFormat="false" ht="15" hidden="false" customHeight="false" outlineLevel="0" collapsed="false">
      <c r="A71" s="0" t="s">
        <v>181</v>
      </c>
      <c r="B71" s="0" t="s">
        <v>182</v>
      </c>
      <c r="C71" s="0" t="s">
        <v>21</v>
      </c>
      <c r="D71" s="0" t="s">
        <v>48</v>
      </c>
      <c r="E71" s="10" t="n">
        <v>45720.6875</v>
      </c>
      <c r="F71" s="10"/>
      <c r="G71" s="0" t="n">
        <v>147.35</v>
      </c>
      <c r="H71" s="0" t="n">
        <v>154.04</v>
      </c>
      <c r="I71" s="11" t="n">
        <f aca="false">H71-G71</f>
        <v>6.69</v>
      </c>
      <c r="J71" s="5" t="n">
        <f aca="false">IF(G71=0,"",I71/G71)</f>
        <v>0.0454021038344079</v>
      </c>
      <c r="K71" s="0" t="n">
        <v>36.4</v>
      </c>
      <c r="M71" s="11" t="s">
        <v>43</v>
      </c>
      <c r="N71" s="12" t="n">
        <f aca="false">INT(E71)</f>
        <v>45720</v>
      </c>
      <c r="O71" s="12" t="str">
        <f aca="false">IF(F71="","",INT(F71))</f>
        <v/>
      </c>
    </row>
    <row r="72" customFormat="false" ht="15" hidden="false" customHeight="false" outlineLevel="0" collapsed="false">
      <c r="A72" s="0" t="s">
        <v>183</v>
      </c>
      <c r="B72" s="0" t="s">
        <v>184</v>
      </c>
      <c r="C72" s="0" t="s">
        <v>22</v>
      </c>
      <c r="D72" s="0" t="s">
        <v>42</v>
      </c>
      <c r="E72" s="10" t="n">
        <v>45720.6895833333</v>
      </c>
      <c r="F72" s="10" t="n">
        <v>45721.0879050926</v>
      </c>
      <c r="G72" s="0" t="n">
        <v>106.83</v>
      </c>
      <c r="H72" s="0" t="n">
        <v>105.43</v>
      </c>
      <c r="I72" s="11" t="n">
        <f aca="false">H72-G72</f>
        <v>-1.39999999999999</v>
      </c>
      <c r="J72" s="5" t="n">
        <f aca="false">IF(G72=0,"",I72/G72)</f>
        <v>-0.0131049330712346</v>
      </c>
      <c r="K72" s="0" t="n">
        <v>18.1</v>
      </c>
      <c r="L72" s="0" t="n">
        <v>9.56</v>
      </c>
      <c r="M72" s="11" t="s">
        <v>43</v>
      </c>
      <c r="N72" s="12" t="n">
        <f aca="false">INT(E72)</f>
        <v>45720</v>
      </c>
      <c r="O72" s="12" t="n">
        <f aca="false">IF(F72="","",INT(F72))</f>
        <v>45721</v>
      </c>
    </row>
    <row r="73" customFormat="false" ht="15" hidden="false" customHeight="false" outlineLevel="0" collapsed="false">
      <c r="A73" s="0" t="s">
        <v>185</v>
      </c>
      <c r="B73" s="0" t="s">
        <v>186</v>
      </c>
      <c r="C73" s="0" t="s">
        <v>23</v>
      </c>
      <c r="D73" s="0" t="s">
        <v>42</v>
      </c>
      <c r="E73" s="10" t="n">
        <v>45720.6951388889</v>
      </c>
      <c r="F73" s="10" t="n">
        <v>45722.0828587963</v>
      </c>
      <c r="G73" s="0" t="n">
        <v>338.46</v>
      </c>
      <c r="H73" s="0" t="n">
        <v>346.69</v>
      </c>
      <c r="I73" s="11" t="n">
        <f aca="false">H73-G73</f>
        <v>8.23000000000002</v>
      </c>
      <c r="J73" s="5" t="n">
        <f aca="false">IF(G73=0,"",I73/G73)</f>
        <v>0.024316019618271</v>
      </c>
      <c r="K73" s="0" t="n">
        <v>112.2</v>
      </c>
      <c r="L73" s="0" t="n">
        <v>33.31</v>
      </c>
      <c r="M73" s="11" t="s">
        <v>43</v>
      </c>
      <c r="N73" s="12" t="n">
        <f aca="false">INT(E73)</f>
        <v>45720</v>
      </c>
      <c r="O73" s="12" t="n">
        <f aca="false">IF(F73="","",INT(F73))</f>
        <v>45722</v>
      </c>
    </row>
    <row r="74" customFormat="false" ht="15" hidden="false" customHeight="false" outlineLevel="0" collapsed="false">
      <c r="A74" s="0" t="s">
        <v>187</v>
      </c>
      <c r="B74" s="0" t="s">
        <v>188</v>
      </c>
      <c r="C74" s="0" t="s">
        <v>23</v>
      </c>
      <c r="D74" s="0" t="s">
        <v>48</v>
      </c>
      <c r="E74" s="10" t="n">
        <v>45720.7263888889</v>
      </c>
      <c r="F74" s="10"/>
      <c r="G74" s="0" t="n">
        <v>285.84</v>
      </c>
      <c r="H74" s="0" t="n">
        <v>285.63</v>
      </c>
      <c r="I74" s="11" t="n">
        <f aca="false">H74-G74</f>
        <v>-0.20999999999998</v>
      </c>
      <c r="J74" s="5" t="n">
        <f aca="false">IF(G74=0,"",I74/G74)</f>
        <v>-0.000734676742233346</v>
      </c>
      <c r="K74" s="0" t="n">
        <v>120.7</v>
      </c>
      <c r="M74" s="11" t="s">
        <v>43</v>
      </c>
      <c r="N74" s="12" t="n">
        <f aca="false">INT(E74)</f>
        <v>45720</v>
      </c>
      <c r="O74" s="12" t="str">
        <f aca="false">IF(F74="","",INT(F74))</f>
        <v/>
      </c>
    </row>
    <row r="75" customFormat="false" ht="15" hidden="false" customHeight="false" outlineLevel="0" collapsed="false">
      <c r="A75" s="0" t="s">
        <v>189</v>
      </c>
      <c r="B75" s="0" t="s">
        <v>190</v>
      </c>
      <c r="C75" s="0" t="s">
        <v>23</v>
      </c>
      <c r="D75" s="0" t="s">
        <v>42</v>
      </c>
      <c r="E75" s="10" t="n">
        <v>45720.7590277778</v>
      </c>
      <c r="F75" s="10" t="n">
        <v>45721.9124652778</v>
      </c>
      <c r="G75" s="0" t="n">
        <v>360.96</v>
      </c>
      <c r="H75" s="0" t="n">
        <v>359.44</v>
      </c>
      <c r="I75" s="11" t="n">
        <f aca="false">H75-G75</f>
        <v>-1.51999999999998</v>
      </c>
      <c r="J75" s="5" t="n">
        <f aca="false">IF(G75=0,"",I75/G75)</f>
        <v>-0.00421099290780137</v>
      </c>
      <c r="K75" s="0" t="n">
        <v>74.4</v>
      </c>
      <c r="L75" s="0" t="n">
        <v>27.68</v>
      </c>
      <c r="M75" s="11" t="s">
        <v>43</v>
      </c>
      <c r="N75" s="12" t="n">
        <f aca="false">INT(E75)</f>
        <v>45720</v>
      </c>
      <c r="O75" s="12" t="n">
        <f aca="false">IF(F75="","",INT(F75))</f>
        <v>45721</v>
      </c>
    </row>
    <row r="76" customFormat="false" ht="15" hidden="false" customHeight="false" outlineLevel="0" collapsed="false">
      <c r="A76" s="0" t="s">
        <v>191</v>
      </c>
      <c r="B76" s="0" t="s">
        <v>192</v>
      </c>
      <c r="C76" s="0" t="s">
        <v>21</v>
      </c>
      <c r="D76" s="0" t="s">
        <v>42</v>
      </c>
      <c r="E76" s="10" t="n">
        <v>45720.7625</v>
      </c>
      <c r="F76" s="10" t="n">
        <v>45721.4340277778</v>
      </c>
      <c r="G76" s="0" t="n">
        <v>94.93</v>
      </c>
      <c r="H76" s="0" t="n">
        <v>98.13</v>
      </c>
      <c r="I76" s="11" t="n">
        <f aca="false">H76-G76</f>
        <v>3.19999999999999</v>
      </c>
      <c r="J76" s="5" t="n">
        <f aca="false">IF(G76=0,"",I76/G76)</f>
        <v>0.0337090487727798</v>
      </c>
      <c r="K76" s="0" t="n">
        <v>21.7</v>
      </c>
      <c r="L76" s="0" t="n">
        <v>16.12</v>
      </c>
      <c r="M76" s="11" t="s">
        <v>43</v>
      </c>
      <c r="N76" s="12" t="n">
        <f aca="false">INT(E76)</f>
        <v>45720</v>
      </c>
      <c r="O76" s="12" t="n">
        <f aca="false">IF(F76="","",INT(F76))</f>
        <v>45721</v>
      </c>
    </row>
    <row r="77" customFormat="false" ht="15" hidden="false" customHeight="false" outlineLevel="0" collapsed="false">
      <c r="A77" s="0" t="s">
        <v>193</v>
      </c>
      <c r="B77" s="0" t="s">
        <v>194</v>
      </c>
      <c r="C77" s="0" t="s">
        <v>19</v>
      </c>
      <c r="D77" s="0" t="s">
        <v>42</v>
      </c>
      <c r="E77" s="10" t="n">
        <v>45720.7854166667</v>
      </c>
      <c r="F77" s="10" t="n">
        <v>45721.2150115741</v>
      </c>
      <c r="G77" s="0" t="n">
        <v>1100.89</v>
      </c>
      <c r="H77" s="0" t="n">
        <v>1088.24</v>
      </c>
      <c r="I77" s="11" t="n">
        <f aca="false">H77-G77</f>
        <v>-12.6500000000001</v>
      </c>
      <c r="J77" s="5" t="n">
        <f aca="false">IF(G77=0,"",I77/G77)</f>
        <v>-0.0114907029766826</v>
      </c>
      <c r="K77" s="0" t="n">
        <v>124.6</v>
      </c>
      <c r="L77" s="0" t="n">
        <v>10.31</v>
      </c>
      <c r="M77" s="11" t="s">
        <v>43</v>
      </c>
      <c r="N77" s="12" t="n">
        <f aca="false">INT(E77)</f>
        <v>45720</v>
      </c>
      <c r="O77" s="12" t="n">
        <f aca="false">IF(F77="","",INT(F77))</f>
        <v>45721</v>
      </c>
    </row>
    <row r="78" customFormat="false" ht="15" hidden="false" customHeight="false" outlineLevel="0" collapsed="false">
      <c r="A78" s="0" t="s">
        <v>195</v>
      </c>
      <c r="B78" s="0" t="s">
        <v>196</v>
      </c>
      <c r="C78" s="0" t="s">
        <v>20</v>
      </c>
      <c r="D78" s="0" t="s">
        <v>42</v>
      </c>
      <c r="E78" s="10" t="n">
        <v>45721.3159722222</v>
      </c>
      <c r="F78" s="10" t="n">
        <v>45724.161875</v>
      </c>
      <c r="G78" s="0" t="n">
        <v>351.47</v>
      </c>
      <c r="H78" s="0" t="n">
        <v>360.29</v>
      </c>
      <c r="I78" s="11" t="n">
        <f aca="false">H78-G78</f>
        <v>8.81999999999999</v>
      </c>
      <c r="J78" s="5" t="n">
        <f aca="false">IF(G78=0,"",I78/G78)</f>
        <v>0.0250946026687911</v>
      </c>
      <c r="K78" s="0" t="n">
        <v>57.8</v>
      </c>
      <c r="L78" s="0" t="n">
        <v>64.42</v>
      </c>
      <c r="M78" s="11" t="s">
        <v>43</v>
      </c>
      <c r="N78" s="12" t="n">
        <f aca="false">INT(E78)</f>
        <v>45721</v>
      </c>
      <c r="O78" s="12" t="n">
        <f aca="false">IF(F78="","",INT(F78))</f>
        <v>45724</v>
      </c>
    </row>
    <row r="79" customFormat="false" ht="15" hidden="false" customHeight="false" outlineLevel="0" collapsed="false">
      <c r="A79" s="0" t="s">
        <v>197</v>
      </c>
      <c r="B79" s="0" t="s">
        <v>198</v>
      </c>
      <c r="C79" s="0" t="s">
        <v>23</v>
      </c>
      <c r="D79" s="0" t="s">
        <v>42</v>
      </c>
      <c r="E79" s="10" t="n">
        <v>45721.3361111111</v>
      </c>
      <c r="F79" s="10" t="n">
        <v>45721.7756944444</v>
      </c>
      <c r="G79" s="0" t="n">
        <v>414.34</v>
      </c>
      <c r="H79" s="0" t="n">
        <v>410.43</v>
      </c>
      <c r="I79" s="11" t="n">
        <f aca="false">H79-G79</f>
        <v>-3.90999999999997</v>
      </c>
      <c r="J79" s="5" t="n">
        <f aca="false">IF(G79=0,"",I79/G79)</f>
        <v>-0.00943669450209965</v>
      </c>
      <c r="K79" s="0" t="n">
        <v>130.6</v>
      </c>
      <c r="L79" s="0" t="n">
        <v>10.55</v>
      </c>
      <c r="M79" s="11" t="s">
        <v>43</v>
      </c>
      <c r="N79" s="12" t="n">
        <f aca="false">INT(E79)</f>
        <v>45721</v>
      </c>
      <c r="O79" s="12" t="n">
        <f aca="false">IF(F79="","",INT(F79))</f>
        <v>45721</v>
      </c>
    </row>
    <row r="80" customFormat="false" ht="15" hidden="false" customHeight="false" outlineLevel="0" collapsed="false">
      <c r="A80" s="0" t="s">
        <v>199</v>
      </c>
      <c r="B80" s="0" t="s">
        <v>200</v>
      </c>
      <c r="C80" s="0" t="s">
        <v>19</v>
      </c>
      <c r="D80" s="0" t="s">
        <v>42</v>
      </c>
      <c r="E80" s="10" t="n">
        <v>45721.3388888889</v>
      </c>
      <c r="F80" s="10" t="n">
        <v>45722.8861111111</v>
      </c>
      <c r="G80" s="0" t="n">
        <v>459.85</v>
      </c>
      <c r="H80" s="0" t="n">
        <v>467.53</v>
      </c>
      <c r="I80" s="11" t="n">
        <f aca="false">H80-G80</f>
        <v>7.67999999999995</v>
      </c>
      <c r="J80" s="5" t="n">
        <f aca="false">IF(G80=0,"",I80/G80)</f>
        <v>0.0167010981841904</v>
      </c>
      <c r="K80" s="0" t="n">
        <v>39.5</v>
      </c>
      <c r="L80" s="0" t="n">
        <v>37.13</v>
      </c>
      <c r="M80" s="11" t="s">
        <v>43</v>
      </c>
      <c r="N80" s="12" t="n">
        <f aca="false">INT(E80)</f>
        <v>45721</v>
      </c>
      <c r="O80" s="12" t="n">
        <f aca="false">IF(F80="","",INT(F80))</f>
        <v>45722</v>
      </c>
    </row>
    <row r="81" customFormat="false" ht="15" hidden="false" customHeight="false" outlineLevel="0" collapsed="false">
      <c r="A81" s="0" t="s">
        <v>201</v>
      </c>
      <c r="B81" s="0" t="s">
        <v>202</v>
      </c>
      <c r="C81" s="0" t="s">
        <v>20</v>
      </c>
      <c r="D81" s="0" t="s">
        <v>42</v>
      </c>
      <c r="E81" s="10" t="n">
        <v>45721.3409722222</v>
      </c>
      <c r="F81" s="10" t="n">
        <v>45723.0118055556</v>
      </c>
      <c r="G81" s="0" t="n">
        <v>157.37</v>
      </c>
      <c r="H81" s="0" t="n">
        <v>159.25</v>
      </c>
      <c r="I81" s="11" t="n">
        <f aca="false">H81-G81</f>
        <v>1.88</v>
      </c>
      <c r="J81" s="5" t="n">
        <f aca="false">IF(G81=0,"",I81/G81)</f>
        <v>0.0119463684310859</v>
      </c>
      <c r="K81" s="0" t="n">
        <v>24.8</v>
      </c>
      <c r="L81" s="0" t="n">
        <v>40.1</v>
      </c>
      <c r="M81" s="11" t="s">
        <v>43</v>
      </c>
      <c r="N81" s="12" t="n">
        <f aca="false">INT(E81)</f>
        <v>45721</v>
      </c>
      <c r="O81" s="12" t="n">
        <f aca="false">IF(F81="","",INT(F81))</f>
        <v>45723</v>
      </c>
    </row>
    <row r="82" customFormat="false" ht="15" hidden="false" customHeight="false" outlineLevel="0" collapsed="false">
      <c r="A82" s="0" t="s">
        <v>203</v>
      </c>
      <c r="B82" s="0" t="s">
        <v>204</v>
      </c>
      <c r="C82" s="0" t="s">
        <v>23</v>
      </c>
      <c r="D82" s="0" t="s">
        <v>48</v>
      </c>
      <c r="E82" s="10" t="n">
        <v>45721.3423611111</v>
      </c>
      <c r="F82" s="10"/>
      <c r="G82" s="0" t="n">
        <v>723.15</v>
      </c>
      <c r="H82" s="0" t="n">
        <v>722.91</v>
      </c>
      <c r="I82" s="11" t="n">
        <f aca="false">H82-G82</f>
        <v>-0.240000000000009</v>
      </c>
      <c r="J82" s="5" t="n">
        <f aca="false">IF(G82=0,"",I82/G82)</f>
        <v>-0.000331881352416524</v>
      </c>
      <c r="K82" s="0" t="n">
        <v>188.5</v>
      </c>
      <c r="M82" s="11" t="s">
        <v>43</v>
      </c>
      <c r="N82" s="12" t="n">
        <f aca="false">INT(E82)</f>
        <v>45721</v>
      </c>
      <c r="O82" s="12" t="str">
        <f aca="false">IF(F82="","",INT(F82))</f>
        <v/>
      </c>
    </row>
    <row r="83" customFormat="false" ht="15" hidden="false" customHeight="false" outlineLevel="0" collapsed="false">
      <c r="A83" s="0" t="s">
        <v>205</v>
      </c>
      <c r="B83" s="0" t="s">
        <v>206</v>
      </c>
      <c r="C83" s="0" t="s">
        <v>20</v>
      </c>
      <c r="D83" s="0" t="s">
        <v>48</v>
      </c>
      <c r="E83" s="10" t="n">
        <v>45721.3444444445</v>
      </c>
      <c r="F83" s="10"/>
      <c r="G83" s="0" t="n">
        <v>1176.83</v>
      </c>
      <c r="H83" s="0" t="n">
        <v>1199.53</v>
      </c>
      <c r="I83" s="11" t="n">
        <f aca="false">H83-G83</f>
        <v>22.7</v>
      </c>
      <c r="J83" s="5" t="n">
        <f aca="false">IF(G83=0,"",I83/G83)</f>
        <v>0.0192891071777572</v>
      </c>
      <c r="K83" s="0" t="n">
        <v>166.3</v>
      </c>
      <c r="M83" s="11" t="s">
        <v>43</v>
      </c>
      <c r="N83" s="12" t="n">
        <f aca="false">INT(E83)</f>
        <v>45721</v>
      </c>
      <c r="O83" s="12" t="str">
        <f aca="false">IF(F83="","",INT(F83))</f>
        <v/>
      </c>
    </row>
    <row r="84" customFormat="false" ht="15" hidden="false" customHeight="false" outlineLevel="0" collapsed="false">
      <c r="A84" s="0" t="s">
        <v>207</v>
      </c>
      <c r="B84" s="0" t="s">
        <v>208</v>
      </c>
      <c r="C84" s="0" t="s">
        <v>23</v>
      </c>
      <c r="D84" s="0" t="s">
        <v>42</v>
      </c>
      <c r="E84" s="10" t="n">
        <v>45721.3604166667</v>
      </c>
      <c r="F84" s="10" t="n">
        <v>45722.6875578704</v>
      </c>
      <c r="G84" s="0" t="n">
        <v>607.84</v>
      </c>
      <c r="H84" s="0" t="n">
        <v>688.32</v>
      </c>
      <c r="I84" s="11" t="n">
        <f aca="false">H84-G84</f>
        <v>80.48</v>
      </c>
      <c r="J84" s="5" t="n">
        <f aca="false">IF(G84=0,"",I84/G84)</f>
        <v>0.132403264016847</v>
      </c>
      <c r="K84" s="0" t="n">
        <v>205.4</v>
      </c>
      <c r="L84" s="0" t="n">
        <v>31.85</v>
      </c>
      <c r="M84" s="11" t="s">
        <v>43</v>
      </c>
      <c r="N84" s="12" t="n">
        <f aca="false">INT(E84)</f>
        <v>45721</v>
      </c>
      <c r="O84" s="12" t="n">
        <f aca="false">IF(F84="","",INT(F84))</f>
        <v>45722</v>
      </c>
    </row>
    <row r="85" customFormat="false" ht="15" hidden="false" customHeight="false" outlineLevel="0" collapsed="false">
      <c r="A85" s="0" t="s">
        <v>209</v>
      </c>
      <c r="B85" s="0" t="s">
        <v>210</v>
      </c>
      <c r="C85" s="0" t="s">
        <v>22</v>
      </c>
      <c r="D85" s="0" t="s">
        <v>42</v>
      </c>
      <c r="E85" s="10" t="n">
        <v>45721.3694444444</v>
      </c>
      <c r="F85" s="10" t="n">
        <v>45721.6645833333</v>
      </c>
      <c r="G85" s="0" t="n">
        <v>46.47</v>
      </c>
      <c r="H85" s="0" t="n">
        <v>45.26</v>
      </c>
      <c r="I85" s="11" t="n">
        <f aca="false">H85-G85</f>
        <v>-1.21</v>
      </c>
      <c r="J85" s="5" t="n">
        <f aca="false">IF(G85=0,"",I85/G85)</f>
        <v>-0.0260383042823327</v>
      </c>
      <c r="K85" s="0" t="n">
        <v>5.5</v>
      </c>
      <c r="L85" s="0" t="n">
        <v>7.08</v>
      </c>
      <c r="M85" s="11" t="s">
        <v>43</v>
      </c>
      <c r="N85" s="12" t="n">
        <f aca="false">INT(E85)</f>
        <v>45721</v>
      </c>
      <c r="O85" s="12" t="n">
        <f aca="false">IF(F85="","",INT(F85))</f>
        <v>45721</v>
      </c>
    </row>
    <row r="86" customFormat="false" ht="15" hidden="false" customHeight="false" outlineLevel="0" collapsed="false">
      <c r="A86" s="0" t="s">
        <v>211</v>
      </c>
      <c r="B86" s="0" t="s">
        <v>212</v>
      </c>
      <c r="C86" s="0" t="s">
        <v>23</v>
      </c>
      <c r="D86" s="0" t="s">
        <v>42</v>
      </c>
      <c r="E86" s="10" t="n">
        <v>45721.3861111111</v>
      </c>
      <c r="F86" s="10" t="n">
        <v>45723.126087963</v>
      </c>
      <c r="G86" s="0" t="n">
        <v>149.46</v>
      </c>
      <c r="H86" s="0" t="n">
        <v>150.06</v>
      </c>
      <c r="I86" s="11" t="n">
        <f aca="false">H86-G86</f>
        <v>0.599999999999994</v>
      </c>
      <c r="J86" s="5" t="n">
        <f aca="false">IF(G86=0,"",I86/G86)</f>
        <v>0.00401445202729824</v>
      </c>
      <c r="K86" s="0" t="n">
        <v>53.5</v>
      </c>
      <c r="L86" s="0" t="n">
        <v>41.76</v>
      </c>
      <c r="M86" s="11" t="s">
        <v>43</v>
      </c>
      <c r="N86" s="12" t="n">
        <f aca="false">INT(E86)</f>
        <v>45721</v>
      </c>
      <c r="O86" s="12" t="n">
        <f aca="false">IF(F86="","",INT(F86))</f>
        <v>45723</v>
      </c>
    </row>
    <row r="87" customFormat="false" ht="15" hidden="false" customHeight="false" outlineLevel="0" collapsed="false">
      <c r="A87" s="0" t="s">
        <v>213</v>
      </c>
      <c r="B87" s="0" t="s">
        <v>214</v>
      </c>
      <c r="C87" s="0" t="s">
        <v>22</v>
      </c>
      <c r="D87" s="0" t="s">
        <v>42</v>
      </c>
      <c r="E87" s="10" t="n">
        <v>45721.3902777778</v>
      </c>
      <c r="F87" s="10" t="n">
        <v>45721.9145833333</v>
      </c>
      <c r="G87" s="0" t="n">
        <v>463.12</v>
      </c>
      <c r="H87" s="0" t="n">
        <v>461.53</v>
      </c>
      <c r="I87" s="11" t="n">
        <f aca="false">H87-G87</f>
        <v>-1.59000000000003</v>
      </c>
      <c r="J87" s="5" t="n">
        <f aca="false">IF(G87=0,"",I87/G87)</f>
        <v>-0.0034332354465366</v>
      </c>
      <c r="K87" s="0" t="n">
        <v>82.2</v>
      </c>
      <c r="L87" s="0" t="n">
        <v>12.58</v>
      </c>
      <c r="M87" s="11" t="s">
        <v>43</v>
      </c>
      <c r="N87" s="12" t="n">
        <f aca="false">INT(E87)</f>
        <v>45721</v>
      </c>
      <c r="O87" s="12" t="n">
        <f aca="false">IF(F87="","",INT(F87))</f>
        <v>45721</v>
      </c>
    </row>
    <row r="88" customFormat="false" ht="15" hidden="false" customHeight="false" outlineLevel="0" collapsed="false">
      <c r="A88" s="0" t="s">
        <v>215</v>
      </c>
      <c r="B88" s="0" t="s">
        <v>216</v>
      </c>
      <c r="C88" s="0" t="s">
        <v>23</v>
      </c>
      <c r="D88" s="0" t="s">
        <v>42</v>
      </c>
      <c r="E88" s="10" t="n">
        <v>45721.3909722222</v>
      </c>
      <c r="F88" s="10" t="n">
        <v>45723.9604166667</v>
      </c>
      <c r="G88" s="0" t="n">
        <v>167.58</v>
      </c>
      <c r="H88" s="0" t="n">
        <v>166.79</v>
      </c>
      <c r="I88" s="11" t="n">
        <f aca="false">H88-G88</f>
        <v>-0.790000000000021</v>
      </c>
      <c r="J88" s="5" t="n">
        <f aca="false">IF(G88=0,"",I88/G88)</f>
        <v>-0.00471416636830183</v>
      </c>
      <c r="K88" s="0" t="n">
        <v>41.6</v>
      </c>
      <c r="L88" s="0" t="n">
        <v>61.67</v>
      </c>
      <c r="M88" s="11" t="s">
        <v>43</v>
      </c>
      <c r="N88" s="12" t="n">
        <f aca="false">INT(E88)</f>
        <v>45721</v>
      </c>
      <c r="O88" s="12" t="n">
        <f aca="false">IF(F88="","",INT(F88))</f>
        <v>45723</v>
      </c>
    </row>
    <row r="89" customFormat="false" ht="15" hidden="false" customHeight="false" outlineLevel="0" collapsed="false">
      <c r="A89" s="0" t="s">
        <v>217</v>
      </c>
      <c r="B89" s="0" t="s">
        <v>218</v>
      </c>
      <c r="C89" s="0" t="s">
        <v>23</v>
      </c>
      <c r="D89" s="0" t="s">
        <v>42</v>
      </c>
      <c r="E89" s="10" t="n">
        <v>45721.3993055556</v>
      </c>
      <c r="F89" s="10" t="n">
        <v>45723.1418865741</v>
      </c>
      <c r="G89" s="0" t="n">
        <v>497.46</v>
      </c>
      <c r="H89" s="0" t="n">
        <v>498.14</v>
      </c>
      <c r="I89" s="11" t="n">
        <f aca="false">H89-G89</f>
        <v>0.680000000000007</v>
      </c>
      <c r="J89" s="5" t="n">
        <f aca="false">IF(G89=0,"",I89/G89)</f>
        <v>0.00136694407590561</v>
      </c>
      <c r="K89" s="0" t="n">
        <v>151.7</v>
      </c>
      <c r="L89" s="0" t="n">
        <v>41.82</v>
      </c>
      <c r="M89" s="11" t="s">
        <v>43</v>
      </c>
      <c r="N89" s="12" t="n">
        <f aca="false">INT(E89)</f>
        <v>45721</v>
      </c>
      <c r="O89" s="12" t="n">
        <f aca="false">IF(F89="","",INT(F89))</f>
        <v>45723</v>
      </c>
    </row>
    <row r="90" customFormat="false" ht="15" hidden="false" customHeight="false" outlineLevel="0" collapsed="false">
      <c r="A90" s="0" t="s">
        <v>219</v>
      </c>
      <c r="B90" s="0" t="s">
        <v>220</v>
      </c>
      <c r="C90" s="0" t="s">
        <v>22</v>
      </c>
      <c r="D90" s="0" t="s">
        <v>42</v>
      </c>
      <c r="E90" s="10" t="n">
        <v>45721.4569444444</v>
      </c>
      <c r="F90" s="10" t="n">
        <v>45721.9368865741</v>
      </c>
      <c r="G90" s="0" t="n">
        <v>195.35</v>
      </c>
      <c r="H90" s="0" t="n">
        <v>200.74</v>
      </c>
      <c r="I90" s="11" t="n">
        <f aca="false">H90-G90</f>
        <v>5.39000000000002</v>
      </c>
      <c r="J90" s="5" t="n">
        <f aca="false">IF(G90=0,"",I90/G90)</f>
        <v>0.0275915024315332</v>
      </c>
      <c r="K90" s="0" t="n">
        <v>35.8</v>
      </c>
      <c r="L90" s="0" t="n">
        <v>11.52</v>
      </c>
      <c r="M90" s="11" t="s">
        <v>43</v>
      </c>
      <c r="N90" s="12" t="n">
        <f aca="false">INT(E90)</f>
        <v>45721</v>
      </c>
      <c r="O90" s="12" t="n">
        <f aca="false">IF(F90="","",INT(F90))</f>
        <v>45721</v>
      </c>
    </row>
    <row r="91" customFormat="false" ht="15" hidden="false" customHeight="false" outlineLevel="0" collapsed="false">
      <c r="A91" s="0" t="s">
        <v>221</v>
      </c>
      <c r="B91" s="0" t="s">
        <v>222</v>
      </c>
      <c r="C91" s="0" t="s">
        <v>21</v>
      </c>
      <c r="D91" s="0" t="s">
        <v>42</v>
      </c>
      <c r="E91" s="10" t="n">
        <v>45721.4576388889</v>
      </c>
      <c r="F91" s="10" t="n">
        <v>45721.9449189815</v>
      </c>
      <c r="G91" s="0" t="n">
        <v>560.71</v>
      </c>
      <c r="H91" s="0" t="n">
        <v>542.69</v>
      </c>
      <c r="I91" s="11" t="n">
        <f aca="false">H91-G91</f>
        <v>-18.02</v>
      </c>
      <c r="J91" s="5" t="n">
        <f aca="false">IF(G91=0,"",I91/G91)</f>
        <v>-0.0321378252572631</v>
      </c>
      <c r="K91" s="0" t="n">
        <v>102.6</v>
      </c>
      <c r="L91" s="0" t="n">
        <v>11.69</v>
      </c>
      <c r="M91" s="11" t="s">
        <v>43</v>
      </c>
      <c r="N91" s="12" t="n">
        <f aca="false">INT(E91)</f>
        <v>45721</v>
      </c>
      <c r="O91" s="12" t="n">
        <f aca="false">IF(F91="","",INT(F91))</f>
        <v>45721</v>
      </c>
    </row>
    <row r="92" customFormat="false" ht="15" hidden="false" customHeight="false" outlineLevel="0" collapsed="false">
      <c r="A92" s="0" t="s">
        <v>223</v>
      </c>
      <c r="B92" s="0" t="s">
        <v>224</v>
      </c>
      <c r="C92" s="0" t="s">
        <v>23</v>
      </c>
      <c r="D92" s="0" t="s">
        <v>42</v>
      </c>
      <c r="E92" s="10" t="n">
        <v>45721.4583333333</v>
      </c>
      <c r="F92" s="10" t="n">
        <v>45722.0605555556</v>
      </c>
      <c r="G92" s="0" t="n">
        <v>84.19</v>
      </c>
      <c r="H92" s="0" t="n">
        <v>83.82</v>
      </c>
      <c r="I92" s="11" t="n">
        <f aca="false">H92-G92</f>
        <v>-0.370000000000005</v>
      </c>
      <c r="J92" s="5" t="n">
        <f aca="false">IF(G92=0,"",I92/G92)</f>
        <v>-0.00439482123767674</v>
      </c>
      <c r="K92" s="0" t="n">
        <v>33.8</v>
      </c>
      <c r="L92" s="0" t="n">
        <v>14.45</v>
      </c>
      <c r="M92" s="11" t="s">
        <v>43</v>
      </c>
      <c r="N92" s="12" t="n">
        <f aca="false">INT(E92)</f>
        <v>45721</v>
      </c>
      <c r="O92" s="12" t="n">
        <f aca="false">IF(F92="","",INT(F92))</f>
        <v>45722</v>
      </c>
    </row>
    <row r="93" customFormat="false" ht="15" hidden="false" customHeight="false" outlineLevel="0" collapsed="false">
      <c r="A93" s="0" t="s">
        <v>225</v>
      </c>
      <c r="B93" s="0" t="s">
        <v>226</v>
      </c>
      <c r="C93" s="0" t="s">
        <v>20</v>
      </c>
      <c r="D93" s="0" t="s">
        <v>42</v>
      </c>
      <c r="E93" s="10" t="n">
        <v>45721.4611111111</v>
      </c>
      <c r="F93" s="10" t="n">
        <v>45723.1319444445</v>
      </c>
      <c r="G93" s="0" t="n">
        <v>77.08</v>
      </c>
      <c r="H93" s="0" t="n">
        <v>79.03</v>
      </c>
      <c r="I93" s="11" t="n">
        <f aca="false">H93-G93</f>
        <v>1.95</v>
      </c>
      <c r="J93" s="5" t="n">
        <f aca="false">IF(G93=0,"",I93/G93)</f>
        <v>0.0252983912817852</v>
      </c>
      <c r="K93" s="0" t="n">
        <v>9.6</v>
      </c>
      <c r="L93" s="0" t="n">
        <v>40.1</v>
      </c>
      <c r="M93" s="11" t="s">
        <v>43</v>
      </c>
      <c r="N93" s="12" t="n">
        <f aca="false">INT(E93)</f>
        <v>45721</v>
      </c>
      <c r="O93" s="12" t="n">
        <f aca="false">IF(F93="","",INT(F93))</f>
        <v>45723</v>
      </c>
    </row>
    <row r="94" customFormat="false" ht="15" hidden="false" customHeight="false" outlineLevel="0" collapsed="false">
      <c r="A94" s="0" t="s">
        <v>227</v>
      </c>
      <c r="B94" s="0" t="s">
        <v>228</v>
      </c>
      <c r="C94" s="0" t="s">
        <v>22</v>
      </c>
      <c r="D94" s="0" t="s">
        <v>42</v>
      </c>
      <c r="E94" s="10" t="n">
        <v>45721.4631944444</v>
      </c>
      <c r="F94" s="10" t="n">
        <v>45721.8798611111</v>
      </c>
      <c r="G94" s="0" t="n">
        <v>1518.48</v>
      </c>
      <c r="H94" s="0" t="n">
        <v>1512.72</v>
      </c>
      <c r="I94" s="11" t="n">
        <f aca="false">H94-G94</f>
        <v>-5.75999999999999</v>
      </c>
      <c r="J94" s="5" t="n">
        <f aca="false">IF(G94=0,"",I94/G94)</f>
        <v>-0.00379326695116168</v>
      </c>
      <c r="K94" s="0" t="n">
        <v>249.1</v>
      </c>
      <c r="L94" s="0" t="n">
        <v>10</v>
      </c>
      <c r="M94" s="11" t="s">
        <v>43</v>
      </c>
      <c r="N94" s="12" t="n">
        <f aca="false">INT(E94)</f>
        <v>45721</v>
      </c>
      <c r="O94" s="12" t="n">
        <f aca="false">IF(F94="","",INT(F94))</f>
        <v>45721</v>
      </c>
    </row>
    <row r="95" customFormat="false" ht="15" hidden="false" customHeight="false" outlineLevel="0" collapsed="false">
      <c r="A95" s="0" t="s">
        <v>229</v>
      </c>
      <c r="B95" s="0" t="s">
        <v>230</v>
      </c>
      <c r="C95" s="0" t="s">
        <v>22</v>
      </c>
      <c r="D95" s="0" t="s">
        <v>42</v>
      </c>
      <c r="E95" s="10" t="n">
        <v>45721.4777777778</v>
      </c>
      <c r="F95" s="10" t="n">
        <v>45723.713900463</v>
      </c>
      <c r="G95" s="0" t="n">
        <v>1002.93</v>
      </c>
      <c r="H95" s="0" t="n">
        <v>1017.95</v>
      </c>
      <c r="I95" s="11" t="n">
        <f aca="false">H95-G95</f>
        <v>15.0200000000001</v>
      </c>
      <c r="J95" s="5" t="n">
        <f aca="false">IF(G95=0,"",I95/G95)</f>
        <v>0.0149761199684924</v>
      </c>
      <c r="K95" s="0" t="n">
        <v>106.9</v>
      </c>
      <c r="L95" s="0" t="n">
        <v>53.67</v>
      </c>
      <c r="M95" s="11" t="s">
        <v>43</v>
      </c>
      <c r="N95" s="12" t="n">
        <f aca="false">INT(E95)</f>
        <v>45721</v>
      </c>
      <c r="O95" s="12" t="n">
        <f aca="false">IF(F95="","",INT(F95))</f>
        <v>45723</v>
      </c>
    </row>
    <row r="96" customFormat="false" ht="15" hidden="false" customHeight="false" outlineLevel="0" collapsed="false">
      <c r="A96" s="0" t="s">
        <v>231</v>
      </c>
      <c r="B96" s="0" t="s">
        <v>232</v>
      </c>
      <c r="C96" s="0" t="s">
        <v>21</v>
      </c>
      <c r="D96" s="0" t="s">
        <v>42</v>
      </c>
      <c r="E96" s="10" t="n">
        <v>45721.4923611111</v>
      </c>
      <c r="F96" s="10" t="n">
        <v>45721.8493055556</v>
      </c>
      <c r="G96" s="0" t="n">
        <v>152.84</v>
      </c>
      <c r="H96" s="0" t="n">
        <v>152.08</v>
      </c>
      <c r="I96" s="11" t="n">
        <f aca="false">H96-G96</f>
        <v>-0.759999999999991</v>
      </c>
      <c r="J96" s="5" t="n">
        <f aca="false">IF(G96=0,"",I96/G96)</f>
        <v>-0.00497252028264846</v>
      </c>
      <c r="K96" s="0" t="n">
        <v>29.6</v>
      </c>
      <c r="L96" s="0" t="n">
        <v>8.57</v>
      </c>
      <c r="M96" s="11" t="s">
        <v>43</v>
      </c>
      <c r="N96" s="12" t="n">
        <f aca="false">INT(E96)</f>
        <v>45721</v>
      </c>
      <c r="O96" s="12" t="n">
        <f aca="false">IF(F96="","",INT(F96))</f>
        <v>45721</v>
      </c>
    </row>
    <row r="97" customFormat="false" ht="15" hidden="false" customHeight="false" outlineLevel="0" collapsed="false">
      <c r="A97" s="0" t="s">
        <v>233</v>
      </c>
      <c r="B97" s="0" t="s">
        <v>234</v>
      </c>
      <c r="C97" s="0" t="s">
        <v>24</v>
      </c>
      <c r="D97" s="0" t="s">
        <v>42</v>
      </c>
      <c r="E97" s="10" t="n">
        <v>45721.5069444445</v>
      </c>
      <c r="F97" s="10" t="n">
        <v>45725.2524884259</v>
      </c>
      <c r="G97" s="0" t="n">
        <v>446.52</v>
      </c>
      <c r="H97" s="0" t="n">
        <v>460.43</v>
      </c>
      <c r="I97" s="11" t="n">
        <f aca="false">H97-G97</f>
        <v>13.91</v>
      </c>
      <c r="J97" s="5" t="n">
        <f aca="false">IF(G97=0,"",I97/G97)</f>
        <v>0.0311520200662905</v>
      </c>
      <c r="K97" s="0" t="n">
        <v>108.6</v>
      </c>
      <c r="L97" s="0" t="n">
        <v>59.83</v>
      </c>
      <c r="M97" s="11" t="s">
        <v>43</v>
      </c>
      <c r="N97" s="12" t="n">
        <f aca="false">INT(E97)</f>
        <v>45721</v>
      </c>
      <c r="O97" s="12" t="n">
        <f aca="false">IF(F97="","",INT(F97))</f>
        <v>45725</v>
      </c>
    </row>
    <row r="98" customFormat="false" ht="15" hidden="false" customHeight="false" outlineLevel="0" collapsed="false">
      <c r="A98" s="0" t="s">
        <v>235</v>
      </c>
      <c r="B98" s="0" t="s">
        <v>236</v>
      </c>
      <c r="C98" s="0" t="s">
        <v>24</v>
      </c>
      <c r="D98" s="0" t="s">
        <v>42</v>
      </c>
      <c r="E98" s="10" t="n">
        <v>45721.5076388889</v>
      </c>
      <c r="F98" s="10" t="n">
        <v>45723.7827662037</v>
      </c>
      <c r="G98" s="0" t="n">
        <v>719.34</v>
      </c>
      <c r="H98" s="0" t="n">
        <v>714.75</v>
      </c>
      <c r="I98" s="11" t="n">
        <f aca="false">H98-G98</f>
        <v>-4.59000000000003</v>
      </c>
      <c r="J98" s="5" t="n">
        <f aca="false">IF(G98=0,"",I98/G98)</f>
        <v>-0.00638084911168576</v>
      </c>
      <c r="K98" s="0" t="n">
        <v>196.9</v>
      </c>
      <c r="L98" s="0" t="n">
        <v>54.6</v>
      </c>
      <c r="M98" s="11" t="s">
        <v>43</v>
      </c>
      <c r="N98" s="12" t="n">
        <f aca="false">INT(E98)</f>
        <v>45721</v>
      </c>
      <c r="O98" s="12" t="n">
        <f aca="false">IF(F98="","",INT(F98))</f>
        <v>45723</v>
      </c>
    </row>
    <row r="99" customFormat="false" ht="15" hidden="false" customHeight="false" outlineLevel="0" collapsed="false">
      <c r="A99" s="0" t="s">
        <v>237</v>
      </c>
      <c r="B99" s="0" t="s">
        <v>238</v>
      </c>
      <c r="C99" s="0" t="s">
        <v>21</v>
      </c>
      <c r="D99" s="0" t="s">
        <v>42</v>
      </c>
      <c r="E99" s="10" t="n">
        <v>45721.51875</v>
      </c>
      <c r="F99" s="10" t="n">
        <v>45722.2722222222</v>
      </c>
      <c r="G99" s="0" t="n">
        <v>488.93</v>
      </c>
      <c r="H99" s="0" t="n">
        <v>472.32</v>
      </c>
      <c r="I99" s="11" t="n">
        <f aca="false">H99-G99</f>
        <v>-16.61</v>
      </c>
      <c r="J99" s="5" t="n">
        <f aca="false">IF(G99=0,"",I99/G99)</f>
        <v>-0.0339721432515902</v>
      </c>
      <c r="K99" s="0" t="n">
        <v>108.8</v>
      </c>
      <c r="L99" s="0" t="n">
        <v>18.08</v>
      </c>
      <c r="M99" s="11" t="s">
        <v>43</v>
      </c>
      <c r="N99" s="12" t="n">
        <f aca="false">INT(E99)</f>
        <v>45721</v>
      </c>
      <c r="O99" s="12" t="n">
        <f aca="false">IF(F99="","",INT(F99))</f>
        <v>45722</v>
      </c>
    </row>
    <row r="100" customFormat="false" ht="15" hidden="false" customHeight="false" outlineLevel="0" collapsed="false">
      <c r="A100" s="0" t="s">
        <v>239</v>
      </c>
      <c r="B100" s="0" t="s">
        <v>240</v>
      </c>
      <c r="C100" s="0" t="s">
        <v>21</v>
      </c>
      <c r="D100" s="0" t="s">
        <v>42</v>
      </c>
      <c r="E100" s="10" t="n">
        <v>45721.5791666667</v>
      </c>
      <c r="F100" s="10" t="n">
        <v>45722.3673611111</v>
      </c>
      <c r="G100" s="0" t="n">
        <v>378.67</v>
      </c>
      <c r="H100" s="0" t="n">
        <v>379.38</v>
      </c>
      <c r="I100" s="11" t="n">
        <f aca="false">H100-G100</f>
        <v>0.70999999999998</v>
      </c>
      <c r="J100" s="5" t="n">
        <f aca="false">IF(G100=0,"",I100/G100)</f>
        <v>0.00187498349486355</v>
      </c>
      <c r="K100" s="0" t="n">
        <v>51.3</v>
      </c>
      <c r="L100" s="0" t="n">
        <v>18.92</v>
      </c>
      <c r="M100" s="11" t="s">
        <v>43</v>
      </c>
      <c r="N100" s="12" t="n">
        <f aca="false">INT(E100)</f>
        <v>45721</v>
      </c>
      <c r="O100" s="12" t="n">
        <f aca="false">IF(F100="","",INT(F100))</f>
        <v>45722</v>
      </c>
    </row>
    <row r="101" customFormat="false" ht="15" hidden="false" customHeight="false" outlineLevel="0" collapsed="false">
      <c r="A101" s="0" t="s">
        <v>241</v>
      </c>
      <c r="B101" s="0" t="s">
        <v>242</v>
      </c>
      <c r="C101" s="0" t="s">
        <v>23</v>
      </c>
      <c r="D101" s="0" t="s">
        <v>42</v>
      </c>
      <c r="E101" s="10" t="n">
        <v>45721.5840277778</v>
      </c>
      <c r="F101" s="10" t="n">
        <v>45722.0190740741</v>
      </c>
      <c r="G101" s="0" t="n">
        <v>351.42</v>
      </c>
      <c r="H101" s="0" t="n">
        <v>363.38</v>
      </c>
      <c r="I101" s="11" t="n">
        <f aca="false">H101-G101</f>
        <v>11.96</v>
      </c>
      <c r="J101" s="5" t="n">
        <f aca="false">IF(G101=0,"",I101/G101)</f>
        <v>0.0340333504069204</v>
      </c>
      <c r="K101" s="0" t="n">
        <v>75.3</v>
      </c>
      <c r="L101" s="0" t="n">
        <v>10.44</v>
      </c>
      <c r="M101" s="11" t="s">
        <v>43</v>
      </c>
      <c r="N101" s="12" t="n">
        <f aca="false">INT(E101)</f>
        <v>45721</v>
      </c>
      <c r="O101" s="12" t="n">
        <f aca="false">IF(F101="","",INT(F101))</f>
        <v>45722</v>
      </c>
    </row>
    <row r="102" customFormat="false" ht="15" hidden="false" customHeight="false" outlineLevel="0" collapsed="false">
      <c r="A102" s="0" t="s">
        <v>243</v>
      </c>
      <c r="B102" s="0" t="s">
        <v>244</v>
      </c>
      <c r="C102" s="0" t="s">
        <v>20</v>
      </c>
      <c r="D102" s="0" t="s">
        <v>42</v>
      </c>
      <c r="E102" s="10" t="n">
        <v>45721.6298611111</v>
      </c>
      <c r="F102" s="10" t="n">
        <v>45723.08125</v>
      </c>
      <c r="G102" s="0" t="n">
        <v>275</v>
      </c>
      <c r="H102" s="0" t="n">
        <v>214.05</v>
      </c>
      <c r="I102" s="11" t="n">
        <f aca="false">H102-G102</f>
        <v>-60.95</v>
      </c>
      <c r="J102" s="5" t="n">
        <f aca="false">IF(G102=0,"",I102/G102)</f>
        <v>-0.221636363636364</v>
      </c>
      <c r="K102" s="0" t="n">
        <v>45.9</v>
      </c>
      <c r="L102" s="0" t="n">
        <v>34.83</v>
      </c>
      <c r="M102" s="11" t="s">
        <v>43</v>
      </c>
      <c r="N102" s="12" t="n">
        <f aca="false">INT(E102)</f>
        <v>45721</v>
      </c>
      <c r="O102" s="12" t="n">
        <f aca="false">IF(F102="","",INT(F102))</f>
        <v>45723</v>
      </c>
    </row>
    <row r="103" customFormat="false" ht="15" hidden="false" customHeight="false" outlineLevel="0" collapsed="false">
      <c r="A103" s="0" t="s">
        <v>245</v>
      </c>
      <c r="B103" s="0" t="s">
        <v>246</v>
      </c>
      <c r="C103" s="0" t="s">
        <v>24</v>
      </c>
      <c r="D103" s="0" t="s">
        <v>42</v>
      </c>
      <c r="E103" s="10" t="n">
        <v>45721.6388888889</v>
      </c>
      <c r="F103" s="10" t="n">
        <v>45722.5554282407</v>
      </c>
      <c r="G103" s="0" t="n">
        <v>585.07</v>
      </c>
      <c r="H103" s="0" t="n">
        <v>575.21</v>
      </c>
      <c r="I103" s="11" t="n">
        <f aca="false">H103-G103</f>
        <v>-9.86000000000001</v>
      </c>
      <c r="J103" s="5" t="n">
        <f aca="false">IF(G103=0,"",I103/G103)</f>
        <v>-0.016852684294187</v>
      </c>
      <c r="K103" s="0" t="n">
        <v>232.6</v>
      </c>
      <c r="L103" s="0" t="n">
        <v>22</v>
      </c>
      <c r="M103" s="11" t="s">
        <v>43</v>
      </c>
      <c r="N103" s="12" t="n">
        <f aca="false">INT(E103)</f>
        <v>45721</v>
      </c>
      <c r="O103" s="12" t="n">
        <f aca="false">IF(F103="","",INT(F103))</f>
        <v>45722</v>
      </c>
    </row>
    <row r="104" customFormat="false" ht="15" hidden="false" customHeight="false" outlineLevel="0" collapsed="false">
      <c r="A104" s="0" t="s">
        <v>247</v>
      </c>
      <c r="B104" s="0" t="s">
        <v>248</v>
      </c>
      <c r="C104" s="0" t="s">
        <v>23</v>
      </c>
      <c r="D104" s="0" t="s">
        <v>42</v>
      </c>
      <c r="E104" s="10" t="n">
        <v>45721.65625</v>
      </c>
      <c r="F104" s="10" t="n">
        <v>45722.3959027778</v>
      </c>
      <c r="G104" s="0" t="n">
        <v>312.23</v>
      </c>
      <c r="H104" s="0" t="n">
        <v>312.38</v>
      </c>
      <c r="I104" s="11" t="n">
        <f aca="false">H104-G104</f>
        <v>0.149999999999977</v>
      </c>
      <c r="J104" s="5" t="n">
        <f aca="false">IF(G104=0,"",I104/G104)</f>
        <v>0.000480415078627862</v>
      </c>
      <c r="K104" s="0" t="n">
        <v>127.8</v>
      </c>
      <c r="L104" s="0" t="n">
        <v>17.75</v>
      </c>
      <c r="M104" s="11" t="s">
        <v>43</v>
      </c>
      <c r="N104" s="12" t="n">
        <f aca="false">INT(E104)</f>
        <v>45721</v>
      </c>
      <c r="O104" s="12" t="n">
        <f aca="false">IF(F104="","",INT(F104))</f>
        <v>45722</v>
      </c>
    </row>
    <row r="105" customFormat="false" ht="15" hidden="false" customHeight="false" outlineLevel="0" collapsed="false">
      <c r="A105" s="0" t="s">
        <v>249</v>
      </c>
      <c r="B105" s="0" t="s">
        <v>250</v>
      </c>
      <c r="C105" s="0" t="s">
        <v>20</v>
      </c>
      <c r="D105" s="0" t="s">
        <v>42</v>
      </c>
      <c r="E105" s="10" t="n">
        <v>45721.6708333333</v>
      </c>
      <c r="F105" s="10" t="n">
        <v>45722.3263888889</v>
      </c>
      <c r="G105" s="0" t="n">
        <v>62.37</v>
      </c>
      <c r="H105" s="0" t="n">
        <v>61.25</v>
      </c>
      <c r="I105" s="11" t="n">
        <f aca="false">H105-G105</f>
        <v>-1.12</v>
      </c>
      <c r="J105" s="5" t="n">
        <f aca="false">IF(G105=0,"",I105/G105)</f>
        <v>-0.0179573512906846</v>
      </c>
      <c r="K105" s="0" t="n">
        <v>9.7</v>
      </c>
      <c r="L105" s="0" t="n">
        <v>15.73</v>
      </c>
      <c r="M105" s="11" t="s">
        <v>43</v>
      </c>
      <c r="N105" s="12" t="n">
        <f aca="false">INT(E105)</f>
        <v>45721</v>
      </c>
      <c r="O105" s="12" t="n">
        <f aca="false">IF(F105="","",INT(F105))</f>
        <v>45722</v>
      </c>
    </row>
    <row r="106" customFormat="false" ht="15" hidden="false" customHeight="false" outlineLevel="0" collapsed="false">
      <c r="A106" s="0" t="s">
        <v>251</v>
      </c>
      <c r="B106" s="0" t="s">
        <v>252</v>
      </c>
      <c r="C106" s="0" t="s">
        <v>20</v>
      </c>
      <c r="D106" s="0" t="s">
        <v>42</v>
      </c>
      <c r="E106" s="10" t="n">
        <v>45721.6784722222</v>
      </c>
      <c r="F106" s="10" t="n">
        <v>45722.3604398148</v>
      </c>
      <c r="G106" s="0" t="n">
        <v>627.93</v>
      </c>
      <c r="H106" s="0" t="n">
        <v>640.27</v>
      </c>
      <c r="I106" s="11" t="n">
        <f aca="false">H106-G106</f>
        <v>12.34</v>
      </c>
      <c r="J106" s="5" t="n">
        <f aca="false">IF(G106=0,"",I106/G106)</f>
        <v>0.0196518720239518</v>
      </c>
      <c r="K106" s="0" t="n">
        <v>104</v>
      </c>
      <c r="L106" s="0" t="n">
        <v>16.37</v>
      </c>
      <c r="M106" s="11" t="s">
        <v>43</v>
      </c>
      <c r="N106" s="12" t="n">
        <f aca="false">INT(E106)</f>
        <v>45721</v>
      </c>
      <c r="O106" s="12" t="n">
        <f aca="false">IF(F106="","",INT(F106))</f>
        <v>45722</v>
      </c>
    </row>
    <row r="107" customFormat="false" ht="15" hidden="false" customHeight="false" outlineLevel="0" collapsed="false">
      <c r="A107" s="0" t="s">
        <v>253</v>
      </c>
      <c r="B107" s="0" t="s">
        <v>254</v>
      </c>
      <c r="C107" s="0" t="s">
        <v>21</v>
      </c>
      <c r="D107" s="0" t="s">
        <v>42</v>
      </c>
      <c r="E107" s="10" t="n">
        <v>45721.68125</v>
      </c>
      <c r="F107" s="10" t="n">
        <v>45722.2437962963</v>
      </c>
      <c r="G107" s="0" t="n">
        <v>417.21</v>
      </c>
      <c r="H107" s="0" t="n">
        <v>361.66</v>
      </c>
      <c r="I107" s="11" t="n">
        <f aca="false">H107-G107</f>
        <v>-55.55</v>
      </c>
      <c r="J107" s="5" t="n">
        <f aca="false">IF(G107=0,"",I107/G107)</f>
        <v>-0.13314637712423</v>
      </c>
      <c r="K107" s="0" t="n">
        <v>67.1</v>
      </c>
      <c r="L107" s="0" t="n">
        <v>13.5</v>
      </c>
      <c r="M107" s="11" t="s">
        <v>43</v>
      </c>
      <c r="N107" s="12" t="n">
        <f aca="false">INT(E107)</f>
        <v>45721</v>
      </c>
      <c r="O107" s="12" t="n">
        <f aca="false">IF(F107="","",INT(F107))</f>
        <v>45722</v>
      </c>
    </row>
    <row r="108" customFormat="false" ht="15" hidden="false" customHeight="false" outlineLevel="0" collapsed="false">
      <c r="A108" s="0" t="s">
        <v>255</v>
      </c>
      <c r="B108" s="0" t="s">
        <v>256</v>
      </c>
      <c r="C108" s="0" t="s">
        <v>21</v>
      </c>
      <c r="D108" s="0" t="s">
        <v>42</v>
      </c>
      <c r="E108" s="10" t="n">
        <v>45721.6902777778</v>
      </c>
      <c r="F108" s="10" t="n">
        <v>45721.8611111111</v>
      </c>
      <c r="G108" s="0" t="n">
        <v>90.16</v>
      </c>
      <c r="H108" s="0" t="n">
        <v>88.96</v>
      </c>
      <c r="I108" s="11" t="n">
        <f aca="false">H108-G108</f>
        <v>-1.2</v>
      </c>
      <c r="J108" s="5" t="n">
        <f aca="false">IF(G108=0,"",I108/G108)</f>
        <v>-0.0133096716947649</v>
      </c>
      <c r="K108" s="0" t="n">
        <v>20.5</v>
      </c>
      <c r="L108" s="0" t="n">
        <v>4.1</v>
      </c>
      <c r="M108" s="11" t="s">
        <v>43</v>
      </c>
      <c r="N108" s="12" t="n">
        <f aca="false">INT(E108)</f>
        <v>45721</v>
      </c>
      <c r="O108" s="12" t="n">
        <f aca="false">IF(F108="","",INT(F108))</f>
        <v>45721</v>
      </c>
    </row>
    <row r="109" customFormat="false" ht="15" hidden="false" customHeight="false" outlineLevel="0" collapsed="false">
      <c r="A109" s="0" t="s">
        <v>257</v>
      </c>
      <c r="B109" s="0" t="s">
        <v>258</v>
      </c>
      <c r="C109" s="0" t="s">
        <v>23</v>
      </c>
      <c r="D109" s="0" t="s">
        <v>42</v>
      </c>
      <c r="E109" s="10" t="n">
        <v>45721.7298611111</v>
      </c>
      <c r="F109" s="10" t="n">
        <v>45722.7236111111</v>
      </c>
      <c r="G109" s="0" t="n">
        <v>281.03</v>
      </c>
      <c r="H109" s="0" t="n">
        <v>284.77</v>
      </c>
      <c r="I109" s="11" t="n">
        <f aca="false">H109-G109</f>
        <v>3.74000000000001</v>
      </c>
      <c r="J109" s="5" t="n">
        <f aca="false">IF(G109=0,"",I109/G109)</f>
        <v>0.013308187737964</v>
      </c>
      <c r="K109" s="0" t="n">
        <v>92.3</v>
      </c>
      <c r="L109" s="0" t="n">
        <v>23.85</v>
      </c>
      <c r="M109" s="11" t="s">
        <v>43</v>
      </c>
      <c r="N109" s="12" t="n">
        <f aca="false">INT(E109)</f>
        <v>45721</v>
      </c>
      <c r="O109" s="12" t="n">
        <f aca="false">IF(F109="","",INT(F109))</f>
        <v>45722</v>
      </c>
    </row>
    <row r="110" customFormat="false" ht="15" hidden="false" customHeight="false" outlineLevel="0" collapsed="false">
      <c r="A110" s="0" t="s">
        <v>259</v>
      </c>
      <c r="B110" s="0" t="s">
        <v>260</v>
      </c>
      <c r="C110" s="0" t="s">
        <v>19</v>
      </c>
      <c r="D110" s="0" t="s">
        <v>42</v>
      </c>
      <c r="E110" s="10" t="n">
        <v>45721.7340277778</v>
      </c>
      <c r="F110" s="10" t="n">
        <v>45722.4291666667</v>
      </c>
      <c r="G110" s="0" t="n">
        <v>72.17</v>
      </c>
      <c r="H110" s="0" t="n">
        <v>70.16</v>
      </c>
      <c r="I110" s="11" t="n">
        <f aca="false">H110-G110</f>
        <v>-2.01000000000001</v>
      </c>
      <c r="J110" s="5" t="n">
        <f aca="false">IF(G110=0,"",I110/G110)</f>
        <v>-0.0278509075793267</v>
      </c>
      <c r="K110" s="0" t="n">
        <v>12.6</v>
      </c>
      <c r="L110" s="0" t="n">
        <v>16.68</v>
      </c>
      <c r="M110" s="11" t="s">
        <v>43</v>
      </c>
      <c r="N110" s="12" t="n">
        <f aca="false">INT(E110)</f>
        <v>45721</v>
      </c>
      <c r="O110" s="12" t="n">
        <f aca="false">IF(F110="","",INT(F110))</f>
        <v>45722</v>
      </c>
    </row>
    <row r="111" customFormat="false" ht="15" hidden="false" customHeight="false" outlineLevel="0" collapsed="false">
      <c r="A111" s="0" t="s">
        <v>261</v>
      </c>
      <c r="B111" s="0" t="s">
        <v>262</v>
      </c>
      <c r="C111" s="0" t="s">
        <v>24</v>
      </c>
      <c r="D111" s="0" t="s">
        <v>42</v>
      </c>
      <c r="E111" s="10" t="n">
        <v>45721.7361111111</v>
      </c>
      <c r="F111" s="10" t="n">
        <v>45726.1416666667</v>
      </c>
      <c r="G111" s="0" t="n">
        <v>860.73</v>
      </c>
      <c r="H111" s="0" t="n">
        <v>868.42</v>
      </c>
      <c r="I111" s="11" t="n">
        <f aca="false">H111-G111</f>
        <v>7.68999999999994</v>
      </c>
      <c r="J111" s="5" t="n">
        <f aca="false">IF(G111=0,"",I111/G111)</f>
        <v>0.00893427671859926</v>
      </c>
      <c r="K111" s="0" t="n">
        <v>321.4</v>
      </c>
      <c r="L111" s="0" t="n">
        <v>57.73</v>
      </c>
      <c r="M111" s="11" t="s">
        <v>43</v>
      </c>
      <c r="N111" s="12" t="n">
        <f aca="false">INT(E111)</f>
        <v>45721</v>
      </c>
      <c r="O111" s="12" t="n">
        <f aca="false">IF(F111="","",INT(F111))</f>
        <v>45726</v>
      </c>
    </row>
    <row r="112" customFormat="false" ht="15" hidden="false" customHeight="false" outlineLevel="0" collapsed="false">
      <c r="A112" s="0" t="s">
        <v>263</v>
      </c>
      <c r="B112" s="0" t="s">
        <v>264</v>
      </c>
      <c r="C112" s="0" t="s">
        <v>22</v>
      </c>
      <c r="D112" s="0" t="s">
        <v>42</v>
      </c>
      <c r="E112" s="10" t="n">
        <v>45721.7590277778</v>
      </c>
      <c r="F112" s="10" t="n">
        <v>45723.00625</v>
      </c>
      <c r="G112" s="0" t="n">
        <v>238.95</v>
      </c>
      <c r="H112" s="0" t="n">
        <v>242.94</v>
      </c>
      <c r="I112" s="11" t="n">
        <f aca="false">H112-G112</f>
        <v>3.99000000000001</v>
      </c>
      <c r="J112" s="5" t="n">
        <f aca="false">IF(G112=0,"",I112/G112)</f>
        <v>0.0166980539861896</v>
      </c>
      <c r="K112" s="0" t="n">
        <v>49.3</v>
      </c>
      <c r="L112" s="0" t="n">
        <v>29.93</v>
      </c>
      <c r="M112" s="11" t="s">
        <v>43</v>
      </c>
      <c r="N112" s="12" t="n">
        <f aca="false">INT(E112)</f>
        <v>45721</v>
      </c>
      <c r="O112" s="12" t="n">
        <f aca="false">IF(F112="","",INT(F112))</f>
        <v>45723</v>
      </c>
    </row>
    <row r="113" customFormat="false" ht="15" hidden="false" customHeight="false" outlineLevel="0" collapsed="false">
      <c r="A113" s="0" t="s">
        <v>265</v>
      </c>
      <c r="B113" s="0" t="s">
        <v>266</v>
      </c>
      <c r="C113" s="0" t="s">
        <v>19</v>
      </c>
      <c r="D113" s="0" t="s">
        <v>42</v>
      </c>
      <c r="E113" s="10" t="n">
        <v>45721.7597222222</v>
      </c>
      <c r="F113" s="10" t="n">
        <v>45722.8798611111</v>
      </c>
      <c r="G113" s="0" t="n">
        <v>549.51</v>
      </c>
      <c r="H113" s="0" t="n">
        <v>394.63</v>
      </c>
      <c r="I113" s="11" t="n">
        <f aca="false">H113-G113</f>
        <v>-154.88</v>
      </c>
      <c r="J113" s="5" t="n">
        <f aca="false">IF(G113=0,"",I113/G113)</f>
        <v>-0.281851103710579</v>
      </c>
      <c r="K113" s="0" t="n">
        <v>64.1</v>
      </c>
      <c r="L113" s="0" t="n">
        <v>26.88</v>
      </c>
      <c r="M113" s="11" t="s">
        <v>43</v>
      </c>
      <c r="N113" s="12" t="n">
        <f aca="false">INT(E113)</f>
        <v>45721</v>
      </c>
      <c r="O113" s="12" t="n">
        <f aca="false">IF(F113="","",INT(F113))</f>
        <v>45722</v>
      </c>
    </row>
    <row r="114" customFormat="false" ht="15" hidden="false" customHeight="false" outlineLevel="0" collapsed="false">
      <c r="A114" s="0" t="s">
        <v>267</v>
      </c>
      <c r="B114" s="0" t="s">
        <v>268</v>
      </c>
      <c r="C114" s="0" t="s">
        <v>22</v>
      </c>
      <c r="D114" s="0" t="s">
        <v>48</v>
      </c>
      <c r="E114" s="10" t="n">
        <v>45721.7597222222</v>
      </c>
      <c r="F114" s="10"/>
      <c r="G114" s="0" t="n">
        <v>331.81</v>
      </c>
      <c r="H114" s="0" t="n">
        <v>329.82</v>
      </c>
      <c r="I114" s="11" t="n">
        <f aca="false">H114-G114</f>
        <v>-1.99000000000001</v>
      </c>
      <c r="J114" s="5" t="n">
        <f aca="false">IF(G114=0,"",I114/G114)</f>
        <v>-0.00599740815526961</v>
      </c>
      <c r="K114" s="0" t="n">
        <v>35.6</v>
      </c>
      <c r="M114" s="11" t="s">
        <v>43</v>
      </c>
      <c r="N114" s="12" t="n">
        <f aca="false">INT(E114)</f>
        <v>45721</v>
      </c>
      <c r="O114" s="12" t="str">
        <f aca="false">IF(F114="","",INT(F114))</f>
        <v/>
      </c>
    </row>
    <row r="115" customFormat="false" ht="15" hidden="false" customHeight="false" outlineLevel="0" collapsed="false">
      <c r="A115" s="0" t="s">
        <v>269</v>
      </c>
      <c r="B115" s="0" t="s">
        <v>270</v>
      </c>
      <c r="C115" s="0" t="s">
        <v>23</v>
      </c>
      <c r="D115" s="0" t="s">
        <v>42</v>
      </c>
      <c r="E115" s="10" t="n">
        <v>45721.7631944444</v>
      </c>
      <c r="F115" s="10" t="n">
        <v>45722.8598263889</v>
      </c>
      <c r="G115" s="0" t="n">
        <v>405.41</v>
      </c>
      <c r="H115" s="0" t="n">
        <v>402.14</v>
      </c>
      <c r="I115" s="11" t="n">
        <f aca="false">H115-G115</f>
        <v>-3.27000000000004</v>
      </c>
      <c r="J115" s="5" t="n">
        <f aca="false">IF(G115=0,"",I115/G115)</f>
        <v>-0.00806590858636945</v>
      </c>
      <c r="K115" s="0" t="n">
        <v>163</v>
      </c>
      <c r="L115" s="0" t="n">
        <v>26.32</v>
      </c>
      <c r="M115" s="11" t="s">
        <v>43</v>
      </c>
      <c r="N115" s="12" t="n">
        <f aca="false">INT(E115)</f>
        <v>45721</v>
      </c>
      <c r="O115" s="12" t="n">
        <f aca="false">IF(F115="","",INT(F115))</f>
        <v>45722</v>
      </c>
    </row>
    <row r="116" customFormat="false" ht="15" hidden="false" customHeight="false" outlineLevel="0" collapsed="false">
      <c r="A116" s="0" t="s">
        <v>271</v>
      </c>
      <c r="B116" s="0" t="s">
        <v>272</v>
      </c>
      <c r="C116" s="0" t="s">
        <v>20</v>
      </c>
      <c r="D116" s="0" t="s">
        <v>42</v>
      </c>
      <c r="E116" s="10" t="n">
        <v>45722.3083333333</v>
      </c>
      <c r="F116" s="10" t="n">
        <v>45723.1430555556</v>
      </c>
      <c r="G116" s="0" t="n">
        <v>305.22</v>
      </c>
      <c r="H116" s="0" t="n">
        <v>355.43</v>
      </c>
      <c r="I116" s="11" t="n">
        <f aca="false">H116-G116</f>
        <v>50.21</v>
      </c>
      <c r="J116" s="5" t="n">
        <f aca="false">IF(G116=0,"",I116/G116)</f>
        <v>0.164504291986108</v>
      </c>
      <c r="K116" s="0" t="n">
        <v>58.9</v>
      </c>
      <c r="L116" s="0" t="n">
        <v>20.03</v>
      </c>
      <c r="M116" s="11" t="s">
        <v>43</v>
      </c>
      <c r="N116" s="12" t="n">
        <f aca="false">INT(E116)</f>
        <v>45722</v>
      </c>
      <c r="O116" s="12" t="n">
        <f aca="false">IF(F116="","",INT(F116))</f>
        <v>45723</v>
      </c>
    </row>
    <row r="117" customFormat="false" ht="15" hidden="false" customHeight="false" outlineLevel="0" collapsed="false">
      <c r="A117" s="0" t="s">
        <v>273</v>
      </c>
      <c r="B117" s="0" t="s">
        <v>274</v>
      </c>
      <c r="C117" s="0" t="s">
        <v>20</v>
      </c>
      <c r="D117" s="0" t="s">
        <v>42</v>
      </c>
      <c r="E117" s="10" t="n">
        <v>45722.3090277778</v>
      </c>
      <c r="F117" s="10" t="n">
        <v>45723.4555555556</v>
      </c>
      <c r="G117" s="0" t="n">
        <v>401.17</v>
      </c>
      <c r="H117" s="0" t="n">
        <v>398.27</v>
      </c>
      <c r="I117" s="11" t="n">
        <f aca="false">H117-G117</f>
        <v>-2.90000000000003</v>
      </c>
      <c r="J117" s="5" t="n">
        <f aca="false">IF(G117=0,"",I117/G117)</f>
        <v>-0.00722885559737776</v>
      </c>
      <c r="K117" s="0" t="n">
        <v>86.6</v>
      </c>
      <c r="L117" s="0" t="n">
        <v>27.52</v>
      </c>
      <c r="M117" s="11" t="s">
        <v>43</v>
      </c>
      <c r="N117" s="12" t="n">
        <f aca="false">INT(E117)</f>
        <v>45722</v>
      </c>
      <c r="O117" s="12" t="n">
        <f aca="false">IF(F117="","",INT(F117))</f>
        <v>45723</v>
      </c>
    </row>
    <row r="118" customFormat="false" ht="15" hidden="false" customHeight="false" outlineLevel="0" collapsed="false">
      <c r="A118" s="0" t="s">
        <v>275</v>
      </c>
      <c r="B118" s="0" t="s">
        <v>276</v>
      </c>
      <c r="C118" s="0" t="s">
        <v>23</v>
      </c>
      <c r="D118" s="0" t="s">
        <v>42</v>
      </c>
      <c r="E118" s="10" t="n">
        <v>45722.35625</v>
      </c>
      <c r="F118" s="10" t="n">
        <v>45723.4520717593</v>
      </c>
      <c r="G118" s="0" t="n">
        <v>639.12</v>
      </c>
      <c r="H118" s="0" t="n">
        <v>656.57</v>
      </c>
      <c r="I118" s="11" t="n">
        <f aca="false">H118-G118</f>
        <v>17.45</v>
      </c>
      <c r="J118" s="5" t="n">
        <f aca="false">IF(G118=0,"",I118/G118)</f>
        <v>0.0273031668544249</v>
      </c>
      <c r="K118" s="0" t="n">
        <v>267</v>
      </c>
      <c r="L118" s="0" t="n">
        <v>26.3</v>
      </c>
      <c r="M118" s="11" t="s">
        <v>43</v>
      </c>
      <c r="N118" s="12" t="n">
        <f aca="false">INT(E118)</f>
        <v>45722</v>
      </c>
      <c r="O118" s="12" t="n">
        <f aca="false">IF(F118="","",INT(F118))</f>
        <v>45723</v>
      </c>
    </row>
    <row r="119" customFormat="false" ht="15" hidden="false" customHeight="false" outlineLevel="0" collapsed="false">
      <c r="A119" s="0" t="s">
        <v>277</v>
      </c>
      <c r="B119" s="0" t="s">
        <v>278</v>
      </c>
      <c r="C119" s="0" t="s">
        <v>20</v>
      </c>
      <c r="D119" s="0" t="s">
        <v>42</v>
      </c>
      <c r="E119" s="10" t="n">
        <v>45722.3715277778</v>
      </c>
      <c r="F119" s="10" t="n">
        <v>45723.3083333333</v>
      </c>
      <c r="G119" s="0" t="n">
        <v>399.16</v>
      </c>
      <c r="H119" s="0" t="n">
        <v>313.19</v>
      </c>
      <c r="I119" s="11" t="n">
        <f aca="false">H119-G119</f>
        <v>-85.97</v>
      </c>
      <c r="J119" s="5" t="n">
        <f aca="false">IF(G119=0,"",I119/G119)</f>
        <v>-0.215377292313859</v>
      </c>
      <c r="K119" s="0" t="n">
        <v>68.1</v>
      </c>
      <c r="L119" s="0" t="n">
        <v>22.48</v>
      </c>
      <c r="M119" s="11" t="s">
        <v>43</v>
      </c>
      <c r="N119" s="12" t="n">
        <f aca="false">INT(E119)</f>
        <v>45722</v>
      </c>
      <c r="O119" s="12" t="n">
        <f aca="false">IF(F119="","",INT(F119))</f>
        <v>45723</v>
      </c>
    </row>
    <row r="120" customFormat="false" ht="15" hidden="false" customHeight="false" outlineLevel="0" collapsed="false">
      <c r="A120" s="0" t="s">
        <v>279</v>
      </c>
      <c r="B120" s="0" t="s">
        <v>280</v>
      </c>
      <c r="C120" s="0" t="s">
        <v>20</v>
      </c>
      <c r="D120" s="0" t="s">
        <v>42</v>
      </c>
      <c r="E120" s="10" t="n">
        <v>45722.4590277778</v>
      </c>
      <c r="F120" s="10" t="n">
        <v>45723.1159722222</v>
      </c>
      <c r="G120" s="0" t="n">
        <v>364.45</v>
      </c>
      <c r="H120" s="0" t="n">
        <v>355.01</v>
      </c>
      <c r="I120" s="11" t="n">
        <f aca="false">H120-G120</f>
        <v>-9.44</v>
      </c>
      <c r="J120" s="5" t="n">
        <f aca="false">IF(G120=0,"",I120/G120)</f>
        <v>-0.0259020441761558</v>
      </c>
      <c r="K120" s="0" t="n">
        <v>55.2</v>
      </c>
      <c r="L120" s="0" t="n">
        <v>15.77</v>
      </c>
      <c r="M120" s="11" t="s">
        <v>43</v>
      </c>
      <c r="N120" s="12" t="n">
        <f aca="false">INT(E120)</f>
        <v>45722</v>
      </c>
      <c r="O120" s="12" t="n">
        <f aca="false">IF(F120="","",INT(F120))</f>
        <v>45723</v>
      </c>
    </row>
    <row r="121" customFormat="false" ht="15" hidden="false" customHeight="false" outlineLevel="0" collapsed="false">
      <c r="A121" s="0" t="s">
        <v>281</v>
      </c>
      <c r="B121" s="0" t="s">
        <v>282</v>
      </c>
      <c r="C121" s="0" t="s">
        <v>23</v>
      </c>
      <c r="D121" s="0" t="s">
        <v>42</v>
      </c>
      <c r="E121" s="10" t="n">
        <v>45722.4979166667</v>
      </c>
      <c r="F121" s="10" t="n">
        <v>45722.983900463</v>
      </c>
      <c r="G121" s="0" t="n">
        <v>252.33</v>
      </c>
      <c r="H121" s="0" t="n">
        <v>250.46</v>
      </c>
      <c r="I121" s="11" t="n">
        <f aca="false">H121-G121</f>
        <v>-1.87</v>
      </c>
      <c r="J121" s="5" t="n">
        <f aca="false">IF(G121=0,"",I121/G121)</f>
        <v>-0.00741093013117744</v>
      </c>
      <c r="K121" s="0" t="n">
        <v>49.6</v>
      </c>
      <c r="L121" s="0" t="n">
        <v>11.66</v>
      </c>
      <c r="M121" s="11" t="s">
        <v>43</v>
      </c>
      <c r="N121" s="12" t="n">
        <f aca="false">INT(E121)</f>
        <v>45722</v>
      </c>
      <c r="O121" s="12" t="n">
        <f aca="false">IF(F121="","",INT(F121))</f>
        <v>45722</v>
      </c>
    </row>
    <row r="122" customFormat="false" ht="15" hidden="false" customHeight="false" outlineLevel="0" collapsed="false">
      <c r="A122" s="0" t="s">
        <v>283</v>
      </c>
      <c r="B122" s="0" t="s">
        <v>284</v>
      </c>
      <c r="C122" s="0" t="s">
        <v>21</v>
      </c>
      <c r="D122" s="0" t="s">
        <v>42</v>
      </c>
      <c r="E122" s="10" t="n">
        <v>45722.5222222222</v>
      </c>
      <c r="F122" s="10" t="n">
        <v>45723.6173611111</v>
      </c>
      <c r="G122" s="0" t="n">
        <v>2469.75</v>
      </c>
      <c r="H122" s="0" t="n">
        <v>2543.32</v>
      </c>
      <c r="I122" s="11" t="n">
        <f aca="false">H122-G122</f>
        <v>73.5700000000002</v>
      </c>
      <c r="J122" s="5" t="n">
        <f aca="false">IF(G122=0,"",I122/G122)</f>
        <v>0.0297884401255188</v>
      </c>
      <c r="K122" s="0" t="n">
        <v>471.7</v>
      </c>
      <c r="L122" s="0" t="n">
        <v>26.28</v>
      </c>
      <c r="M122" s="11" t="s">
        <v>43</v>
      </c>
      <c r="N122" s="12" t="n">
        <f aca="false">INT(E122)</f>
        <v>45722</v>
      </c>
      <c r="O122" s="12" t="n">
        <f aca="false">IF(F122="","",INT(F122))</f>
        <v>45723</v>
      </c>
    </row>
    <row r="123" customFormat="false" ht="15" hidden="false" customHeight="false" outlineLevel="0" collapsed="false">
      <c r="A123" s="0" t="s">
        <v>285</v>
      </c>
      <c r="B123" s="0" t="s">
        <v>286</v>
      </c>
      <c r="C123" s="0" t="s">
        <v>20</v>
      </c>
      <c r="D123" s="0" t="s">
        <v>42</v>
      </c>
      <c r="E123" s="10" t="n">
        <v>45722.5222222222</v>
      </c>
      <c r="F123" s="10" t="n">
        <v>45722.8055555556</v>
      </c>
      <c r="G123" s="0" t="n">
        <v>2934.36</v>
      </c>
      <c r="H123" s="0" t="n">
        <v>2880.96</v>
      </c>
      <c r="I123" s="11" t="n">
        <f aca="false">H123-G123</f>
        <v>-53.4000000000001</v>
      </c>
      <c r="J123" s="5" t="n">
        <f aca="false">IF(G123=0,"",I123/G123)</f>
        <v>-0.018198176092913</v>
      </c>
      <c r="K123" s="0" t="n">
        <v>574.2</v>
      </c>
      <c r="L123" s="0" t="n">
        <v>6.8</v>
      </c>
      <c r="M123" s="11" t="s">
        <v>43</v>
      </c>
      <c r="N123" s="12" t="n">
        <f aca="false">INT(E123)</f>
        <v>45722</v>
      </c>
      <c r="O123" s="12" t="n">
        <f aca="false">IF(F123="","",INT(F123))</f>
        <v>45722</v>
      </c>
    </row>
    <row r="124" customFormat="false" ht="15" hidden="false" customHeight="false" outlineLevel="0" collapsed="false">
      <c r="A124" s="0" t="s">
        <v>287</v>
      </c>
      <c r="B124" s="0" t="s">
        <v>288</v>
      </c>
      <c r="C124" s="0" t="s">
        <v>23</v>
      </c>
      <c r="D124" s="0" t="s">
        <v>42</v>
      </c>
      <c r="E124" s="10" t="n">
        <v>45722.5354166667</v>
      </c>
      <c r="F124" s="10" t="n">
        <v>45723.9638888889</v>
      </c>
      <c r="G124" s="0" t="n">
        <v>712.27</v>
      </c>
      <c r="H124" s="0" t="n">
        <v>603.73</v>
      </c>
      <c r="I124" s="11" t="n">
        <f aca="false">H124-G124</f>
        <v>-108.54</v>
      </c>
      <c r="J124" s="5" t="n">
        <f aca="false">IF(G124=0,"",I124/G124)</f>
        <v>-0.152386033386216</v>
      </c>
      <c r="K124" s="0" t="n">
        <v>319.1</v>
      </c>
      <c r="L124" s="0" t="n">
        <v>34.28</v>
      </c>
      <c r="M124" s="11" t="s">
        <v>43</v>
      </c>
      <c r="N124" s="12" t="n">
        <f aca="false">INT(E124)</f>
        <v>45722</v>
      </c>
      <c r="O124" s="12" t="n">
        <f aca="false">IF(F124="","",INT(F124))</f>
        <v>45723</v>
      </c>
    </row>
    <row r="125" customFormat="false" ht="15" hidden="false" customHeight="false" outlineLevel="0" collapsed="false">
      <c r="A125" s="0" t="s">
        <v>289</v>
      </c>
      <c r="B125" s="0" t="s">
        <v>290</v>
      </c>
      <c r="C125" s="0" t="s">
        <v>24</v>
      </c>
      <c r="D125" s="0" t="s">
        <v>42</v>
      </c>
      <c r="E125" s="10" t="n">
        <v>45722.5388888889</v>
      </c>
      <c r="F125" s="10" t="n">
        <v>45724.6388078704</v>
      </c>
      <c r="G125" s="0" t="n">
        <v>572.59</v>
      </c>
      <c r="H125" s="0" t="n">
        <v>551.57</v>
      </c>
      <c r="I125" s="11" t="n">
        <f aca="false">H125-G125</f>
        <v>-21.02</v>
      </c>
      <c r="J125" s="5" t="n">
        <f aca="false">IF(G125=0,"",I125/G125)</f>
        <v>-0.0367103861401701</v>
      </c>
      <c r="K125" s="0" t="n">
        <v>123.5</v>
      </c>
      <c r="L125" s="0" t="n">
        <v>35.07</v>
      </c>
      <c r="M125" s="11" t="s">
        <v>43</v>
      </c>
      <c r="N125" s="12" t="n">
        <f aca="false">INT(E125)</f>
        <v>45722</v>
      </c>
      <c r="O125" s="12" t="n">
        <f aca="false">IF(F125="","",INT(F125))</f>
        <v>45724</v>
      </c>
    </row>
    <row r="126" customFormat="false" ht="15" hidden="false" customHeight="false" outlineLevel="0" collapsed="false">
      <c r="A126" s="0" t="s">
        <v>291</v>
      </c>
      <c r="B126" s="0" t="s">
        <v>292</v>
      </c>
      <c r="C126" s="0" t="s">
        <v>21</v>
      </c>
      <c r="D126" s="0" t="s">
        <v>42</v>
      </c>
      <c r="E126" s="10" t="n">
        <v>45722.5763888889</v>
      </c>
      <c r="F126" s="10" t="n">
        <v>45723.3076388889</v>
      </c>
      <c r="G126" s="0" t="n">
        <v>439.55</v>
      </c>
      <c r="H126" s="0" t="n">
        <v>433.93</v>
      </c>
      <c r="I126" s="11" t="n">
        <f aca="false">H126-G126</f>
        <v>-5.62</v>
      </c>
      <c r="J126" s="5" t="n">
        <f aca="false">IF(G126=0,"",I126/G126)</f>
        <v>-0.012785803662837</v>
      </c>
      <c r="K126" s="0" t="n">
        <v>115.6</v>
      </c>
      <c r="L126" s="0" t="n">
        <v>17.55</v>
      </c>
      <c r="M126" s="11" t="s">
        <v>43</v>
      </c>
      <c r="N126" s="12" t="n">
        <f aca="false">INT(E126)</f>
        <v>45722</v>
      </c>
      <c r="O126" s="12" t="n">
        <f aca="false">IF(F126="","",INT(F126))</f>
        <v>45723</v>
      </c>
    </row>
    <row r="127" customFormat="false" ht="15" hidden="false" customHeight="false" outlineLevel="0" collapsed="false">
      <c r="A127" s="0" t="s">
        <v>293</v>
      </c>
      <c r="B127" s="0" t="s">
        <v>294</v>
      </c>
      <c r="C127" s="0" t="s">
        <v>21</v>
      </c>
      <c r="D127" s="0" t="s">
        <v>42</v>
      </c>
      <c r="E127" s="10" t="n">
        <v>45722.5784722222</v>
      </c>
      <c r="F127" s="10" t="n">
        <v>45724.0902777778</v>
      </c>
      <c r="G127" s="0" t="n">
        <v>391.26</v>
      </c>
      <c r="H127" s="0" t="n">
        <v>382.74</v>
      </c>
      <c r="I127" s="11" t="n">
        <f aca="false">H127-G127</f>
        <v>-8.51999999999998</v>
      </c>
      <c r="J127" s="5" t="n">
        <f aca="false">IF(G127=0,"",I127/G127)</f>
        <v>-0.0217758012574758</v>
      </c>
      <c r="K127" s="0" t="n">
        <v>90.2</v>
      </c>
      <c r="L127" s="0" t="n">
        <v>34.12</v>
      </c>
      <c r="M127" s="11" t="s">
        <v>43</v>
      </c>
      <c r="N127" s="12" t="n">
        <f aca="false">INT(E127)</f>
        <v>45722</v>
      </c>
      <c r="O127" s="12" t="n">
        <f aca="false">IF(F127="","",INT(F127))</f>
        <v>45724</v>
      </c>
    </row>
    <row r="128" customFormat="false" ht="15" hidden="false" customHeight="false" outlineLevel="0" collapsed="false">
      <c r="A128" s="0" t="s">
        <v>295</v>
      </c>
      <c r="B128" s="0" t="s">
        <v>296</v>
      </c>
      <c r="C128" s="0" t="s">
        <v>23</v>
      </c>
      <c r="D128" s="0" t="s">
        <v>42</v>
      </c>
      <c r="E128" s="10" t="n">
        <v>45722.5805555556</v>
      </c>
      <c r="F128" s="10" t="n">
        <v>45723.9753935185</v>
      </c>
      <c r="G128" s="0" t="n">
        <v>261.01</v>
      </c>
      <c r="H128" s="0" t="n">
        <v>251.35</v>
      </c>
      <c r="I128" s="11" t="n">
        <f aca="false">H128-G128</f>
        <v>-9.66</v>
      </c>
      <c r="J128" s="5" t="n">
        <f aca="false">IF(G128=0,"",I128/G128)</f>
        <v>-0.0370100762422896</v>
      </c>
      <c r="K128" s="0" t="n">
        <v>78.7</v>
      </c>
      <c r="L128" s="0" t="n">
        <v>33.48</v>
      </c>
      <c r="M128" s="11" t="s">
        <v>43</v>
      </c>
      <c r="N128" s="12" t="n">
        <f aca="false">INT(E128)</f>
        <v>45722</v>
      </c>
      <c r="O128" s="12" t="n">
        <f aca="false">IF(F128="","",INT(F128))</f>
        <v>45723</v>
      </c>
    </row>
    <row r="129" customFormat="false" ht="15" hidden="false" customHeight="false" outlineLevel="0" collapsed="false">
      <c r="A129" s="0" t="s">
        <v>297</v>
      </c>
      <c r="B129" s="0" t="s">
        <v>298</v>
      </c>
      <c r="C129" s="0" t="s">
        <v>20</v>
      </c>
      <c r="D129" s="0" t="s">
        <v>42</v>
      </c>
      <c r="E129" s="10" t="n">
        <v>45722.5902777778</v>
      </c>
      <c r="F129" s="10" t="n">
        <v>45723.2284722222</v>
      </c>
      <c r="G129" s="0" t="n">
        <v>1278.04</v>
      </c>
      <c r="H129" s="0" t="n">
        <v>1274.91</v>
      </c>
      <c r="I129" s="11" t="n">
        <f aca="false">H129-G129</f>
        <v>-3.12999999999988</v>
      </c>
      <c r="J129" s="5" t="n">
        <f aca="false">IF(G129=0,"",I129/G129)</f>
        <v>-0.00244906262714773</v>
      </c>
      <c r="K129" s="0" t="n">
        <v>205.7</v>
      </c>
      <c r="L129" s="0" t="n">
        <v>15.32</v>
      </c>
      <c r="M129" s="11" t="s">
        <v>43</v>
      </c>
      <c r="N129" s="12" t="n">
        <f aca="false">INT(E129)</f>
        <v>45722</v>
      </c>
      <c r="O129" s="12" t="n">
        <f aca="false">IF(F129="","",INT(F129))</f>
        <v>45723</v>
      </c>
    </row>
    <row r="130" customFormat="false" ht="15" hidden="false" customHeight="false" outlineLevel="0" collapsed="false">
      <c r="A130" s="0" t="s">
        <v>299</v>
      </c>
      <c r="B130" s="0" t="s">
        <v>300</v>
      </c>
      <c r="C130" s="0" t="s">
        <v>21</v>
      </c>
      <c r="D130" s="0" t="s">
        <v>42</v>
      </c>
      <c r="E130" s="10" t="n">
        <v>45722.6104166667</v>
      </c>
      <c r="F130" s="10" t="n">
        <v>45724.2729166667</v>
      </c>
      <c r="G130" s="0" t="n">
        <v>1545.01</v>
      </c>
      <c r="H130" s="0" t="n">
        <v>1564.96</v>
      </c>
      <c r="I130" s="11" t="n">
        <f aca="false">H130-G130</f>
        <v>19.95</v>
      </c>
      <c r="J130" s="5" t="n">
        <f aca="false">IF(G130=0,"",I130/G130)</f>
        <v>0.012912537782927</v>
      </c>
      <c r="K130" s="0" t="n">
        <v>203.6</v>
      </c>
      <c r="L130" s="0" t="n">
        <v>33.35</v>
      </c>
      <c r="M130" s="11" t="s">
        <v>43</v>
      </c>
      <c r="N130" s="12" t="n">
        <f aca="false">INT(E130)</f>
        <v>45722</v>
      </c>
      <c r="O130" s="12" t="n">
        <f aca="false">IF(F130="","",INT(F130))</f>
        <v>45724</v>
      </c>
    </row>
    <row r="131" customFormat="false" ht="15" hidden="false" customHeight="false" outlineLevel="0" collapsed="false">
      <c r="A131" s="0" t="s">
        <v>301</v>
      </c>
      <c r="B131" s="0" t="s">
        <v>302</v>
      </c>
      <c r="C131" s="0" t="s">
        <v>24</v>
      </c>
      <c r="D131" s="0" t="s">
        <v>303</v>
      </c>
      <c r="E131" s="10" t="n">
        <v>45722.6354166667</v>
      </c>
      <c r="F131" s="10"/>
      <c r="G131" s="0" t="n">
        <v>1099.33</v>
      </c>
      <c r="H131" s="0" t="n">
        <v>1118.04</v>
      </c>
      <c r="I131" s="11" t="n">
        <f aca="false">H131-G131</f>
        <v>18.71</v>
      </c>
      <c r="J131" s="5" t="n">
        <f aca="false">IF(G131=0,"",I131/G131)</f>
        <v>0.0170194573058136</v>
      </c>
      <c r="K131" s="0" t="n">
        <v>428.1</v>
      </c>
      <c r="M131" s="11" t="s">
        <v>43</v>
      </c>
      <c r="N131" s="12" t="n">
        <f aca="false">INT(E131)</f>
        <v>45722</v>
      </c>
      <c r="O131" s="12" t="str">
        <f aca="false">IF(F131="","",INT(F131))</f>
        <v/>
      </c>
    </row>
    <row r="132" customFormat="false" ht="15" hidden="false" customHeight="false" outlineLevel="0" collapsed="false">
      <c r="A132" s="0" t="s">
        <v>304</v>
      </c>
      <c r="B132" s="0" t="s">
        <v>305</v>
      </c>
      <c r="C132" s="0" t="s">
        <v>21</v>
      </c>
      <c r="D132" s="0" t="s">
        <v>42</v>
      </c>
      <c r="E132" s="10" t="n">
        <v>45722.6368055556</v>
      </c>
      <c r="F132" s="10" t="n">
        <v>45724.1326388889</v>
      </c>
      <c r="G132" s="0" t="n">
        <v>799.7</v>
      </c>
      <c r="H132" s="0" t="n">
        <v>783.89</v>
      </c>
      <c r="I132" s="11" t="n">
        <f aca="false">H132-G132</f>
        <v>-15.8100000000001</v>
      </c>
      <c r="J132" s="5" t="n">
        <f aca="false">IF(G132=0,"",I132/G132)</f>
        <v>-0.0197699137176442</v>
      </c>
      <c r="K132" s="0" t="n">
        <v>127.6</v>
      </c>
      <c r="L132" s="0" t="n">
        <v>32.72</v>
      </c>
      <c r="M132" s="11" t="s">
        <v>43</v>
      </c>
      <c r="N132" s="12" t="n">
        <f aca="false">INT(E132)</f>
        <v>45722</v>
      </c>
      <c r="O132" s="12" t="n">
        <f aca="false">IF(F132="","",INT(F132))</f>
        <v>45724</v>
      </c>
    </row>
    <row r="133" customFormat="false" ht="15" hidden="false" customHeight="false" outlineLevel="0" collapsed="false">
      <c r="A133" s="0" t="s">
        <v>306</v>
      </c>
      <c r="B133" s="0" t="s">
        <v>307</v>
      </c>
      <c r="C133" s="0" t="s">
        <v>20</v>
      </c>
      <c r="D133" s="0" t="s">
        <v>48</v>
      </c>
      <c r="E133" s="10" t="n">
        <v>45722.6486111111</v>
      </c>
      <c r="F133" s="10"/>
      <c r="G133" s="0" t="n">
        <v>390.76</v>
      </c>
      <c r="H133" s="0" t="n">
        <v>377.66</v>
      </c>
      <c r="I133" s="11" t="n">
        <f aca="false">H133-G133</f>
        <v>-13.1</v>
      </c>
      <c r="J133" s="5" t="n">
        <f aca="false">IF(G133=0,"",I133/G133)</f>
        <v>-0.0335244139625345</v>
      </c>
      <c r="K133" s="0" t="n">
        <v>41.3</v>
      </c>
      <c r="M133" s="11" t="s">
        <v>43</v>
      </c>
      <c r="N133" s="12" t="n">
        <f aca="false">INT(E133)</f>
        <v>45722</v>
      </c>
      <c r="O133" s="12" t="str">
        <f aca="false">IF(F133="","",INT(F133))</f>
        <v/>
      </c>
    </row>
    <row r="134" customFormat="false" ht="15" hidden="false" customHeight="false" outlineLevel="0" collapsed="false">
      <c r="A134" s="0" t="s">
        <v>308</v>
      </c>
      <c r="B134" s="0" t="s">
        <v>309</v>
      </c>
      <c r="C134" s="0" t="s">
        <v>20</v>
      </c>
      <c r="D134" s="0" t="s">
        <v>42</v>
      </c>
      <c r="E134" s="10" t="n">
        <v>45722.6597222222</v>
      </c>
      <c r="F134" s="10" t="n">
        <v>45723.547962963</v>
      </c>
      <c r="G134" s="0" t="n">
        <v>281.73</v>
      </c>
      <c r="H134" s="0" t="n">
        <v>282.17</v>
      </c>
      <c r="I134" s="11" t="n">
        <f aca="false">H134-G134</f>
        <v>0.439999999999998</v>
      </c>
      <c r="J134" s="5" t="n">
        <f aca="false">IF(G134=0,"",I134/G134)</f>
        <v>0.00156177900827032</v>
      </c>
      <c r="K134" s="0" t="n">
        <v>51.7</v>
      </c>
      <c r="L134" s="0" t="n">
        <v>21.32</v>
      </c>
      <c r="M134" s="11" t="s">
        <v>43</v>
      </c>
      <c r="N134" s="12" t="n">
        <f aca="false">INT(E134)</f>
        <v>45722</v>
      </c>
      <c r="O134" s="12" t="n">
        <f aca="false">IF(F134="","",INT(F134))</f>
        <v>45723</v>
      </c>
    </row>
    <row r="135" customFormat="false" ht="15" hidden="false" customHeight="false" outlineLevel="0" collapsed="false">
      <c r="A135" s="0" t="s">
        <v>310</v>
      </c>
      <c r="B135" s="0" t="s">
        <v>311</v>
      </c>
      <c r="C135" s="0" t="s">
        <v>21</v>
      </c>
      <c r="D135" s="0" t="s">
        <v>42</v>
      </c>
      <c r="E135" s="10" t="n">
        <v>45722.6777777778</v>
      </c>
      <c r="F135" s="10" t="n">
        <v>45723.0097222222</v>
      </c>
      <c r="G135" s="0" t="n">
        <v>1501.86</v>
      </c>
      <c r="H135" s="0" t="n">
        <v>1557.29</v>
      </c>
      <c r="I135" s="11" t="n">
        <f aca="false">H135-G135</f>
        <v>55.4300000000001</v>
      </c>
      <c r="J135" s="5" t="n">
        <f aca="false">IF(G135=0,"",I135/G135)</f>
        <v>0.0369075679490765</v>
      </c>
      <c r="K135" s="0" t="n">
        <v>246.7</v>
      </c>
      <c r="L135" s="0" t="n">
        <v>7.97</v>
      </c>
      <c r="M135" s="11" t="s">
        <v>43</v>
      </c>
      <c r="N135" s="12" t="n">
        <f aca="false">INT(E135)</f>
        <v>45722</v>
      </c>
      <c r="O135" s="12" t="n">
        <f aca="false">IF(F135="","",INT(F135))</f>
        <v>45723</v>
      </c>
    </row>
    <row r="136" customFormat="false" ht="15" hidden="false" customHeight="false" outlineLevel="0" collapsed="false">
      <c r="A136" s="0" t="s">
        <v>312</v>
      </c>
      <c r="B136" s="0" t="s">
        <v>313</v>
      </c>
      <c r="C136" s="0" t="s">
        <v>23</v>
      </c>
      <c r="D136" s="0" t="s">
        <v>42</v>
      </c>
      <c r="E136" s="10" t="n">
        <v>45722.6930555556</v>
      </c>
      <c r="F136" s="10" t="n">
        <v>45724.5875115741</v>
      </c>
      <c r="G136" s="0" t="n">
        <v>1122.76</v>
      </c>
      <c r="H136" s="0" t="n">
        <v>1138.33</v>
      </c>
      <c r="I136" s="11" t="n">
        <f aca="false">H136-G136</f>
        <v>15.5699999999999</v>
      </c>
      <c r="J136" s="5" t="n">
        <f aca="false">IF(G136=0,"",I136/G136)</f>
        <v>0.0138676119562506</v>
      </c>
      <c r="K136" s="0" t="n">
        <v>342.1</v>
      </c>
      <c r="L136" s="0" t="n">
        <v>31.37</v>
      </c>
      <c r="M136" s="11" t="s">
        <v>43</v>
      </c>
      <c r="N136" s="12" t="n">
        <f aca="false">INT(E136)</f>
        <v>45722</v>
      </c>
      <c r="O136" s="12" t="n">
        <f aca="false">IF(F136="","",INT(F136))</f>
        <v>45724</v>
      </c>
    </row>
    <row r="137" customFormat="false" ht="15" hidden="false" customHeight="false" outlineLevel="0" collapsed="false">
      <c r="A137" s="0" t="s">
        <v>314</v>
      </c>
      <c r="B137" s="0" t="s">
        <v>315</v>
      </c>
      <c r="C137" s="0" t="s">
        <v>21</v>
      </c>
      <c r="D137" s="0" t="s">
        <v>42</v>
      </c>
      <c r="E137" s="10" t="n">
        <v>45722.6965277778</v>
      </c>
      <c r="F137" s="10" t="n">
        <v>45724.5664930556</v>
      </c>
      <c r="G137" s="0" t="n">
        <v>126.03</v>
      </c>
      <c r="H137" s="0" t="n">
        <v>125.51</v>
      </c>
      <c r="I137" s="11" t="n">
        <f aca="false">H137-G137</f>
        <v>-0.519999999999996</v>
      </c>
      <c r="J137" s="5" t="n">
        <f aca="false">IF(G137=0,"",I137/G137)</f>
        <v>-0.00412600174561609</v>
      </c>
      <c r="K137" s="0" t="n">
        <v>32</v>
      </c>
      <c r="L137" s="0" t="n">
        <v>31.28</v>
      </c>
      <c r="M137" s="11" t="s">
        <v>43</v>
      </c>
      <c r="N137" s="12" t="n">
        <f aca="false">INT(E137)</f>
        <v>45722</v>
      </c>
      <c r="O137" s="12" t="n">
        <f aca="false">IF(F137="","",INT(F137))</f>
        <v>45724</v>
      </c>
    </row>
    <row r="138" customFormat="false" ht="15" hidden="false" customHeight="false" outlineLevel="0" collapsed="false">
      <c r="A138" s="0" t="s">
        <v>316</v>
      </c>
      <c r="B138" s="0" t="s">
        <v>317</v>
      </c>
      <c r="C138" s="0" t="s">
        <v>23</v>
      </c>
      <c r="D138" s="0" t="s">
        <v>42</v>
      </c>
      <c r="E138" s="10" t="n">
        <v>45722.7055555556</v>
      </c>
      <c r="F138" s="10" t="n">
        <v>45723.6553356482</v>
      </c>
      <c r="G138" s="0" t="n">
        <v>256.96</v>
      </c>
      <c r="H138" s="0" t="n">
        <v>258.47</v>
      </c>
      <c r="I138" s="11" t="n">
        <f aca="false">H138-G138</f>
        <v>1.51000000000005</v>
      </c>
      <c r="J138" s="5" t="n">
        <f aca="false">IF(G138=0,"",I138/G138)</f>
        <v>0.0058764009962642</v>
      </c>
      <c r="K138" s="0" t="n">
        <v>87.8</v>
      </c>
      <c r="L138" s="0" t="n">
        <v>22.79</v>
      </c>
      <c r="M138" s="11" t="s">
        <v>43</v>
      </c>
      <c r="N138" s="12" t="n">
        <f aca="false">INT(E138)</f>
        <v>45722</v>
      </c>
      <c r="O138" s="12" t="n">
        <f aca="false">IF(F138="","",INT(F138))</f>
        <v>45723</v>
      </c>
    </row>
    <row r="139" customFormat="false" ht="15" hidden="false" customHeight="false" outlineLevel="0" collapsed="false">
      <c r="A139" s="0" t="s">
        <v>318</v>
      </c>
      <c r="B139" s="0" t="s">
        <v>319</v>
      </c>
      <c r="C139" s="0" t="s">
        <v>20</v>
      </c>
      <c r="D139" s="0" t="s">
        <v>42</v>
      </c>
      <c r="E139" s="10" t="n">
        <v>45722.7458333333</v>
      </c>
      <c r="F139" s="10" t="n">
        <v>45724.1604166667</v>
      </c>
      <c r="G139" s="0" t="n">
        <v>462.54</v>
      </c>
      <c r="H139" s="0" t="n">
        <v>474.8</v>
      </c>
      <c r="I139" s="11" t="n">
        <f aca="false">H139-G139</f>
        <v>12.26</v>
      </c>
      <c r="J139" s="5" t="n">
        <f aca="false">IF(G139=0,"",I139/G139)</f>
        <v>0.0265058157132356</v>
      </c>
      <c r="K139" s="0" t="n">
        <v>83.4</v>
      </c>
      <c r="L139" s="0" t="n">
        <v>30.1</v>
      </c>
      <c r="M139" s="11" t="s">
        <v>43</v>
      </c>
      <c r="N139" s="12" t="n">
        <f aca="false">INT(E139)</f>
        <v>45722</v>
      </c>
      <c r="O139" s="12" t="n">
        <f aca="false">IF(F139="","",INT(F139))</f>
        <v>45724</v>
      </c>
    </row>
    <row r="140" customFormat="false" ht="15" hidden="false" customHeight="false" outlineLevel="0" collapsed="false">
      <c r="A140" s="0" t="s">
        <v>320</v>
      </c>
      <c r="B140" s="0" t="s">
        <v>321</v>
      </c>
      <c r="C140" s="0" t="s">
        <v>20</v>
      </c>
      <c r="D140" s="0" t="s">
        <v>42</v>
      </c>
      <c r="E140" s="10" t="n">
        <v>45722.7611111111</v>
      </c>
      <c r="F140" s="10" t="n">
        <v>45723.5048611111</v>
      </c>
      <c r="G140" s="0" t="n">
        <v>213.63</v>
      </c>
      <c r="H140" s="0" t="n">
        <v>213.67</v>
      </c>
      <c r="I140" s="11" t="n">
        <f aca="false">H140-G140</f>
        <v>0.039999999999992</v>
      </c>
      <c r="J140" s="5" t="n">
        <f aca="false">IF(G140=0,"",I140/G140)</f>
        <v>0.000187239619903534</v>
      </c>
      <c r="K140" s="0" t="n">
        <v>42.7</v>
      </c>
      <c r="L140" s="0" t="n">
        <v>17.85</v>
      </c>
      <c r="M140" s="11" t="s">
        <v>43</v>
      </c>
      <c r="N140" s="12" t="n">
        <f aca="false">INT(E140)</f>
        <v>45722</v>
      </c>
      <c r="O140" s="12" t="n">
        <f aca="false">IF(F140="","",INT(F140))</f>
        <v>45723</v>
      </c>
    </row>
    <row r="141" customFormat="false" ht="15" hidden="false" customHeight="false" outlineLevel="0" collapsed="false">
      <c r="A141" s="0" t="s">
        <v>322</v>
      </c>
      <c r="B141" s="0" t="s">
        <v>323</v>
      </c>
      <c r="C141" s="0" t="s">
        <v>22</v>
      </c>
      <c r="D141" s="0" t="s">
        <v>42</v>
      </c>
      <c r="E141" s="10" t="n">
        <v>45722.7791666667</v>
      </c>
      <c r="F141" s="10" t="n">
        <v>45722.9916666667</v>
      </c>
      <c r="G141" s="0" t="n">
        <v>422.14</v>
      </c>
      <c r="H141" s="0" t="n">
        <v>431.84</v>
      </c>
      <c r="I141" s="11" t="n">
        <f aca="false">H141-G141</f>
        <v>9.69999999999999</v>
      </c>
      <c r="J141" s="5" t="n">
        <f aca="false">IF(G141=0,"",I141/G141)</f>
        <v>0.0229781589046288</v>
      </c>
      <c r="K141" s="0" t="n">
        <v>39.7</v>
      </c>
      <c r="L141" s="0" t="n">
        <v>5.1</v>
      </c>
      <c r="M141" s="11" t="s">
        <v>43</v>
      </c>
      <c r="N141" s="12" t="n">
        <f aca="false">INT(E141)</f>
        <v>45722</v>
      </c>
      <c r="O141" s="12" t="n">
        <f aca="false">IF(F141="","",INT(F141))</f>
        <v>45722</v>
      </c>
    </row>
    <row r="142" customFormat="false" ht="15" hidden="false" customHeight="false" outlineLevel="0" collapsed="false">
      <c r="A142" s="0" t="s">
        <v>324</v>
      </c>
      <c r="B142" s="0" t="s">
        <v>325</v>
      </c>
      <c r="C142" s="0" t="s">
        <v>23</v>
      </c>
      <c r="D142" s="0" t="s">
        <v>42</v>
      </c>
      <c r="E142" s="10" t="n">
        <v>45722.7909722222</v>
      </c>
      <c r="F142" s="10" t="n">
        <v>45723.3138888889</v>
      </c>
      <c r="G142" s="0" t="n">
        <v>238.6</v>
      </c>
      <c r="H142" s="0" t="n">
        <v>241.84</v>
      </c>
      <c r="I142" s="11" t="n">
        <f aca="false">H142-G142</f>
        <v>3.24000000000001</v>
      </c>
      <c r="J142" s="5" t="n">
        <f aca="false">IF(G142=0,"",I142/G142)</f>
        <v>0.0135792120704108</v>
      </c>
      <c r="K142" s="0" t="n">
        <v>78.9</v>
      </c>
      <c r="L142" s="0" t="n">
        <v>12.55</v>
      </c>
      <c r="M142" s="11" t="s">
        <v>43</v>
      </c>
      <c r="N142" s="12" t="n">
        <f aca="false">INT(E142)</f>
        <v>45722</v>
      </c>
      <c r="O142" s="12" t="n">
        <f aca="false">IF(F142="","",INT(F142))</f>
        <v>45723</v>
      </c>
    </row>
    <row r="143" customFormat="false" ht="15" hidden="false" customHeight="false" outlineLevel="0" collapsed="false">
      <c r="A143" s="0" t="s">
        <v>326</v>
      </c>
      <c r="B143" s="0" t="s">
        <v>327</v>
      </c>
      <c r="C143" s="0" t="s">
        <v>23</v>
      </c>
      <c r="D143" s="0" t="s">
        <v>42</v>
      </c>
      <c r="E143" s="10" t="n">
        <v>45723.2986111111</v>
      </c>
      <c r="F143" s="10" t="n">
        <v>45725.5513888889</v>
      </c>
      <c r="G143" s="0" t="n">
        <v>405.97</v>
      </c>
      <c r="H143" s="0" t="n">
        <v>419.25</v>
      </c>
      <c r="I143" s="11" t="n">
        <f aca="false">H143-G143</f>
        <v>13.28</v>
      </c>
      <c r="J143" s="5" t="n">
        <f aca="false">IF(G143=0,"",I143/G143)</f>
        <v>0.0327117767322708</v>
      </c>
      <c r="K143" s="0" t="n">
        <v>80.5</v>
      </c>
      <c r="L143" s="0" t="n">
        <v>16.83</v>
      </c>
      <c r="M143" s="11" t="s">
        <v>43</v>
      </c>
      <c r="N143" s="12" t="n">
        <f aca="false">INT(E143)</f>
        <v>45723</v>
      </c>
      <c r="O143" s="12" t="n">
        <f aca="false">IF(F143="","",INT(F143))</f>
        <v>45725</v>
      </c>
    </row>
    <row r="144" customFormat="false" ht="15" hidden="false" customHeight="false" outlineLevel="0" collapsed="false">
      <c r="A144" s="0" t="s">
        <v>328</v>
      </c>
      <c r="B144" s="0" t="s">
        <v>329</v>
      </c>
      <c r="C144" s="0" t="s">
        <v>19</v>
      </c>
      <c r="D144" s="0" t="s">
        <v>42</v>
      </c>
      <c r="E144" s="10" t="n">
        <v>45723.3006944444</v>
      </c>
      <c r="F144" s="10" t="n">
        <v>45723.7977662037</v>
      </c>
      <c r="G144" s="0" t="n">
        <v>404.44</v>
      </c>
      <c r="H144" s="0" t="n">
        <v>407.27</v>
      </c>
      <c r="I144" s="11" t="n">
        <f aca="false">H144-G144</f>
        <v>2.82999999999998</v>
      </c>
      <c r="J144" s="5" t="n">
        <f aca="false">IF(G144=0,"",I144/G144)</f>
        <v>0.00699732964098503</v>
      </c>
      <c r="K144" s="0" t="n">
        <v>54.7</v>
      </c>
      <c r="L144" s="0" t="n">
        <v>11.93</v>
      </c>
      <c r="M144" s="11" t="s">
        <v>43</v>
      </c>
      <c r="N144" s="12" t="n">
        <f aca="false">INT(E144)</f>
        <v>45723</v>
      </c>
      <c r="O144" s="12" t="n">
        <f aca="false">IF(F144="","",INT(F144))</f>
        <v>45723</v>
      </c>
    </row>
    <row r="145" customFormat="false" ht="15" hidden="false" customHeight="false" outlineLevel="0" collapsed="false">
      <c r="A145" s="0" t="s">
        <v>330</v>
      </c>
      <c r="B145" s="0" t="s">
        <v>331</v>
      </c>
      <c r="C145" s="0" t="s">
        <v>19</v>
      </c>
      <c r="D145" s="0" t="s">
        <v>42</v>
      </c>
      <c r="E145" s="10" t="n">
        <v>45723.3069444444</v>
      </c>
      <c r="F145" s="10" t="n">
        <v>45725.5020833333</v>
      </c>
      <c r="G145" s="0" t="n">
        <v>389.71</v>
      </c>
      <c r="H145" s="0" t="n">
        <v>386.83</v>
      </c>
      <c r="I145" s="11" t="n">
        <f aca="false">H145-G145</f>
        <v>-2.88</v>
      </c>
      <c r="J145" s="5" t="n">
        <f aca="false">IF(G145=0,"",I145/G145)</f>
        <v>-0.00739011059505785</v>
      </c>
      <c r="K145" s="0" t="n">
        <v>53.4</v>
      </c>
      <c r="L145" s="0" t="n">
        <v>16.63</v>
      </c>
      <c r="M145" s="11" t="s">
        <v>43</v>
      </c>
      <c r="N145" s="12" t="n">
        <f aca="false">INT(E145)</f>
        <v>45723</v>
      </c>
      <c r="O145" s="12" t="n">
        <f aca="false">IF(F145="","",INT(F145))</f>
        <v>45725</v>
      </c>
    </row>
    <row r="146" customFormat="false" ht="15" hidden="false" customHeight="false" outlineLevel="0" collapsed="false">
      <c r="A146" s="0" t="s">
        <v>332</v>
      </c>
      <c r="B146" s="0" t="s">
        <v>333</v>
      </c>
      <c r="C146" s="0" t="s">
        <v>23</v>
      </c>
      <c r="D146" s="0" t="s">
        <v>42</v>
      </c>
      <c r="E146" s="10" t="n">
        <v>45723.3104166667</v>
      </c>
      <c r="F146" s="10" t="n">
        <v>45724.53125</v>
      </c>
      <c r="G146" s="0" t="n">
        <v>667.22</v>
      </c>
      <c r="H146" s="0" t="n">
        <v>669.29</v>
      </c>
      <c r="I146" s="11" t="n">
        <f aca="false">H146-G146</f>
        <v>2.06999999999994</v>
      </c>
      <c r="J146" s="5" t="n">
        <f aca="false">IF(G146=0,"",I146/G146)</f>
        <v>0.00310242498726048</v>
      </c>
      <c r="K146" s="0" t="n">
        <v>132.5</v>
      </c>
      <c r="L146" s="0" t="n">
        <v>16.55</v>
      </c>
      <c r="M146" s="11" t="s">
        <v>43</v>
      </c>
      <c r="N146" s="12" t="n">
        <f aca="false">INT(E146)</f>
        <v>45723</v>
      </c>
      <c r="O146" s="12" t="n">
        <f aca="false">IF(F146="","",INT(F146))</f>
        <v>45724</v>
      </c>
    </row>
    <row r="147" customFormat="false" ht="15" hidden="false" customHeight="false" outlineLevel="0" collapsed="false">
      <c r="A147" s="0" t="s">
        <v>334</v>
      </c>
      <c r="B147" s="0" t="s">
        <v>335</v>
      </c>
      <c r="C147" s="0" t="s">
        <v>19</v>
      </c>
      <c r="D147" s="0" t="s">
        <v>42</v>
      </c>
      <c r="E147" s="10" t="n">
        <v>45723.3916666667</v>
      </c>
      <c r="F147" s="10" t="n">
        <v>45723.8426273148</v>
      </c>
      <c r="G147" s="0" t="n">
        <v>535.05</v>
      </c>
      <c r="H147" s="0" t="n">
        <v>529.9</v>
      </c>
      <c r="I147" s="11" t="n">
        <f aca="false">H147-G147</f>
        <v>-5.14999999999998</v>
      </c>
      <c r="J147" s="5" t="n">
        <f aca="false">IF(G147=0,"",I147/G147)</f>
        <v>-0.00962526866647973</v>
      </c>
      <c r="K147" s="0" t="n">
        <v>84.4</v>
      </c>
      <c r="L147" s="0" t="n">
        <v>10.82</v>
      </c>
      <c r="M147" s="11" t="s">
        <v>43</v>
      </c>
      <c r="N147" s="12" t="n">
        <f aca="false">INT(E147)</f>
        <v>45723</v>
      </c>
      <c r="O147" s="12" t="n">
        <f aca="false">IF(F147="","",INT(F147))</f>
        <v>45723</v>
      </c>
    </row>
    <row r="148" customFormat="false" ht="15" hidden="false" customHeight="false" outlineLevel="0" collapsed="false">
      <c r="A148" s="0" t="s">
        <v>336</v>
      </c>
      <c r="B148" s="0" t="s">
        <v>337</v>
      </c>
      <c r="C148" s="0" t="s">
        <v>21</v>
      </c>
      <c r="D148" s="0" t="s">
        <v>42</v>
      </c>
      <c r="E148" s="10" t="n">
        <v>45723.39375</v>
      </c>
      <c r="F148" s="10" t="n">
        <v>45723.9319444444</v>
      </c>
      <c r="G148" s="0" t="n">
        <v>209.86</v>
      </c>
      <c r="H148" s="0" t="n">
        <v>207.79</v>
      </c>
      <c r="I148" s="11" t="n">
        <f aca="false">H148-G148</f>
        <v>-2.07000000000002</v>
      </c>
      <c r="J148" s="5" t="n">
        <f aca="false">IF(G148=0,"",I148/G148)</f>
        <v>-0.00986371866958935</v>
      </c>
      <c r="K148" s="0" t="n">
        <v>25.2</v>
      </c>
      <c r="L148" s="0" t="n">
        <v>12.92</v>
      </c>
      <c r="M148" s="11" t="s">
        <v>43</v>
      </c>
      <c r="N148" s="12" t="n">
        <f aca="false">INT(E148)</f>
        <v>45723</v>
      </c>
      <c r="O148" s="12" t="n">
        <f aca="false">IF(F148="","",INT(F148))</f>
        <v>45723</v>
      </c>
    </row>
    <row r="149" customFormat="false" ht="15" hidden="false" customHeight="false" outlineLevel="0" collapsed="false">
      <c r="A149" s="0" t="s">
        <v>338</v>
      </c>
      <c r="B149" s="0" t="s">
        <v>339</v>
      </c>
      <c r="C149" s="0" t="s">
        <v>20</v>
      </c>
      <c r="D149" s="0" t="s">
        <v>42</v>
      </c>
      <c r="E149" s="10" t="n">
        <v>45723.39375</v>
      </c>
      <c r="F149" s="10" t="n">
        <v>45723.826412037</v>
      </c>
      <c r="G149" s="0" t="n">
        <v>918.06</v>
      </c>
      <c r="H149" s="0" t="n">
        <v>933.55</v>
      </c>
      <c r="I149" s="11" t="n">
        <f aca="false">H149-G149</f>
        <v>15.49</v>
      </c>
      <c r="J149" s="5" t="n">
        <f aca="false">IF(G149=0,"",I149/G149)</f>
        <v>0.0168725355641244</v>
      </c>
      <c r="K149" s="0" t="n">
        <v>156.1</v>
      </c>
      <c r="L149" s="0" t="n">
        <v>10.38</v>
      </c>
      <c r="M149" s="11" t="s">
        <v>43</v>
      </c>
      <c r="N149" s="12" t="n">
        <f aca="false">INT(E149)</f>
        <v>45723</v>
      </c>
      <c r="O149" s="12" t="n">
        <f aca="false">IF(F149="","",INT(F149))</f>
        <v>45723</v>
      </c>
    </row>
    <row r="150" customFormat="false" ht="15" hidden="false" customHeight="false" outlineLevel="0" collapsed="false">
      <c r="A150" s="0" t="s">
        <v>340</v>
      </c>
      <c r="B150" s="0" t="s">
        <v>341</v>
      </c>
      <c r="C150" s="0" t="s">
        <v>24</v>
      </c>
      <c r="D150" s="0" t="s">
        <v>42</v>
      </c>
      <c r="E150" s="10" t="n">
        <v>45723.4097222222</v>
      </c>
      <c r="F150" s="10" t="n">
        <v>45724.0972222222</v>
      </c>
      <c r="G150" s="0" t="n">
        <v>196.82</v>
      </c>
      <c r="H150" s="0" t="n">
        <v>201.19</v>
      </c>
      <c r="I150" s="11" t="n">
        <f aca="false">H150-G150</f>
        <v>4.37</v>
      </c>
      <c r="J150" s="5" t="n">
        <f aca="false">IF(G150=0,"",I150/G150)</f>
        <v>0.022203028147546</v>
      </c>
      <c r="K150" s="0" t="n">
        <v>82.1</v>
      </c>
      <c r="L150" s="0" t="n">
        <v>14.17</v>
      </c>
      <c r="M150" s="11" t="s">
        <v>43</v>
      </c>
      <c r="N150" s="12" t="n">
        <f aca="false">INT(E150)</f>
        <v>45723</v>
      </c>
      <c r="O150" s="12" t="n">
        <f aca="false">IF(F150="","",INT(F150))</f>
        <v>45724</v>
      </c>
    </row>
    <row r="151" customFormat="false" ht="15" hidden="false" customHeight="false" outlineLevel="0" collapsed="false">
      <c r="A151" s="0" t="s">
        <v>342</v>
      </c>
      <c r="B151" s="0" t="s">
        <v>343</v>
      </c>
      <c r="C151" s="0" t="s">
        <v>23</v>
      </c>
      <c r="D151" s="0" t="s">
        <v>42</v>
      </c>
      <c r="E151" s="10" t="n">
        <v>45723.4111111111</v>
      </c>
      <c r="F151" s="10" t="n">
        <v>45728.0555555556</v>
      </c>
      <c r="G151" s="0" t="n">
        <v>314.92</v>
      </c>
      <c r="H151" s="0" t="n">
        <v>305.45</v>
      </c>
      <c r="I151" s="11" t="n">
        <f aca="false">H151-G151</f>
        <v>-9.47000000000003</v>
      </c>
      <c r="J151" s="5" t="n">
        <f aca="false">IF(G151=0,"",I151/G151)</f>
        <v>-0.0300711291756637</v>
      </c>
      <c r="K151" s="0" t="n">
        <v>123.3</v>
      </c>
      <c r="L151" s="0" t="n">
        <v>63.47</v>
      </c>
      <c r="M151" s="11" t="s">
        <v>43</v>
      </c>
      <c r="N151" s="12" t="n">
        <f aca="false">INT(E151)</f>
        <v>45723</v>
      </c>
      <c r="O151" s="12" t="n">
        <f aca="false">IF(F151="","",INT(F151))</f>
        <v>45728</v>
      </c>
    </row>
    <row r="152" customFormat="false" ht="15" hidden="false" customHeight="false" outlineLevel="0" collapsed="false">
      <c r="A152" s="0" t="s">
        <v>344</v>
      </c>
      <c r="B152" s="0" t="s">
        <v>345</v>
      </c>
      <c r="C152" s="0" t="s">
        <v>20</v>
      </c>
      <c r="D152" s="0" t="s">
        <v>42</v>
      </c>
      <c r="E152" s="10" t="n">
        <v>45723.425</v>
      </c>
      <c r="F152" s="10" t="n">
        <v>45724.8486111111</v>
      </c>
      <c r="G152" s="0" t="n">
        <v>341.54</v>
      </c>
      <c r="H152" s="0" t="n">
        <v>348.47</v>
      </c>
      <c r="I152" s="11" t="n">
        <f aca="false">H152-G152</f>
        <v>6.93000000000001</v>
      </c>
      <c r="J152" s="5" t="n">
        <f aca="false">IF(G152=0,"",I152/G152)</f>
        <v>0.020290449142121</v>
      </c>
      <c r="K152" s="0" t="n">
        <v>35.1</v>
      </c>
      <c r="L152" s="0" t="n">
        <v>13.8</v>
      </c>
      <c r="M152" s="11" t="s">
        <v>43</v>
      </c>
      <c r="N152" s="12" t="n">
        <f aca="false">INT(E152)</f>
        <v>45723</v>
      </c>
      <c r="O152" s="12" t="n">
        <f aca="false">IF(F152="","",INT(F152))</f>
        <v>45724</v>
      </c>
    </row>
    <row r="153" customFormat="false" ht="15" hidden="false" customHeight="false" outlineLevel="0" collapsed="false">
      <c r="A153" s="0" t="s">
        <v>346</v>
      </c>
      <c r="B153" s="0" t="s">
        <v>347</v>
      </c>
      <c r="C153" s="0" t="s">
        <v>23</v>
      </c>
      <c r="D153" s="0" t="s">
        <v>42</v>
      </c>
      <c r="E153" s="10" t="n">
        <v>45723.4395833333</v>
      </c>
      <c r="F153" s="10" t="n">
        <v>45724.5265625</v>
      </c>
      <c r="G153" s="0" t="n">
        <v>522.78</v>
      </c>
      <c r="H153" s="0" t="n">
        <v>511.1</v>
      </c>
      <c r="I153" s="11" t="n">
        <f aca="false">H153-G153</f>
        <v>-11.68</v>
      </c>
      <c r="J153" s="5" t="n">
        <f aca="false">IF(G153=0,"",I153/G153)</f>
        <v>-0.02234209418876</v>
      </c>
      <c r="K153" s="0" t="n">
        <v>213.7</v>
      </c>
      <c r="L153" s="0" t="n">
        <v>13.45</v>
      </c>
      <c r="M153" s="11" t="s">
        <v>43</v>
      </c>
      <c r="N153" s="12" t="n">
        <f aca="false">INT(E153)</f>
        <v>45723</v>
      </c>
      <c r="O153" s="12" t="n">
        <f aca="false">IF(F153="","",INT(F153))</f>
        <v>45724</v>
      </c>
    </row>
    <row r="154" customFormat="false" ht="15" hidden="false" customHeight="false" outlineLevel="0" collapsed="false">
      <c r="A154" s="0" t="s">
        <v>348</v>
      </c>
      <c r="B154" s="0" t="s">
        <v>349</v>
      </c>
      <c r="C154" s="0" t="s">
        <v>22</v>
      </c>
      <c r="D154" s="0" t="s">
        <v>42</v>
      </c>
      <c r="E154" s="10" t="n">
        <v>45723.4645833333</v>
      </c>
      <c r="F154" s="10" t="n">
        <v>45724.1798611111</v>
      </c>
      <c r="G154" s="0" t="n">
        <v>464.02</v>
      </c>
      <c r="H154" s="0" t="n">
        <v>468.26</v>
      </c>
      <c r="I154" s="11" t="n">
        <f aca="false">H154-G154</f>
        <v>4.24000000000001</v>
      </c>
      <c r="J154" s="5" t="n">
        <f aca="false">IF(G154=0,"",I154/G154)</f>
        <v>0.00913753717512178</v>
      </c>
      <c r="K154" s="0" t="n">
        <v>70.6</v>
      </c>
      <c r="L154" s="0" t="n">
        <v>12.85</v>
      </c>
      <c r="M154" s="11" t="s">
        <v>43</v>
      </c>
      <c r="N154" s="12" t="n">
        <f aca="false">INT(E154)</f>
        <v>45723</v>
      </c>
      <c r="O154" s="12" t="n">
        <f aca="false">IF(F154="","",INT(F154))</f>
        <v>45724</v>
      </c>
    </row>
    <row r="155" customFormat="false" ht="15" hidden="false" customHeight="false" outlineLevel="0" collapsed="false">
      <c r="A155" s="0" t="s">
        <v>350</v>
      </c>
      <c r="B155" s="0" t="s">
        <v>351</v>
      </c>
      <c r="C155" s="0" t="s">
        <v>24</v>
      </c>
      <c r="D155" s="0" t="s">
        <v>42</v>
      </c>
      <c r="E155" s="10" t="n">
        <v>45723.4701388889</v>
      </c>
      <c r="F155" s="10" t="n">
        <v>45724.8409722222</v>
      </c>
      <c r="G155" s="0" t="n">
        <v>278.46</v>
      </c>
      <c r="H155" s="0" t="n">
        <v>283.93</v>
      </c>
      <c r="I155" s="11" t="n">
        <f aca="false">H155-G155</f>
        <v>5.47000000000003</v>
      </c>
      <c r="J155" s="5" t="n">
        <f aca="false">IF(G155=0,"",I155/G155)</f>
        <v>0.0196437549378727</v>
      </c>
      <c r="K155" s="0" t="n">
        <v>74.4</v>
      </c>
      <c r="L155" s="0" t="n">
        <v>12.72</v>
      </c>
      <c r="M155" s="11" t="s">
        <v>43</v>
      </c>
      <c r="N155" s="12" t="n">
        <f aca="false">INT(E155)</f>
        <v>45723</v>
      </c>
      <c r="O155" s="12" t="n">
        <f aca="false">IF(F155="","",INT(F155))</f>
        <v>45724</v>
      </c>
    </row>
    <row r="156" customFormat="false" ht="15" hidden="false" customHeight="false" outlineLevel="0" collapsed="false">
      <c r="A156" s="0" t="s">
        <v>352</v>
      </c>
      <c r="B156" s="0" t="s">
        <v>353</v>
      </c>
      <c r="C156" s="0" t="s">
        <v>23</v>
      </c>
      <c r="D156" s="0" t="s">
        <v>42</v>
      </c>
      <c r="E156" s="10" t="n">
        <v>45723.5180555556</v>
      </c>
      <c r="F156" s="10" t="n">
        <v>45724.5222222222</v>
      </c>
      <c r="G156" s="0" t="n">
        <v>209.6</v>
      </c>
      <c r="H156" s="0" t="n">
        <v>204.85</v>
      </c>
      <c r="I156" s="11" t="n">
        <f aca="false">H156-G156</f>
        <v>-4.75</v>
      </c>
      <c r="J156" s="5" t="n">
        <f aca="false">IF(G156=0,"",I156/G156)</f>
        <v>-0.022662213740458</v>
      </c>
      <c r="K156" s="0" t="n">
        <v>45.3</v>
      </c>
      <c r="L156" s="0" t="n">
        <v>11.57</v>
      </c>
      <c r="M156" s="11" t="s">
        <v>43</v>
      </c>
      <c r="N156" s="12" t="n">
        <f aca="false">INT(E156)</f>
        <v>45723</v>
      </c>
      <c r="O156" s="12" t="n">
        <f aca="false">IF(F156="","",INT(F156))</f>
        <v>45724</v>
      </c>
    </row>
    <row r="157" customFormat="false" ht="15" hidden="false" customHeight="false" outlineLevel="0" collapsed="false">
      <c r="A157" s="0" t="s">
        <v>354</v>
      </c>
      <c r="B157" s="0" t="s">
        <v>355</v>
      </c>
      <c r="C157" s="0" t="s">
        <v>19</v>
      </c>
      <c r="D157" s="0" t="s">
        <v>42</v>
      </c>
      <c r="E157" s="10" t="n">
        <v>45723.5465277778</v>
      </c>
      <c r="F157" s="10" t="n">
        <v>45723.9201388889</v>
      </c>
      <c r="G157" s="0" t="n">
        <v>63.21</v>
      </c>
      <c r="H157" s="0" t="n">
        <v>64.19</v>
      </c>
      <c r="I157" s="11" t="n">
        <f aca="false">H157-G157</f>
        <v>0.979999999999997</v>
      </c>
      <c r="J157" s="5" t="n">
        <f aca="false">IF(G157=0,"",I157/G157)</f>
        <v>0.0155038759689922</v>
      </c>
      <c r="K157" s="0" t="n">
        <v>8.8</v>
      </c>
      <c r="L157" s="0" t="n">
        <v>8.97</v>
      </c>
      <c r="M157" s="11" t="s">
        <v>43</v>
      </c>
      <c r="N157" s="12" t="n">
        <f aca="false">INT(E157)</f>
        <v>45723</v>
      </c>
      <c r="O157" s="12" t="n">
        <f aca="false">IF(F157="","",INT(F157))</f>
        <v>45723</v>
      </c>
    </row>
    <row r="158" customFormat="false" ht="15" hidden="false" customHeight="false" outlineLevel="0" collapsed="false">
      <c r="A158" s="0" t="s">
        <v>356</v>
      </c>
      <c r="B158" s="0" t="s">
        <v>357</v>
      </c>
      <c r="C158" s="0" t="s">
        <v>23</v>
      </c>
      <c r="D158" s="0" t="s">
        <v>42</v>
      </c>
      <c r="E158" s="10" t="n">
        <v>45723.5701388889</v>
      </c>
      <c r="F158" s="10" t="n">
        <v>45723.9423032407</v>
      </c>
      <c r="G158" s="0" t="n">
        <v>609.39</v>
      </c>
      <c r="H158" s="0" t="n">
        <v>618.84</v>
      </c>
      <c r="I158" s="11" t="n">
        <f aca="false">H158-G158</f>
        <v>9.45000000000005</v>
      </c>
      <c r="J158" s="5" t="n">
        <f aca="false">IF(G158=0,"",I158/G158)</f>
        <v>0.0155073105892779</v>
      </c>
      <c r="K158" s="0" t="n">
        <v>212.6</v>
      </c>
      <c r="L158" s="0" t="n">
        <v>8.93</v>
      </c>
      <c r="M158" s="11" t="s">
        <v>43</v>
      </c>
      <c r="N158" s="12" t="n">
        <f aca="false">INT(E158)</f>
        <v>45723</v>
      </c>
      <c r="O158" s="12" t="n">
        <f aca="false">IF(F158="","",INT(F158))</f>
        <v>45723</v>
      </c>
    </row>
    <row r="159" customFormat="false" ht="15" hidden="false" customHeight="false" outlineLevel="0" collapsed="false">
      <c r="A159" s="0" t="s">
        <v>358</v>
      </c>
      <c r="B159" s="0" t="s">
        <v>359</v>
      </c>
      <c r="C159" s="0" t="s">
        <v>19</v>
      </c>
      <c r="D159" s="0" t="s">
        <v>42</v>
      </c>
      <c r="E159" s="10" t="n">
        <v>45723.5895833333</v>
      </c>
      <c r="F159" s="10" t="n">
        <v>45724.1595138889</v>
      </c>
      <c r="G159" s="0" t="n">
        <v>1337.17</v>
      </c>
      <c r="H159" s="0" t="n">
        <v>1342.43</v>
      </c>
      <c r="I159" s="11" t="n">
        <f aca="false">H159-G159</f>
        <v>5.25999999999999</v>
      </c>
      <c r="J159" s="5" t="n">
        <f aca="false">IF(G159=0,"",I159/G159)</f>
        <v>0.00393368083340188</v>
      </c>
      <c r="K159" s="0" t="n">
        <v>219.2</v>
      </c>
      <c r="L159" s="0" t="n">
        <v>9.85</v>
      </c>
      <c r="M159" s="11" t="s">
        <v>43</v>
      </c>
      <c r="N159" s="12" t="n">
        <f aca="false">INT(E159)</f>
        <v>45723</v>
      </c>
      <c r="O159" s="12" t="n">
        <f aca="false">IF(F159="","",INT(F159))</f>
        <v>45724</v>
      </c>
    </row>
    <row r="160" customFormat="false" ht="15" hidden="false" customHeight="false" outlineLevel="0" collapsed="false">
      <c r="A160" s="0" t="s">
        <v>360</v>
      </c>
      <c r="B160" s="0" t="s">
        <v>361</v>
      </c>
      <c r="C160" s="0" t="s">
        <v>20</v>
      </c>
      <c r="D160" s="0" t="s">
        <v>42</v>
      </c>
      <c r="E160" s="10" t="n">
        <v>45723.5930555556</v>
      </c>
      <c r="F160" s="10" t="n">
        <v>45723.9993055556</v>
      </c>
      <c r="G160" s="0" t="n">
        <v>213.87</v>
      </c>
      <c r="H160" s="0" t="n">
        <v>219.93</v>
      </c>
      <c r="I160" s="11" t="n">
        <f aca="false">H160-G160</f>
        <v>6.06</v>
      </c>
      <c r="J160" s="5" t="n">
        <f aca="false">IF(G160=0,"",I160/G160)</f>
        <v>0.0283349698414925</v>
      </c>
      <c r="K160" s="0" t="n">
        <v>46.8</v>
      </c>
      <c r="L160" s="0" t="n">
        <v>9.75</v>
      </c>
      <c r="M160" s="11" t="s">
        <v>43</v>
      </c>
      <c r="N160" s="12" t="n">
        <f aca="false">INT(E160)</f>
        <v>45723</v>
      </c>
      <c r="O160" s="12" t="n">
        <f aca="false">IF(F160="","",INT(F160))</f>
        <v>45723</v>
      </c>
    </row>
    <row r="161" customFormat="false" ht="15" hidden="false" customHeight="false" outlineLevel="0" collapsed="false">
      <c r="A161" s="0" t="s">
        <v>362</v>
      </c>
      <c r="B161" s="0" t="s">
        <v>363</v>
      </c>
      <c r="C161" s="0" t="s">
        <v>23</v>
      </c>
      <c r="D161" s="0" t="s">
        <v>42</v>
      </c>
      <c r="E161" s="10" t="n">
        <v>45723.6083333333</v>
      </c>
      <c r="F161" s="10" t="n">
        <v>45724.5555555556</v>
      </c>
      <c r="G161" s="0" t="n">
        <v>261.63</v>
      </c>
      <c r="H161" s="0" t="n">
        <v>263.54</v>
      </c>
      <c r="I161" s="11" t="n">
        <f aca="false">H161-G161</f>
        <v>1.91000000000003</v>
      </c>
      <c r="J161" s="5" t="n">
        <f aca="false">IF(G161=0,"",I161/G161)</f>
        <v>0.00730038604135621</v>
      </c>
      <c r="K161" s="0" t="n">
        <v>102.2</v>
      </c>
      <c r="L161" s="0" t="n">
        <v>9.4</v>
      </c>
      <c r="M161" s="11" t="s">
        <v>43</v>
      </c>
      <c r="N161" s="12" t="n">
        <f aca="false">INT(E161)</f>
        <v>45723</v>
      </c>
      <c r="O161" s="12" t="n">
        <f aca="false">IF(F161="","",INT(F161))</f>
        <v>45724</v>
      </c>
    </row>
    <row r="162" customFormat="false" ht="15" hidden="false" customHeight="false" outlineLevel="0" collapsed="false">
      <c r="A162" s="0" t="s">
        <v>364</v>
      </c>
      <c r="B162" s="0" t="s">
        <v>365</v>
      </c>
      <c r="C162" s="0" t="s">
        <v>19</v>
      </c>
      <c r="D162" s="0" t="s">
        <v>303</v>
      </c>
      <c r="E162" s="10" t="n">
        <v>45723.6256944445</v>
      </c>
      <c r="F162" s="10"/>
      <c r="G162" s="0" t="n">
        <v>236.7</v>
      </c>
      <c r="H162" s="0" t="n">
        <v>236.66</v>
      </c>
      <c r="I162" s="11" t="n">
        <f aca="false">H162-G162</f>
        <v>-0.039999999999992</v>
      </c>
      <c r="J162" s="5" t="n">
        <f aca="false">IF(G162=0,"",I162/G162)</f>
        <v>-0.000168990283058691</v>
      </c>
      <c r="K162" s="0" t="n">
        <v>21.2</v>
      </c>
      <c r="M162" s="11" t="s">
        <v>43</v>
      </c>
      <c r="N162" s="12" t="n">
        <f aca="false">INT(E162)</f>
        <v>45723</v>
      </c>
      <c r="O162" s="12" t="str">
        <f aca="false">IF(F162="","",INT(F162))</f>
        <v/>
      </c>
    </row>
    <row r="163" customFormat="false" ht="15" hidden="false" customHeight="false" outlineLevel="0" collapsed="false">
      <c r="A163" s="0" t="s">
        <v>366</v>
      </c>
      <c r="B163" s="0" t="s">
        <v>367</v>
      </c>
      <c r="C163" s="0" t="s">
        <v>23</v>
      </c>
      <c r="D163" s="0" t="s">
        <v>42</v>
      </c>
      <c r="E163" s="10" t="n">
        <v>45723.6395833333</v>
      </c>
      <c r="F163" s="10" t="n">
        <v>45724.01875</v>
      </c>
      <c r="G163" s="0" t="n">
        <v>216.85</v>
      </c>
      <c r="H163" s="0" t="n">
        <v>215.26</v>
      </c>
      <c r="I163" s="11" t="n">
        <f aca="false">H163-G163</f>
        <v>-1.59</v>
      </c>
      <c r="J163" s="5" t="n">
        <f aca="false">IF(G163=0,"",I163/G163)</f>
        <v>-0.00733225732072863</v>
      </c>
      <c r="K163" s="0" t="n">
        <v>48.7</v>
      </c>
      <c r="L163" s="0" t="n">
        <v>8.65</v>
      </c>
      <c r="M163" s="11" t="s">
        <v>43</v>
      </c>
      <c r="N163" s="12" t="n">
        <f aca="false">INT(E163)</f>
        <v>45723</v>
      </c>
      <c r="O163" s="12" t="n">
        <f aca="false">IF(F163="","",INT(F163))</f>
        <v>45724</v>
      </c>
    </row>
    <row r="164" customFormat="false" ht="15" hidden="false" customHeight="false" outlineLevel="0" collapsed="false">
      <c r="A164" s="0" t="s">
        <v>368</v>
      </c>
      <c r="B164" s="0" t="s">
        <v>369</v>
      </c>
      <c r="C164" s="0" t="s">
        <v>21</v>
      </c>
      <c r="D164" s="0" t="s">
        <v>42</v>
      </c>
      <c r="E164" s="10" t="n">
        <v>45723.6451388889</v>
      </c>
      <c r="F164" s="10" t="n">
        <v>45724.6479166667</v>
      </c>
      <c r="G164" s="0" t="n">
        <v>592.35</v>
      </c>
      <c r="H164" s="0" t="n">
        <v>613.65</v>
      </c>
      <c r="I164" s="11" t="n">
        <f aca="false">H164-G164</f>
        <v>21.3</v>
      </c>
      <c r="J164" s="5" t="n">
        <f aca="false">IF(G164=0,"",I164/G164)</f>
        <v>0.0359584704988604</v>
      </c>
      <c r="K164" s="0" t="n">
        <v>71.2</v>
      </c>
      <c r="L164" s="0" t="n">
        <v>8.52</v>
      </c>
      <c r="M164" s="11" t="s">
        <v>43</v>
      </c>
      <c r="N164" s="12" t="n">
        <f aca="false">INT(E164)</f>
        <v>45723</v>
      </c>
      <c r="O164" s="12" t="n">
        <f aca="false">IF(F164="","",INT(F164))</f>
        <v>45724</v>
      </c>
    </row>
    <row r="165" customFormat="false" ht="15" hidden="false" customHeight="false" outlineLevel="0" collapsed="false">
      <c r="A165" s="0" t="s">
        <v>370</v>
      </c>
      <c r="B165" s="0" t="s">
        <v>371</v>
      </c>
      <c r="C165" s="0" t="s">
        <v>20</v>
      </c>
      <c r="D165" s="0" t="s">
        <v>42</v>
      </c>
      <c r="E165" s="10" t="n">
        <v>45723.6583333333</v>
      </c>
      <c r="F165" s="10" t="n">
        <v>45724.09375</v>
      </c>
      <c r="G165" s="0" t="n">
        <v>337</v>
      </c>
      <c r="H165" s="0" t="n">
        <v>343.4</v>
      </c>
      <c r="I165" s="11" t="n">
        <f aca="false">H165-G165</f>
        <v>6.39999999999998</v>
      </c>
      <c r="J165" s="5" t="n">
        <f aca="false">IF(G165=0,"",I165/G165)</f>
        <v>0.0189910979228486</v>
      </c>
      <c r="K165" s="0" t="n">
        <v>38.4</v>
      </c>
      <c r="L165" s="0" t="n">
        <v>8.2</v>
      </c>
      <c r="M165" s="11" t="s">
        <v>43</v>
      </c>
      <c r="N165" s="12" t="n">
        <f aca="false">INT(E165)</f>
        <v>45723</v>
      </c>
      <c r="O165" s="12" t="n">
        <f aca="false">IF(F165="","",INT(F165))</f>
        <v>45724</v>
      </c>
    </row>
    <row r="166" customFormat="false" ht="15" hidden="false" customHeight="false" outlineLevel="0" collapsed="false">
      <c r="A166" s="0" t="s">
        <v>372</v>
      </c>
      <c r="B166" s="0" t="s">
        <v>373</v>
      </c>
      <c r="C166" s="0" t="s">
        <v>19</v>
      </c>
      <c r="D166" s="0" t="s">
        <v>42</v>
      </c>
      <c r="E166" s="10" t="n">
        <v>45723.6583333333</v>
      </c>
      <c r="F166" s="10" t="n">
        <v>45724.7869675926</v>
      </c>
      <c r="G166" s="0" t="n">
        <v>112.81</v>
      </c>
      <c r="H166" s="0" t="n">
        <v>115.95</v>
      </c>
      <c r="I166" s="11" t="n">
        <f aca="false">H166-G166</f>
        <v>3.14</v>
      </c>
      <c r="J166" s="5" t="n">
        <f aca="false">IF(G166=0,"",I166/G166)</f>
        <v>0.0278344118429217</v>
      </c>
      <c r="K166" s="0" t="n">
        <v>16.9</v>
      </c>
      <c r="L166" s="0" t="n">
        <v>8.2</v>
      </c>
      <c r="M166" s="11" t="s">
        <v>43</v>
      </c>
      <c r="N166" s="12" t="n">
        <f aca="false">INT(E166)</f>
        <v>45723</v>
      </c>
      <c r="O166" s="12" t="n">
        <f aca="false">IF(F166="","",INT(F166))</f>
        <v>45724</v>
      </c>
    </row>
    <row r="167" customFormat="false" ht="15" hidden="false" customHeight="false" outlineLevel="0" collapsed="false">
      <c r="A167" s="0" t="s">
        <v>374</v>
      </c>
      <c r="B167" s="0" t="s">
        <v>375</v>
      </c>
      <c r="C167" s="0" t="s">
        <v>23</v>
      </c>
      <c r="D167" s="0" t="s">
        <v>42</v>
      </c>
      <c r="E167" s="10" t="n">
        <v>45723.6611111111</v>
      </c>
      <c r="F167" s="10" t="n">
        <v>45724.9532407407</v>
      </c>
      <c r="G167" s="0" t="n">
        <v>345.64</v>
      </c>
      <c r="H167" s="0" t="n">
        <v>351.52</v>
      </c>
      <c r="I167" s="11" t="n">
        <f aca="false">H167-G167</f>
        <v>5.88</v>
      </c>
      <c r="J167" s="5" t="n">
        <f aca="false">IF(G167=0,"",I167/G167)</f>
        <v>0.0170119199166763</v>
      </c>
      <c r="K167" s="0" t="n">
        <v>84.6</v>
      </c>
      <c r="L167" s="0" t="n">
        <v>8.13</v>
      </c>
      <c r="M167" s="11" t="s">
        <v>43</v>
      </c>
      <c r="N167" s="12" t="n">
        <f aca="false">INT(E167)</f>
        <v>45723</v>
      </c>
      <c r="O167" s="12" t="n">
        <f aca="false">IF(F167="","",INT(F167))</f>
        <v>45724</v>
      </c>
    </row>
    <row r="168" customFormat="false" ht="15" hidden="false" customHeight="false" outlineLevel="0" collapsed="false">
      <c r="A168" s="0" t="s">
        <v>376</v>
      </c>
      <c r="B168" s="0" t="s">
        <v>377</v>
      </c>
      <c r="C168" s="0" t="s">
        <v>19</v>
      </c>
      <c r="D168" s="0" t="s">
        <v>42</v>
      </c>
      <c r="E168" s="10" t="n">
        <v>45723.6861111111</v>
      </c>
      <c r="F168" s="10" t="n">
        <v>45725.9789814815</v>
      </c>
      <c r="G168" s="0" t="n">
        <v>313.79</v>
      </c>
      <c r="H168" s="0" t="n">
        <v>320.24</v>
      </c>
      <c r="I168" s="11" t="n">
        <f aca="false">H168-G168</f>
        <v>6.44999999999999</v>
      </c>
      <c r="J168" s="5" t="n">
        <f aca="false">IF(G168=0,"",I168/G168)</f>
        <v>0.020555148347621</v>
      </c>
      <c r="K168" s="0" t="n">
        <v>26.7</v>
      </c>
      <c r="L168" s="0" t="n">
        <v>7.53</v>
      </c>
      <c r="M168" s="11" t="s">
        <v>43</v>
      </c>
      <c r="N168" s="12" t="n">
        <f aca="false">INT(E168)</f>
        <v>45723</v>
      </c>
      <c r="O168" s="12" t="n">
        <f aca="false">IF(F168="","",INT(F168))</f>
        <v>45725</v>
      </c>
    </row>
    <row r="169" customFormat="false" ht="15" hidden="false" customHeight="false" outlineLevel="0" collapsed="false">
      <c r="A169" s="0" t="s">
        <v>378</v>
      </c>
      <c r="B169" s="0" t="s">
        <v>379</v>
      </c>
      <c r="C169" s="0" t="s">
        <v>22</v>
      </c>
      <c r="D169" s="0" t="s">
        <v>42</v>
      </c>
      <c r="E169" s="10" t="n">
        <v>45723.6923611111</v>
      </c>
      <c r="F169" s="10" t="n">
        <v>45723.8532986111</v>
      </c>
      <c r="G169" s="0" t="n">
        <v>280.5</v>
      </c>
      <c r="H169" s="0" t="n">
        <v>278.95</v>
      </c>
      <c r="I169" s="11" t="n">
        <f aca="false">H169-G169</f>
        <v>-1.55000000000001</v>
      </c>
      <c r="J169" s="5" t="n">
        <f aca="false">IF(G169=0,"",I169/G169)</f>
        <v>-0.00552584670231733</v>
      </c>
      <c r="K169" s="0" t="n">
        <v>35.7</v>
      </c>
      <c r="L169" s="0" t="n">
        <v>3.86</v>
      </c>
      <c r="M169" s="11" t="s">
        <v>43</v>
      </c>
      <c r="N169" s="12" t="n">
        <f aca="false">INT(E169)</f>
        <v>45723</v>
      </c>
      <c r="O169" s="12" t="n">
        <f aca="false">IF(F169="","",INT(F169))</f>
        <v>45723</v>
      </c>
    </row>
    <row r="170" customFormat="false" ht="15" hidden="false" customHeight="false" outlineLevel="0" collapsed="false">
      <c r="A170" s="0" t="s">
        <v>380</v>
      </c>
      <c r="B170" s="0" t="s">
        <v>381</v>
      </c>
      <c r="C170" s="0" t="s">
        <v>23</v>
      </c>
      <c r="D170" s="0" t="s">
        <v>42</v>
      </c>
      <c r="E170" s="10" t="n">
        <v>45723.7104166667</v>
      </c>
      <c r="F170" s="10" t="n">
        <v>45724.9845833333</v>
      </c>
      <c r="G170" s="0" t="n">
        <v>337.96</v>
      </c>
      <c r="H170" s="0" t="n">
        <v>335.8</v>
      </c>
      <c r="I170" s="11" t="n">
        <f aca="false">H170-G170</f>
        <v>-2.15999999999997</v>
      </c>
      <c r="J170" s="5" t="n">
        <f aca="false">IF(G170=0,"",I170/G170)</f>
        <v>-0.00639128890993008</v>
      </c>
      <c r="K170" s="0" t="n">
        <v>149.5</v>
      </c>
      <c r="L170" s="0" t="n">
        <v>6.95</v>
      </c>
      <c r="M170" s="11" t="s">
        <v>43</v>
      </c>
      <c r="N170" s="12" t="n">
        <f aca="false">INT(E170)</f>
        <v>45723</v>
      </c>
      <c r="O170" s="12" t="n">
        <f aca="false">IF(F170="","",INT(F170))</f>
        <v>45724</v>
      </c>
    </row>
    <row r="171" customFormat="false" ht="15" hidden="false" customHeight="false" outlineLevel="0" collapsed="false">
      <c r="A171" s="0" t="s">
        <v>382</v>
      </c>
      <c r="B171" s="0" t="s">
        <v>383</v>
      </c>
      <c r="C171" s="0" t="s">
        <v>24</v>
      </c>
      <c r="D171" s="0" t="s">
        <v>42</v>
      </c>
      <c r="E171" s="10" t="n">
        <v>45723.7229166667</v>
      </c>
      <c r="F171" s="10" t="n">
        <v>45725.2754050926</v>
      </c>
      <c r="G171" s="0" t="n">
        <v>161.43</v>
      </c>
      <c r="H171" s="0" t="n">
        <v>163.76</v>
      </c>
      <c r="I171" s="11" t="n">
        <f aca="false">H171-G171</f>
        <v>2.32999999999998</v>
      </c>
      <c r="J171" s="5" t="n">
        <f aca="false">IF(G171=0,"",I171/G171)</f>
        <v>0.0144335005884903</v>
      </c>
      <c r="K171" s="0" t="n">
        <v>34.8</v>
      </c>
      <c r="L171" s="0" t="n">
        <v>6.65</v>
      </c>
      <c r="M171" s="11" t="s">
        <v>43</v>
      </c>
      <c r="N171" s="12" t="n">
        <f aca="false">INT(E171)</f>
        <v>45723</v>
      </c>
      <c r="O171" s="12" t="n">
        <f aca="false">IF(F171="","",INT(F171))</f>
        <v>45725</v>
      </c>
    </row>
    <row r="172" customFormat="false" ht="15" hidden="false" customHeight="false" outlineLevel="0" collapsed="false">
      <c r="A172" s="0" t="s">
        <v>384</v>
      </c>
      <c r="B172" s="0" t="s">
        <v>385</v>
      </c>
      <c r="C172" s="0" t="s">
        <v>21</v>
      </c>
      <c r="D172" s="0" t="s">
        <v>42</v>
      </c>
      <c r="E172" s="10" t="n">
        <v>45723.7555555556</v>
      </c>
      <c r="F172" s="10" t="n">
        <v>45724.1006944445</v>
      </c>
      <c r="G172" s="0" t="n">
        <v>768.74</v>
      </c>
      <c r="H172" s="0" t="n">
        <v>767.08</v>
      </c>
      <c r="I172" s="11" t="n">
        <f aca="false">H172-G172</f>
        <v>-1.65999999999997</v>
      </c>
      <c r="J172" s="5" t="n">
        <f aca="false">IF(G172=0,"",I172/G172)</f>
        <v>-0.00215937768296169</v>
      </c>
      <c r="K172" s="0" t="n">
        <v>134.4</v>
      </c>
      <c r="L172" s="0" t="n">
        <v>5.87</v>
      </c>
      <c r="M172" s="11" t="s">
        <v>43</v>
      </c>
      <c r="N172" s="12" t="n">
        <f aca="false">INT(E172)</f>
        <v>45723</v>
      </c>
      <c r="O172" s="12" t="n">
        <f aca="false">IF(F172="","",INT(F172))</f>
        <v>45724</v>
      </c>
    </row>
    <row r="173" customFormat="false" ht="15" hidden="false" customHeight="false" outlineLevel="0" collapsed="false">
      <c r="A173" s="0" t="s">
        <v>386</v>
      </c>
      <c r="B173" s="0" t="s">
        <v>387</v>
      </c>
      <c r="C173" s="0" t="s">
        <v>19</v>
      </c>
      <c r="D173" s="0" t="s">
        <v>42</v>
      </c>
      <c r="E173" s="10" t="n">
        <v>45723.7736111111</v>
      </c>
      <c r="F173" s="10" t="n">
        <v>45724.7763888889</v>
      </c>
      <c r="G173" s="0" t="n">
        <v>681.72</v>
      </c>
      <c r="H173" s="0" t="n">
        <v>670.02</v>
      </c>
      <c r="I173" s="11" t="n">
        <f aca="false">H173-G173</f>
        <v>-11.7</v>
      </c>
      <c r="J173" s="5" t="n">
        <f aca="false">IF(G173=0,"",I173/G173)</f>
        <v>-0.0171624713958811</v>
      </c>
      <c r="K173" s="0" t="n">
        <v>99.6</v>
      </c>
      <c r="L173" s="0" t="n">
        <v>5.43</v>
      </c>
      <c r="M173" s="11" t="s">
        <v>43</v>
      </c>
      <c r="N173" s="12" t="n">
        <f aca="false">INT(E173)</f>
        <v>45723</v>
      </c>
      <c r="O173" s="12" t="n">
        <f aca="false">IF(F173="","",INT(F173))</f>
        <v>45724</v>
      </c>
    </row>
    <row r="174" customFormat="false" ht="15" hidden="false" customHeight="false" outlineLevel="0" collapsed="false">
      <c r="A174" s="0" t="s">
        <v>388</v>
      </c>
      <c r="B174" s="0" t="s">
        <v>389</v>
      </c>
      <c r="C174" s="0" t="s">
        <v>21</v>
      </c>
      <c r="D174" s="0" t="s">
        <v>42</v>
      </c>
      <c r="E174" s="10" t="n">
        <v>45723.7888888889</v>
      </c>
      <c r="F174" s="10" t="n">
        <v>45724.3081134259</v>
      </c>
      <c r="G174" s="0" t="n">
        <v>1124.67</v>
      </c>
      <c r="H174" s="0" t="n">
        <v>1127.44</v>
      </c>
      <c r="I174" s="11" t="n">
        <f aca="false">H174-G174</f>
        <v>2.76999999999998</v>
      </c>
      <c r="J174" s="5" t="n">
        <f aca="false">IF(G174=0,"",I174/G174)</f>
        <v>0.00246294468599677</v>
      </c>
      <c r="K174" s="0" t="n">
        <v>303.8</v>
      </c>
      <c r="L174" s="0" t="n">
        <v>5.07</v>
      </c>
      <c r="M174" s="11" t="s">
        <v>43</v>
      </c>
      <c r="N174" s="12" t="n">
        <f aca="false">INT(E174)</f>
        <v>45723</v>
      </c>
      <c r="O174" s="12" t="n">
        <f aca="false">IF(F174="","",INT(F174))</f>
        <v>45724</v>
      </c>
    </row>
    <row r="175" customFormat="false" ht="15" hidden="false" customHeight="false" outlineLevel="0" collapsed="false">
      <c r="A175" s="0" t="s">
        <v>390</v>
      </c>
      <c r="B175" s="0" t="s">
        <v>391</v>
      </c>
      <c r="C175" s="0" t="s">
        <v>23</v>
      </c>
      <c r="D175" s="0" t="s">
        <v>42</v>
      </c>
      <c r="E175" s="10" t="n">
        <v>45726.3048611111</v>
      </c>
      <c r="F175" s="10" t="n">
        <v>45726.8583333333</v>
      </c>
      <c r="G175" s="0" t="n">
        <v>308.1</v>
      </c>
      <c r="H175" s="0" t="n">
        <v>299</v>
      </c>
      <c r="I175" s="11" t="n">
        <f aca="false">H175-G175</f>
        <v>-9.10000000000002</v>
      </c>
      <c r="J175" s="5" t="n">
        <f aca="false">IF(G175=0,"",I175/G175)</f>
        <v>-0.029535864978903</v>
      </c>
      <c r="K175" s="0" t="n">
        <v>65.4</v>
      </c>
      <c r="L175" s="0" t="n">
        <v>13.28</v>
      </c>
      <c r="M175" s="11" t="s">
        <v>43</v>
      </c>
      <c r="N175" s="12" t="n">
        <f aca="false">INT(E175)</f>
        <v>45726</v>
      </c>
      <c r="O175" s="12" t="n">
        <f aca="false">IF(F175="","",INT(F175))</f>
        <v>45726</v>
      </c>
    </row>
    <row r="176" customFormat="false" ht="15" hidden="false" customHeight="false" outlineLevel="0" collapsed="false">
      <c r="A176" s="0" t="s">
        <v>392</v>
      </c>
      <c r="B176" s="0" t="s">
        <v>393</v>
      </c>
      <c r="C176" s="0" t="s">
        <v>24</v>
      </c>
      <c r="D176" s="0" t="s">
        <v>42</v>
      </c>
      <c r="E176" s="10" t="n">
        <v>45726.30625</v>
      </c>
      <c r="F176" s="10" t="n">
        <v>45727.8548611111</v>
      </c>
      <c r="G176" s="0" t="n">
        <v>141.7</v>
      </c>
      <c r="H176" s="0" t="n">
        <v>144.91</v>
      </c>
      <c r="I176" s="11" t="n">
        <f aca="false">H176-G176</f>
        <v>3.21000000000001</v>
      </c>
      <c r="J176" s="5" t="n">
        <f aca="false">IF(G176=0,"",I176/G176)</f>
        <v>0.0226534932956952</v>
      </c>
      <c r="K176" s="0" t="n">
        <v>52.7</v>
      </c>
      <c r="L176" s="0" t="n">
        <v>37.17</v>
      </c>
      <c r="M176" s="11" t="s">
        <v>43</v>
      </c>
      <c r="N176" s="12" t="n">
        <f aca="false">INT(E176)</f>
        <v>45726</v>
      </c>
      <c r="O176" s="12" t="n">
        <f aca="false">IF(F176="","",INT(F176))</f>
        <v>45727</v>
      </c>
    </row>
    <row r="177" customFormat="false" ht="15" hidden="false" customHeight="false" outlineLevel="0" collapsed="false">
      <c r="A177" s="0" t="s">
        <v>394</v>
      </c>
      <c r="B177" s="0" t="s">
        <v>395</v>
      </c>
      <c r="C177" s="0" t="s">
        <v>20</v>
      </c>
      <c r="D177" s="0" t="s">
        <v>42</v>
      </c>
      <c r="E177" s="10" t="n">
        <v>45726.3131944445</v>
      </c>
      <c r="F177" s="10" t="n">
        <v>45726.7972222222</v>
      </c>
      <c r="G177" s="0" t="n">
        <v>261.76</v>
      </c>
      <c r="H177" s="0" t="n">
        <v>261.34</v>
      </c>
      <c r="I177" s="11" t="n">
        <f aca="false">H177-G177</f>
        <v>-0.420000000000016</v>
      </c>
      <c r="J177" s="5" t="n">
        <f aca="false">IF(G177=0,"",I177/G177)</f>
        <v>-0.00160452322738392</v>
      </c>
      <c r="K177" s="0" t="n">
        <v>43</v>
      </c>
      <c r="L177" s="0" t="n">
        <v>11.62</v>
      </c>
      <c r="M177" s="11" t="s">
        <v>43</v>
      </c>
      <c r="N177" s="12" t="n">
        <f aca="false">INT(E177)</f>
        <v>45726</v>
      </c>
      <c r="O177" s="12" t="n">
        <f aca="false">IF(F177="","",INT(F177))</f>
        <v>45726</v>
      </c>
    </row>
    <row r="178" customFormat="false" ht="15" hidden="false" customHeight="false" outlineLevel="0" collapsed="false">
      <c r="A178" s="0" t="s">
        <v>396</v>
      </c>
      <c r="B178" s="0" t="s">
        <v>397</v>
      </c>
      <c r="C178" s="0" t="s">
        <v>21</v>
      </c>
      <c r="D178" s="0" t="s">
        <v>42</v>
      </c>
      <c r="E178" s="10" t="n">
        <v>45726.3208333333</v>
      </c>
      <c r="F178" s="10" t="n">
        <v>45726.9520833333</v>
      </c>
      <c r="G178" s="0" t="n">
        <v>192.36</v>
      </c>
      <c r="H178" s="0" t="n">
        <v>192.57</v>
      </c>
      <c r="I178" s="11" t="n">
        <f aca="false">H178-G178</f>
        <v>0.20999999999998</v>
      </c>
      <c r="J178" s="5" t="n">
        <f aca="false">IF(G178=0,"",I178/G178)</f>
        <v>0.00109170305676845</v>
      </c>
      <c r="K178" s="0" t="n">
        <v>42.5</v>
      </c>
      <c r="L178" s="0" t="n">
        <v>15.15</v>
      </c>
      <c r="M178" s="11" t="s">
        <v>43</v>
      </c>
      <c r="N178" s="12" t="n">
        <f aca="false">INT(E178)</f>
        <v>45726</v>
      </c>
      <c r="O178" s="12" t="n">
        <f aca="false">IF(F178="","",INT(F178))</f>
        <v>45726</v>
      </c>
    </row>
    <row r="179" customFormat="false" ht="15" hidden="false" customHeight="false" outlineLevel="0" collapsed="false">
      <c r="A179" s="0" t="s">
        <v>398</v>
      </c>
      <c r="B179" s="0" t="s">
        <v>399</v>
      </c>
      <c r="C179" s="0" t="s">
        <v>21</v>
      </c>
      <c r="D179" s="0" t="s">
        <v>42</v>
      </c>
      <c r="E179" s="10" t="n">
        <v>45726.3270833333</v>
      </c>
      <c r="F179" s="10" t="n">
        <v>45726.5888888889</v>
      </c>
      <c r="G179" s="0" t="n">
        <v>958.45</v>
      </c>
      <c r="H179" s="0" t="n">
        <v>974.11</v>
      </c>
      <c r="I179" s="11" t="n">
        <f aca="false">H179-G179</f>
        <v>15.66</v>
      </c>
      <c r="J179" s="5" t="n">
        <f aca="false">IF(G179=0,"",I179/G179)</f>
        <v>0.0163388804841149</v>
      </c>
      <c r="K179" s="0" t="n">
        <v>242</v>
      </c>
      <c r="L179" s="0" t="n">
        <v>6.28</v>
      </c>
      <c r="M179" s="11" t="s">
        <v>43</v>
      </c>
      <c r="N179" s="12" t="n">
        <f aca="false">INT(E179)</f>
        <v>45726</v>
      </c>
      <c r="O179" s="12" t="n">
        <f aca="false">IF(F179="","",INT(F179))</f>
        <v>45726</v>
      </c>
    </row>
    <row r="180" customFormat="false" ht="15" hidden="false" customHeight="false" outlineLevel="0" collapsed="false">
      <c r="A180" s="0" t="s">
        <v>400</v>
      </c>
      <c r="B180" s="0" t="s">
        <v>401</v>
      </c>
      <c r="C180" s="0" t="s">
        <v>23</v>
      </c>
      <c r="D180" s="0" t="s">
        <v>42</v>
      </c>
      <c r="E180" s="10" t="n">
        <v>45726.3527777778</v>
      </c>
      <c r="F180" s="10" t="n">
        <v>45728.1076388889</v>
      </c>
      <c r="G180" s="0" t="n">
        <v>349.38</v>
      </c>
      <c r="H180" s="0" t="n">
        <v>260.83</v>
      </c>
      <c r="I180" s="11" t="n">
        <f aca="false">H180-G180</f>
        <v>-88.55</v>
      </c>
      <c r="J180" s="5" t="n">
        <f aca="false">IF(G180=0,"",I180/G180)</f>
        <v>-0.253448966741084</v>
      </c>
      <c r="K180" s="0" t="n">
        <v>150.2</v>
      </c>
      <c r="L180" s="0" t="n">
        <v>42.12</v>
      </c>
      <c r="M180" s="11" t="s">
        <v>43</v>
      </c>
      <c r="N180" s="12" t="n">
        <f aca="false">INT(E180)</f>
        <v>45726</v>
      </c>
      <c r="O180" s="12" t="n">
        <f aca="false">IF(F180="","",INT(F180))</f>
        <v>45728</v>
      </c>
    </row>
    <row r="181" customFormat="false" ht="15" hidden="false" customHeight="false" outlineLevel="0" collapsed="false">
      <c r="A181" s="0" t="s">
        <v>402</v>
      </c>
      <c r="B181" s="0" t="s">
        <v>403</v>
      </c>
      <c r="C181" s="0" t="s">
        <v>19</v>
      </c>
      <c r="D181" s="0" t="s">
        <v>42</v>
      </c>
      <c r="E181" s="10" t="n">
        <v>45726.3756944445</v>
      </c>
      <c r="F181" s="10" t="n">
        <v>45726.8270833333</v>
      </c>
      <c r="G181" s="0" t="n">
        <v>745.43</v>
      </c>
      <c r="H181" s="0" t="n">
        <v>747.15</v>
      </c>
      <c r="I181" s="11" t="n">
        <f aca="false">H181-G181</f>
        <v>1.72000000000003</v>
      </c>
      <c r="J181" s="5" t="n">
        <f aca="false">IF(G181=0,"",I181/G181)</f>
        <v>0.00230739304830773</v>
      </c>
      <c r="K181" s="0" t="n">
        <v>132.1</v>
      </c>
      <c r="L181" s="0" t="n">
        <v>10.83</v>
      </c>
      <c r="M181" s="11" t="s">
        <v>43</v>
      </c>
      <c r="N181" s="12" t="n">
        <f aca="false">INT(E181)</f>
        <v>45726</v>
      </c>
      <c r="O181" s="12" t="n">
        <f aca="false">IF(F181="","",INT(F181))</f>
        <v>45726</v>
      </c>
    </row>
    <row r="182" customFormat="false" ht="15" hidden="false" customHeight="false" outlineLevel="0" collapsed="false">
      <c r="A182" s="0" t="s">
        <v>404</v>
      </c>
      <c r="B182" s="0" t="s">
        <v>405</v>
      </c>
      <c r="C182" s="0" t="s">
        <v>23</v>
      </c>
      <c r="D182" s="0" t="s">
        <v>42</v>
      </c>
      <c r="E182" s="10" t="n">
        <v>45726.3798611111</v>
      </c>
      <c r="F182" s="10" t="n">
        <v>45726.7973032407</v>
      </c>
      <c r="G182" s="0" t="n">
        <v>296.09</v>
      </c>
      <c r="H182" s="0" t="n">
        <v>255.69</v>
      </c>
      <c r="I182" s="11" t="n">
        <f aca="false">H182-G182</f>
        <v>-40.4</v>
      </c>
      <c r="J182" s="5" t="n">
        <f aca="false">IF(G182=0,"",I182/G182)</f>
        <v>-0.136444999831132</v>
      </c>
      <c r="K182" s="0" t="n">
        <v>105.8</v>
      </c>
      <c r="L182" s="0" t="n">
        <v>10.02</v>
      </c>
      <c r="M182" s="11" t="s">
        <v>43</v>
      </c>
      <c r="N182" s="12" t="n">
        <f aca="false">INT(E182)</f>
        <v>45726</v>
      </c>
      <c r="O182" s="12" t="n">
        <f aca="false">IF(F182="","",INT(F182))</f>
        <v>45726</v>
      </c>
    </row>
    <row r="183" customFormat="false" ht="15" hidden="false" customHeight="false" outlineLevel="0" collapsed="false">
      <c r="A183" s="0" t="s">
        <v>406</v>
      </c>
      <c r="B183" s="0" t="s">
        <v>407</v>
      </c>
      <c r="C183" s="0" t="s">
        <v>21</v>
      </c>
      <c r="D183" s="0" t="s">
        <v>42</v>
      </c>
      <c r="E183" s="10" t="n">
        <v>45726.3958333333</v>
      </c>
      <c r="F183" s="10" t="n">
        <v>45727.0673611111</v>
      </c>
      <c r="G183" s="0" t="n">
        <v>117.4</v>
      </c>
      <c r="H183" s="0" t="n">
        <v>115.27</v>
      </c>
      <c r="I183" s="11" t="n">
        <f aca="false">H183-G183</f>
        <v>-2.13000000000001</v>
      </c>
      <c r="J183" s="5" t="n">
        <f aca="false">IF(G183=0,"",I183/G183)</f>
        <v>-0.0181431005110733</v>
      </c>
      <c r="K183" s="0" t="n">
        <v>21.1</v>
      </c>
      <c r="L183" s="0" t="n">
        <v>16.12</v>
      </c>
      <c r="M183" s="11" t="s">
        <v>43</v>
      </c>
      <c r="N183" s="12" t="n">
        <f aca="false">INT(E183)</f>
        <v>45726</v>
      </c>
      <c r="O183" s="12" t="n">
        <f aca="false">IF(F183="","",INT(F183))</f>
        <v>45727</v>
      </c>
    </row>
    <row r="184" customFormat="false" ht="15" hidden="false" customHeight="false" outlineLevel="0" collapsed="false">
      <c r="A184" s="0" t="s">
        <v>408</v>
      </c>
      <c r="B184" s="0" t="s">
        <v>409</v>
      </c>
      <c r="C184" s="0" t="s">
        <v>24</v>
      </c>
      <c r="D184" s="0" t="s">
        <v>42</v>
      </c>
      <c r="E184" s="10" t="n">
        <v>45726.4006944444</v>
      </c>
      <c r="F184" s="10" t="n">
        <v>45728.1493055556</v>
      </c>
      <c r="G184" s="0" t="n">
        <v>117.02</v>
      </c>
      <c r="H184" s="0" t="n">
        <v>116.27</v>
      </c>
      <c r="I184" s="11" t="n">
        <f aca="false">H184-G184</f>
        <v>-0.75</v>
      </c>
      <c r="J184" s="5" t="n">
        <f aca="false">IF(G184=0,"",I184/G184)</f>
        <v>-0.00640916082720902</v>
      </c>
      <c r="K184" s="0" t="n">
        <v>22.5</v>
      </c>
      <c r="L184" s="0" t="n">
        <v>41.97</v>
      </c>
      <c r="M184" s="11" t="s">
        <v>43</v>
      </c>
      <c r="N184" s="12" t="n">
        <f aca="false">INT(E184)</f>
        <v>45726</v>
      </c>
      <c r="O184" s="12" t="n">
        <f aca="false">IF(F184="","",INT(F184))</f>
        <v>45728</v>
      </c>
    </row>
    <row r="185" customFormat="false" ht="15" hidden="false" customHeight="false" outlineLevel="0" collapsed="false">
      <c r="A185" s="0" t="s">
        <v>410</v>
      </c>
      <c r="B185" s="0" t="s">
        <v>411</v>
      </c>
      <c r="C185" s="0" t="s">
        <v>20</v>
      </c>
      <c r="D185" s="0" t="s">
        <v>42</v>
      </c>
      <c r="E185" s="10" t="n">
        <v>45726.4354166667</v>
      </c>
      <c r="F185" s="10" t="n">
        <v>45727.217662037</v>
      </c>
      <c r="G185" s="0" t="n">
        <v>1037.04</v>
      </c>
      <c r="H185" s="0" t="n">
        <v>1084.07</v>
      </c>
      <c r="I185" s="11" t="n">
        <f aca="false">H185-G185</f>
        <v>47.03</v>
      </c>
      <c r="J185" s="5" t="n">
        <f aca="false">IF(G185=0,"",I185/G185)</f>
        <v>0.0453502275707783</v>
      </c>
      <c r="K185" s="0" t="n">
        <v>171.9</v>
      </c>
      <c r="L185" s="0" t="n">
        <v>18.77</v>
      </c>
      <c r="M185" s="11" t="s">
        <v>43</v>
      </c>
      <c r="N185" s="12" t="n">
        <f aca="false">INT(E185)</f>
        <v>45726</v>
      </c>
      <c r="O185" s="12" t="n">
        <f aca="false">IF(F185="","",INT(F185))</f>
        <v>45727</v>
      </c>
    </row>
    <row r="186" customFormat="false" ht="15" hidden="false" customHeight="false" outlineLevel="0" collapsed="false">
      <c r="A186" s="0" t="s">
        <v>412</v>
      </c>
      <c r="B186" s="0" t="s">
        <v>413</v>
      </c>
      <c r="C186" s="0" t="s">
        <v>23</v>
      </c>
      <c r="D186" s="0" t="s">
        <v>48</v>
      </c>
      <c r="E186" s="10" t="n">
        <v>45726.4576388889</v>
      </c>
      <c r="F186" s="10"/>
      <c r="G186" s="0" t="n">
        <v>717.71</v>
      </c>
      <c r="H186" s="0" t="n">
        <v>700.75</v>
      </c>
      <c r="I186" s="11" t="n">
        <f aca="false">H186-G186</f>
        <v>-16.96</v>
      </c>
      <c r="J186" s="5" t="n">
        <f aca="false">IF(G186=0,"",I186/G186)</f>
        <v>-0.0236307143553804</v>
      </c>
      <c r="K186" s="0" t="n">
        <v>279.9</v>
      </c>
      <c r="M186" s="11" t="s">
        <v>43</v>
      </c>
      <c r="N186" s="12" t="n">
        <f aca="false">INT(E186)</f>
        <v>45726</v>
      </c>
      <c r="O186" s="12" t="str">
        <f aca="false">IF(F186="","",INT(F186))</f>
        <v/>
      </c>
    </row>
    <row r="187" customFormat="false" ht="15" hidden="false" customHeight="false" outlineLevel="0" collapsed="false">
      <c r="A187" s="0" t="s">
        <v>414</v>
      </c>
      <c r="B187" s="0" t="s">
        <v>415</v>
      </c>
      <c r="C187" s="0" t="s">
        <v>21</v>
      </c>
      <c r="D187" s="0" t="s">
        <v>42</v>
      </c>
      <c r="E187" s="10" t="n">
        <v>45726.4784722222</v>
      </c>
      <c r="F187" s="10" t="n">
        <v>45727.3056481482</v>
      </c>
      <c r="G187" s="0" t="n">
        <v>806.02</v>
      </c>
      <c r="H187" s="0" t="n">
        <v>833.04</v>
      </c>
      <c r="I187" s="11" t="n">
        <f aca="false">H187-G187</f>
        <v>27.02</v>
      </c>
      <c r="J187" s="5" t="n">
        <f aca="false">IF(G187=0,"",I187/G187)</f>
        <v>0.0335227413711818</v>
      </c>
      <c r="K187" s="0" t="n">
        <v>136.5</v>
      </c>
      <c r="L187" s="0" t="n">
        <v>19.85</v>
      </c>
      <c r="M187" s="11" t="s">
        <v>43</v>
      </c>
      <c r="N187" s="12" t="n">
        <f aca="false">INT(E187)</f>
        <v>45726</v>
      </c>
      <c r="O187" s="12" t="n">
        <f aca="false">IF(F187="","",INT(F187))</f>
        <v>45727</v>
      </c>
    </row>
    <row r="188" customFormat="false" ht="15" hidden="false" customHeight="false" outlineLevel="0" collapsed="false">
      <c r="A188" s="0" t="s">
        <v>416</v>
      </c>
      <c r="B188" s="0" t="s">
        <v>417</v>
      </c>
      <c r="C188" s="0" t="s">
        <v>22</v>
      </c>
      <c r="D188" s="0" t="s">
        <v>42</v>
      </c>
      <c r="E188" s="10" t="n">
        <v>45726.4826388889</v>
      </c>
      <c r="F188" s="10" t="n">
        <v>45727.0805555556</v>
      </c>
      <c r="G188" s="0" t="n">
        <v>1735.49</v>
      </c>
      <c r="H188" s="0" t="n">
        <v>1694.18</v>
      </c>
      <c r="I188" s="11" t="n">
        <f aca="false">H188-G188</f>
        <v>-41.3099999999999</v>
      </c>
      <c r="J188" s="5" t="n">
        <f aca="false">IF(G188=0,"",I188/G188)</f>
        <v>-0.023803075788394</v>
      </c>
      <c r="K188" s="0" t="n">
        <v>269</v>
      </c>
      <c r="L188" s="0" t="n">
        <v>14.35</v>
      </c>
      <c r="M188" s="11" t="s">
        <v>43</v>
      </c>
      <c r="N188" s="12" t="n">
        <f aca="false">INT(E188)</f>
        <v>45726</v>
      </c>
      <c r="O188" s="12" t="n">
        <f aca="false">IF(F188="","",INT(F188))</f>
        <v>45727</v>
      </c>
    </row>
    <row r="189" customFormat="false" ht="15" hidden="false" customHeight="false" outlineLevel="0" collapsed="false">
      <c r="A189" s="0" t="s">
        <v>418</v>
      </c>
      <c r="B189" s="0" t="s">
        <v>419</v>
      </c>
      <c r="C189" s="0" t="s">
        <v>23</v>
      </c>
      <c r="D189" s="0" t="s">
        <v>42</v>
      </c>
      <c r="E189" s="10" t="n">
        <v>45726.4881944444</v>
      </c>
      <c r="F189" s="10" t="n">
        <v>45727.34375</v>
      </c>
      <c r="G189" s="0" t="n">
        <v>165.9</v>
      </c>
      <c r="H189" s="0" t="n">
        <v>165.76</v>
      </c>
      <c r="I189" s="11" t="n">
        <f aca="false">H189-G189</f>
        <v>-0.140000000000015</v>
      </c>
      <c r="J189" s="5" t="n">
        <f aca="false">IF(G189=0,"",I189/G189)</f>
        <v>-0.000843881856540173</v>
      </c>
      <c r="K189" s="0" t="n">
        <v>40</v>
      </c>
      <c r="L189" s="0" t="n">
        <v>20.53</v>
      </c>
      <c r="M189" s="11" t="s">
        <v>43</v>
      </c>
      <c r="N189" s="12" t="n">
        <f aca="false">INT(E189)</f>
        <v>45726</v>
      </c>
      <c r="O189" s="12" t="n">
        <f aca="false">IF(F189="","",INT(F189))</f>
        <v>45727</v>
      </c>
    </row>
    <row r="190" customFormat="false" ht="15" hidden="false" customHeight="false" outlineLevel="0" collapsed="false">
      <c r="A190" s="0" t="s">
        <v>420</v>
      </c>
      <c r="B190" s="0" t="s">
        <v>421</v>
      </c>
      <c r="C190" s="0" t="s">
        <v>24</v>
      </c>
      <c r="D190" s="0" t="s">
        <v>42</v>
      </c>
      <c r="E190" s="10" t="n">
        <v>45726.5048611111</v>
      </c>
      <c r="F190" s="10" t="n">
        <v>45726.9499189815</v>
      </c>
      <c r="G190" s="0" t="n">
        <v>368</v>
      </c>
      <c r="H190" s="0" t="n">
        <v>376.08</v>
      </c>
      <c r="I190" s="11" t="n">
        <f aca="false">H190-G190</f>
        <v>8.07999999999998</v>
      </c>
      <c r="J190" s="5" t="n">
        <f aca="false">IF(G190=0,"",I190/G190)</f>
        <v>0.0219565217391304</v>
      </c>
      <c r="K190" s="0" t="n">
        <v>143</v>
      </c>
      <c r="L190" s="0" t="n">
        <v>10.68</v>
      </c>
      <c r="M190" s="11" t="s">
        <v>43</v>
      </c>
      <c r="N190" s="12" t="n">
        <f aca="false">INT(E190)</f>
        <v>45726</v>
      </c>
      <c r="O190" s="12" t="n">
        <f aca="false">IF(F190="","",INT(F190))</f>
        <v>45726</v>
      </c>
    </row>
    <row r="191" customFormat="false" ht="15" hidden="false" customHeight="false" outlineLevel="0" collapsed="false">
      <c r="A191" s="0" t="s">
        <v>422</v>
      </c>
      <c r="B191" s="0" t="s">
        <v>423</v>
      </c>
      <c r="C191" s="0" t="s">
        <v>22</v>
      </c>
      <c r="D191" s="0" t="s">
        <v>42</v>
      </c>
      <c r="E191" s="10" t="n">
        <v>45726.5145833333</v>
      </c>
      <c r="F191" s="10" t="n">
        <v>45727.3715277778</v>
      </c>
      <c r="G191" s="0" t="n">
        <v>141.79</v>
      </c>
      <c r="H191" s="0" t="n">
        <v>141.93</v>
      </c>
      <c r="I191" s="11" t="n">
        <f aca="false">H191-G191</f>
        <v>0.140000000000015</v>
      </c>
      <c r="J191" s="5" t="n">
        <f aca="false">IF(G191=0,"",I191/G191)</f>
        <v>0.000987375696452605</v>
      </c>
      <c r="K191" s="0" t="n">
        <v>17.9</v>
      </c>
      <c r="L191" s="0" t="n">
        <v>20.57</v>
      </c>
      <c r="M191" s="11" t="s">
        <v>43</v>
      </c>
      <c r="N191" s="12" t="n">
        <f aca="false">INT(E191)</f>
        <v>45726</v>
      </c>
      <c r="O191" s="12" t="n">
        <f aca="false">IF(F191="","",INT(F191))</f>
        <v>45727</v>
      </c>
    </row>
    <row r="192" customFormat="false" ht="15" hidden="false" customHeight="false" outlineLevel="0" collapsed="false">
      <c r="A192" s="0" t="s">
        <v>424</v>
      </c>
      <c r="B192" s="0" t="s">
        <v>425</v>
      </c>
      <c r="C192" s="0" t="s">
        <v>23</v>
      </c>
      <c r="D192" s="0" t="s">
        <v>42</v>
      </c>
      <c r="E192" s="10" t="n">
        <v>45726.5472222222</v>
      </c>
      <c r="F192" s="10" t="n">
        <v>45727.675150463</v>
      </c>
      <c r="G192" s="0" t="n">
        <v>173.06</v>
      </c>
      <c r="H192" s="0" t="n">
        <v>175.72</v>
      </c>
      <c r="I192" s="11" t="n">
        <f aca="false">H192-G192</f>
        <v>2.66</v>
      </c>
      <c r="J192" s="5" t="n">
        <f aca="false">IF(G192=0,"",I192/G192)</f>
        <v>0.0153703917716399</v>
      </c>
      <c r="K192" s="0" t="n">
        <v>70.7</v>
      </c>
      <c r="L192" s="0" t="n">
        <v>27.07</v>
      </c>
      <c r="M192" s="11" t="s">
        <v>43</v>
      </c>
      <c r="N192" s="12" t="n">
        <f aca="false">INT(E192)</f>
        <v>45726</v>
      </c>
      <c r="O192" s="12" t="n">
        <f aca="false">IF(F192="","",INT(F192))</f>
        <v>45727</v>
      </c>
    </row>
    <row r="193" customFormat="false" ht="15" hidden="false" customHeight="false" outlineLevel="0" collapsed="false">
      <c r="A193" s="0" t="s">
        <v>426</v>
      </c>
      <c r="B193" s="0" t="s">
        <v>427</v>
      </c>
      <c r="C193" s="0" t="s">
        <v>21</v>
      </c>
      <c r="D193" s="0" t="s">
        <v>42</v>
      </c>
      <c r="E193" s="10" t="n">
        <v>45726.5513888889</v>
      </c>
      <c r="F193" s="10" t="n">
        <v>45727.2702546296</v>
      </c>
      <c r="G193" s="0" t="n">
        <v>227.13</v>
      </c>
      <c r="H193" s="0" t="n">
        <v>223.33</v>
      </c>
      <c r="I193" s="11" t="n">
        <f aca="false">H193-G193</f>
        <v>-3.79999999999998</v>
      </c>
      <c r="J193" s="5" t="n">
        <f aca="false">IF(G193=0,"",I193/G193)</f>
        <v>-0.0167305067582441</v>
      </c>
      <c r="K193" s="0" t="n">
        <v>36.4</v>
      </c>
      <c r="L193" s="0" t="n">
        <v>17.25</v>
      </c>
      <c r="M193" s="11" t="s">
        <v>43</v>
      </c>
      <c r="N193" s="12" t="n">
        <f aca="false">INT(E193)</f>
        <v>45726</v>
      </c>
      <c r="O193" s="12" t="n">
        <f aca="false">IF(F193="","",INT(F193))</f>
        <v>45727</v>
      </c>
    </row>
    <row r="194" customFormat="false" ht="15" hidden="false" customHeight="false" outlineLevel="0" collapsed="false">
      <c r="A194" s="0" t="s">
        <v>428</v>
      </c>
      <c r="B194" s="0" t="s">
        <v>429</v>
      </c>
      <c r="C194" s="0" t="s">
        <v>19</v>
      </c>
      <c r="D194" s="0" t="s">
        <v>42</v>
      </c>
      <c r="E194" s="10" t="n">
        <v>45726.5743055556</v>
      </c>
      <c r="F194" s="10" t="n">
        <v>45727.2145833333</v>
      </c>
      <c r="G194" s="0" t="n">
        <v>169.79</v>
      </c>
      <c r="H194" s="0" t="n">
        <v>168.08</v>
      </c>
      <c r="I194" s="11" t="n">
        <f aca="false">H194-G194</f>
        <v>-1.70999999999998</v>
      </c>
      <c r="J194" s="5" t="n">
        <f aca="false">IF(G194=0,"",I194/G194)</f>
        <v>-0.0100712645032097</v>
      </c>
      <c r="K194" s="0" t="n">
        <v>30.1</v>
      </c>
      <c r="L194" s="0" t="n">
        <v>15.37</v>
      </c>
      <c r="M194" s="11" t="s">
        <v>43</v>
      </c>
      <c r="N194" s="12" t="n">
        <f aca="false">INT(E194)</f>
        <v>45726</v>
      </c>
      <c r="O194" s="12" t="n">
        <f aca="false">IF(F194="","",INT(F194))</f>
        <v>45727</v>
      </c>
    </row>
    <row r="195" customFormat="false" ht="15" hidden="false" customHeight="false" outlineLevel="0" collapsed="false">
      <c r="A195" s="0" t="s">
        <v>430</v>
      </c>
      <c r="B195" s="0" t="s">
        <v>431</v>
      </c>
      <c r="C195" s="0" t="s">
        <v>24</v>
      </c>
      <c r="D195" s="0" t="s">
        <v>42</v>
      </c>
      <c r="E195" s="10" t="n">
        <v>45726.60625</v>
      </c>
      <c r="F195" s="10" t="n">
        <v>45727.862662037</v>
      </c>
      <c r="G195" s="0" t="n">
        <v>100.52</v>
      </c>
      <c r="H195" s="0" t="n">
        <v>97.53</v>
      </c>
      <c r="I195" s="11" t="n">
        <f aca="false">H195-G195</f>
        <v>-2.99</v>
      </c>
      <c r="J195" s="5" t="n">
        <f aca="false">IF(G195=0,"",I195/G195)</f>
        <v>-0.0297453243135694</v>
      </c>
      <c r="K195" s="0" t="n">
        <v>30.8</v>
      </c>
      <c r="L195" s="0" t="n">
        <v>30.15</v>
      </c>
      <c r="M195" s="11" t="s">
        <v>43</v>
      </c>
      <c r="N195" s="12" t="n">
        <f aca="false">INT(E195)</f>
        <v>45726</v>
      </c>
      <c r="O195" s="12" t="n">
        <f aca="false">IF(F195="","",INT(F195))</f>
        <v>45727</v>
      </c>
    </row>
    <row r="196" customFormat="false" ht="15" hidden="false" customHeight="false" outlineLevel="0" collapsed="false">
      <c r="A196" s="0" t="s">
        <v>432</v>
      </c>
      <c r="B196" s="0" t="s">
        <v>433</v>
      </c>
      <c r="C196" s="0" t="s">
        <v>21</v>
      </c>
      <c r="D196" s="0" t="s">
        <v>42</v>
      </c>
      <c r="E196" s="10" t="n">
        <v>45726.6111111111</v>
      </c>
      <c r="F196" s="10" t="n">
        <v>45727.4828935185</v>
      </c>
      <c r="G196" s="0" t="n">
        <v>350.38</v>
      </c>
      <c r="H196" s="0" t="n">
        <v>311.38</v>
      </c>
      <c r="I196" s="11" t="n">
        <f aca="false">H196-G196</f>
        <v>-39</v>
      </c>
      <c r="J196" s="5" t="n">
        <f aca="false">IF(G196=0,"",I196/G196)</f>
        <v>-0.111307723043553</v>
      </c>
      <c r="K196" s="0" t="n">
        <v>43.9</v>
      </c>
      <c r="L196" s="0" t="n">
        <v>20.92</v>
      </c>
      <c r="M196" s="11" t="s">
        <v>43</v>
      </c>
      <c r="N196" s="12" t="n">
        <f aca="false">INT(E196)</f>
        <v>45726</v>
      </c>
      <c r="O196" s="12" t="n">
        <f aca="false">IF(F196="","",INT(F196))</f>
        <v>45727</v>
      </c>
    </row>
    <row r="197" customFormat="false" ht="15" hidden="false" customHeight="false" outlineLevel="0" collapsed="false">
      <c r="A197" s="0" t="s">
        <v>434</v>
      </c>
      <c r="B197" s="0" t="s">
        <v>435</v>
      </c>
      <c r="C197" s="0" t="s">
        <v>24</v>
      </c>
      <c r="D197" s="0" t="s">
        <v>42</v>
      </c>
      <c r="E197" s="10" t="n">
        <v>45726.6368055556</v>
      </c>
      <c r="F197" s="10" t="n">
        <v>45728.5590277778</v>
      </c>
      <c r="G197" s="0" t="n">
        <v>1275.37</v>
      </c>
      <c r="H197" s="0" t="n">
        <v>1257.8</v>
      </c>
      <c r="I197" s="11" t="n">
        <f aca="false">H197-G197</f>
        <v>-17.5699999999999</v>
      </c>
      <c r="J197" s="5" t="n">
        <f aca="false">IF(G197=0,"",I197/G197)</f>
        <v>-0.0137763943012615</v>
      </c>
      <c r="K197" s="0" t="n">
        <v>383.9</v>
      </c>
      <c r="L197" s="0" t="n">
        <v>46.13</v>
      </c>
      <c r="M197" s="11" t="s">
        <v>43</v>
      </c>
      <c r="N197" s="12" t="n">
        <f aca="false">INT(E197)</f>
        <v>45726</v>
      </c>
      <c r="O197" s="12" t="n">
        <f aca="false">IF(F197="","",INT(F197))</f>
        <v>45728</v>
      </c>
    </row>
    <row r="198" customFormat="false" ht="15" hidden="false" customHeight="false" outlineLevel="0" collapsed="false">
      <c r="A198" s="0" t="s">
        <v>436</v>
      </c>
      <c r="B198" s="0" t="s">
        <v>437</v>
      </c>
      <c r="C198" s="0" t="s">
        <v>21</v>
      </c>
      <c r="D198" s="0" t="s">
        <v>42</v>
      </c>
      <c r="E198" s="10" t="n">
        <v>45726.6486111111</v>
      </c>
      <c r="F198" s="10" t="n">
        <v>45727.0589699074</v>
      </c>
      <c r="G198" s="0" t="n">
        <v>317.85</v>
      </c>
      <c r="H198" s="0" t="n">
        <v>303.93</v>
      </c>
      <c r="I198" s="11" t="n">
        <f aca="false">H198-G198</f>
        <v>-13.92</v>
      </c>
      <c r="J198" s="5" t="n">
        <f aca="false">IF(G198=0,"",I198/G198)</f>
        <v>-0.0437942425672488</v>
      </c>
      <c r="K198" s="0" t="n">
        <v>45.3</v>
      </c>
      <c r="L198" s="0" t="n">
        <v>9.85</v>
      </c>
      <c r="M198" s="11" t="s">
        <v>43</v>
      </c>
      <c r="N198" s="12" t="n">
        <f aca="false">INT(E198)</f>
        <v>45726</v>
      </c>
      <c r="O198" s="12" t="n">
        <f aca="false">IF(F198="","",INT(F198))</f>
        <v>45727</v>
      </c>
    </row>
    <row r="199" customFormat="false" ht="15" hidden="false" customHeight="false" outlineLevel="0" collapsed="false">
      <c r="A199" s="0" t="s">
        <v>438</v>
      </c>
      <c r="B199" s="0" t="s">
        <v>439</v>
      </c>
      <c r="C199" s="0" t="s">
        <v>19</v>
      </c>
      <c r="D199" s="0" t="s">
        <v>42</v>
      </c>
      <c r="E199" s="10" t="n">
        <v>45726.6875</v>
      </c>
      <c r="F199" s="10" t="n">
        <v>45726.9763888889</v>
      </c>
      <c r="G199" s="0" t="n">
        <v>106.27</v>
      </c>
      <c r="H199" s="0" t="n">
        <v>106.15</v>
      </c>
      <c r="I199" s="11" t="n">
        <f aca="false">H199-G199</f>
        <v>-0.11999999999999</v>
      </c>
      <c r="J199" s="5" t="n">
        <f aca="false">IF(G199=0,"",I199/G199)</f>
        <v>-0.00112919920956046</v>
      </c>
      <c r="K199" s="0" t="n">
        <v>15.1</v>
      </c>
      <c r="L199" s="0" t="n">
        <v>6.93</v>
      </c>
      <c r="M199" s="11" t="s">
        <v>43</v>
      </c>
      <c r="N199" s="12" t="n">
        <f aca="false">INT(E199)</f>
        <v>45726</v>
      </c>
      <c r="O199" s="12" t="n">
        <f aca="false">IF(F199="","",INT(F199))</f>
        <v>45726</v>
      </c>
    </row>
    <row r="200" customFormat="false" ht="15" hidden="false" customHeight="false" outlineLevel="0" collapsed="false">
      <c r="A200" s="0" t="s">
        <v>440</v>
      </c>
      <c r="B200" s="0" t="s">
        <v>441</v>
      </c>
      <c r="C200" s="0" t="s">
        <v>22</v>
      </c>
      <c r="D200" s="0" t="s">
        <v>42</v>
      </c>
      <c r="E200" s="10" t="n">
        <v>45726.6979166667</v>
      </c>
      <c r="F200" s="10" t="n">
        <v>45727.3048958333</v>
      </c>
      <c r="G200" s="0" t="n">
        <v>206.17</v>
      </c>
      <c r="H200" s="0" t="n">
        <v>205.61</v>
      </c>
      <c r="I200" s="11" t="n">
        <f aca="false">H200-G200</f>
        <v>-0.559999999999974</v>
      </c>
      <c r="J200" s="5" t="n">
        <f aca="false">IF(G200=0,"",I200/G200)</f>
        <v>-0.00271620507348292</v>
      </c>
      <c r="K200" s="0" t="n">
        <v>20.8</v>
      </c>
      <c r="L200" s="0" t="n">
        <v>14.57</v>
      </c>
      <c r="M200" s="11" t="s">
        <v>43</v>
      </c>
      <c r="N200" s="12" t="n">
        <f aca="false">INT(E200)</f>
        <v>45726</v>
      </c>
      <c r="O200" s="12" t="n">
        <f aca="false">IF(F200="","",INT(F200))</f>
        <v>45727</v>
      </c>
    </row>
    <row r="201" customFormat="false" ht="15" hidden="false" customHeight="false" outlineLevel="0" collapsed="false">
      <c r="A201" s="0" t="s">
        <v>442</v>
      </c>
      <c r="B201" s="0" t="s">
        <v>443</v>
      </c>
      <c r="C201" s="0" t="s">
        <v>22</v>
      </c>
      <c r="D201" s="0" t="s">
        <v>42</v>
      </c>
      <c r="E201" s="10" t="n">
        <v>45726.7173611111</v>
      </c>
      <c r="F201" s="10" t="n">
        <v>45726.9388888889</v>
      </c>
      <c r="G201" s="0" t="n">
        <v>1100.94</v>
      </c>
      <c r="H201" s="0" t="n">
        <v>1113.64</v>
      </c>
      <c r="I201" s="11" t="n">
        <f aca="false">H201-G201</f>
        <v>12.7</v>
      </c>
      <c r="J201" s="5" t="n">
        <f aca="false">IF(G201=0,"",I201/G201)</f>
        <v>0.0115355968535979</v>
      </c>
      <c r="K201" s="0" t="n">
        <v>154.5</v>
      </c>
      <c r="L201" s="0" t="n">
        <v>5.32</v>
      </c>
      <c r="M201" s="11" t="s">
        <v>43</v>
      </c>
      <c r="N201" s="12" t="n">
        <f aca="false">INT(E201)</f>
        <v>45726</v>
      </c>
      <c r="O201" s="12" t="n">
        <f aca="false">IF(F201="","",INT(F201))</f>
        <v>45726</v>
      </c>
    </row>
    <row r="202" customFormat="false" ht="15" hidden="false" customHeight="false" outlineLevel="0" collapsed="false">
      <c r="A202" s="0" t="s">
        <v>444</v>
      </c>
      <c r="B202" s="0" t="s">
        <v>445</v>
      </c>
      <c r="C202" s="0" t="s">
        <v>21</v>
      </c>
      <c r="D202" s="0" t="s">
        <v>42</v>
      </c>
      <c r="E202" s="10" t="n">
        <v>45726.7375</v>
      </c>
      <c r="F202" s="10" t="n">
        <v>45727.3666666667</v>
      </c>
      <c r="G202" s="0" t="n">
        <v>940.66</v>
      </c>
      <c r="H202" s="0" t="n">
        <v>912.2</v>
      </c>
      <c r="I202" s="11" t="n">
        <f aca="false">H202-G202</f>
        <v>-28.4599999999999</v>
      </c>
      <c r="J202" s="5" t="n">
        <f aca="false">IF(G202=0,"",I202/G202)</f>
        <v>-0.0302553526247528</v>
      </c>
      <c r="K202" s="0" t="n">
        <v>116.8</v>
      </c>
      <c r="L202" s="0" t="n">
        <v>15.1</v>
      </c>
      <c r="M202" s="11" t="s">
        <v>43</v>
      </c>
      <c r="N202" s="12" t="n">
        <f aca="false">INT(E202)</f>
        <v>45726</v>
      </c>
      <c r="O202" s="12" t="n">
        <f aca="false">IF(F202="","",INT(F202))</f>
        <v>45727</v>
      </c>
    </row>
    <row r="203" customFormat="false" ht="15" hidden="false" customHeight="false" outlineLevel="0" collapsed="false">
      <c r="A203" s="0" t="s">
        <v>446</v>
      </c>
      <c r="B203" s="0" t="s">
        <v>447</v>
      </c>
      <c r="C203" s="0" t="s">
        <v>19</v>
      </c>
      <c r="D203" s="0" t="s">
        <v>42</v>
      </c>
      <c r="E203" s="10" t="n">
        <v>45726.7493055556</v>
      </c>
      <c r="F203" s="10" t="n">
        <v>45728.4541666667</v>
      </c>
      <c r="G203" s="0" t="n">
        <v>280.08</v>
      </c>
      <c r="H203" s="0" t="n">
        <v>266.77</v>
      </c>
      <c r="I203" s="11" t="n">
        <f aca="false">H203-G203</f>
        <v>-13.31</v>
      </c>
      <c r="J203" s="5" t="n">
        <f aca="false">IF(G203=0,"",I203/G203)</f>
        <v>-0.0475221365324193</v>
      </c>
      <c r="K203" s="0" t="n">
        <v>35.7</v>
      </c>
      <c r="L203" s="0" t="n">
        <v>40.92</v>
      </c>
      <c r="M203" s="11" t="s">
        <v>43</v>
      </c>
      <c r="N203" s="12" t="n">
        <f aca="false">INT(E203)</f>
        <v>45726</v>
      </c>
      <c r="O203" s="12" t="n">
        <f aca="false">IF(F203="","",INT(F203))</f>
        <v>45728</v>
      </c>
    </row>
    <row r="204" customFormat="false" ht="15" hidden="false" customHeight="false" outlineLevel="0" collapsed="false">
      <c r="A204" s="0" t="s">
        <v>448</v>
      </c>
      <c r="B204" s="0" t="s">
        <v>449</v>
      </c>
      <c r="C204" s="0" t="s">
        <v>19</v>
      </c>
      <c r="D204" s="0" t="s">
        <v>42</v>
      </c>
      <c r="E204" s="10" t="n">
        <v>45726.75625</v>
      </c>
      <c r="F204" s="10" t="n">
        <v>45727.1118055556</v>
      </c>
      <c r="G204" s="0" t="n">
        <v>3046.09</v>
      </c>
      <c r="H204" s="0" t="n">
        <v>3099.72</v>
      </c>
      <c r="I204" s="11" t="n">
        <f aca="false">H204-G204</f>
        <v>53.6299999999997</v>
      </c>
      <c r="J204" s="5" t="n">
        <f aca="false">IF(G204=0,"",I204/G204)</f>
        <v>0.0176061770991664</v>
      </c>
      <c r="K204" s="0" t="n">
        <v>300.4</v>
      </c>
      <c r="L204" s="0" t="n">
        <v>8.53</v>
      </c>
      <c r="M204" s="11" t="s">
        <v>43</v>
      </c>
      <c r="N204" s="12" t="n">
        <f aca="false">INT(E204)</f>
        <v>45726</v>
      </c>
      <c r="O204" s="12" t="n">
        <f aca="false">IF(F204="","",INT(F204))</f>
        <v>45727</v>
      </c>
    </row>
    <row r="205" customFormat="false" ht="15" hidden="false" customHeight="false" outlineLevel="0" collapsed="false">
      <c r="A205" s="0" t="s">
        <v>450</v>
      </c>
      <c r="B205" s="0" t="s">
        <v>451</v>
      </c>
      <c r="C205" s="0" t="s">
        <v>21</v>
      </c>
      <c r="D205" s="0" t="s">
        <v>42</v>
      </c>
      <c r="E205" s="10" t="n">
        <v>45726.7743055556</v>
      </c>
      <c r="F205" s="10" t="n">
        <v>45726.9347222222</v>
      </c>
      <c r="G205" s="0" t="n">
        <v>471.95</v>
      </c>
      <c r="H205" s="0" t="n">
        <v>473.15</v>
      </c>
      <c r="I205" s="11" t="n">
        <f aca="false">H205-G205</f>
        <v>1.19999999999999</v>
      </c>
      <c r="J205" s="5" t="n">
        <f aca="false">IF(G205=0,"",I205/G205)</f>
        <v>0.00254264222904966</v>
      </c>
      <c r="K205" s="0" t="n">
        <v>66.2</v>
      </c>
      <c r="L205" s="0" t="n">
        <v>3.85</v>
      </c>
      <c r="M205" s="11" t="s">
        <v>43</v>
      </c>
      <c r="N205" s="12" t="n">
        <f aca="false">INT(E205)</f>
        <v>45726</v>
      </c>
      <c r="O205" s="12" t="n">
        <f aca="false">IF(F205="","",INT(F205))</f>
        <v>45726</v>
      </c>
    </row>
    <row r="206" customFormat="false" ht="15" hidden="false" customHeight="false" outlineLevel="0" collapsed="false">
      <c r="A206" s="0" t="s">
        <v>452</v>
      </c>
      <c r="B206" s="0" t="s">
        <v>453</v>
      </c>
      <c r="C206" s="0" t="s">
        <v>20</v>
      </c>
      <c r="D206" s="0" t="s">
        <v>42</v>
      </c>
      <c r="E206" s="10" t="n">
        <v>45726.7833333333</v>
      </c>
      <c r="F206" s="10" t="n">
        <v>45727.2638888889</v>
      </c>
      <c r="G206" s="0" t="n">
        <v>297.76</v>
      </c>
      <c r="H206" s="0" t="n">
        <v>308.15</v>
      </c>
      <c r="I206" s="11" t="n">
        <f aca="false">H206-G206</f>
        <v>10.39</v>
      </c>
      <c r="J206" s="5" t="n">
        <f aca="false">IF(G206=0,"",I206/G206)</f>
        <v>0.0348938742611499</v>
      </c>
      <c r="K206" s="0" t="n">
        <v>39.3</v>
      </c>
      <c r="L206" s="0" t="n">
        <v>11.53</v>
      </c>
      <c r="M206" s="11" t="s">
        <v>43</v>
      </c>
      <c r="N206" s="12" t="n">
        <f aca="false">INT(E206)</f>
        <v>45726</v>
      </c>
      <c r="O206" s="12" t="n">
        <f aca="false">IF(F206="","",INT(F206))</f>
        <v>45727</v>
      </c>
    </row>
    <row r="207" customFormat="false" ht="15" hidden="false" customHeight="false" outlineLevel="0" collapsed="false">
      <c r="A207" s="0" t="s">
        <v>454</v>
      </c>
      <c r="B207" s="0" t="s">
        <v>455</v>
      </c>
      <c r="C207" s="0" t="s">
        <v>22</v>
      </c>
      <c r="D207" s="0" t="s">
        <v>42</v>
      </c>
      <c r="E207" s="10" t="n">
        <v>45727.2944444444</v>
      </c>
      <c r="F207" s="10" t="n">
        <v>45727.6138888889</v>
      </c>
      <c r="G207" s="0" t="n">
        <v>125.96</v>
      </c>
      <c r="H207" s="0" t="n">
        <v>126.31</v>
      </c>
      <c r="I207" s="11" t="n">
        <f aca="false">H207-G207</f>
        <v>0.350000000000009</v>
      </c>
      <c r="J207" s="5" t="n">
        <f aca="false">IF(G207=0,"",I207/G207)</f>
        <v>0.00277865989202928</v>
      </c>
      <c r="K207" s="0" t="n">
        <v>15.8</v>
      </c>
      <c r="L207" s="0" t="n">
        <v>7.67</v>
      </c>
      <c r="M207" s="11" t="s">
        <v>43</v>
      </c>
      <c r="N207" s="12" t="n">
        <f aca="false">INT(E207)</f>
        <v>45727</v>
      </c>
      <c r="O207" s="12" t="n">
        <f aca="false">IF(F207="","",INT(F207))</f>
        <v>45727</v>
      </c>
    </row>
    <row r="208" customFormat="false" ht="15" hidden="false" customHeight="false" outlineLevel="0" collapsed="false">
      <c r="A208" s="0" t="s">
        <v>456</v>
      </c>
      <c r="B208" s="0" t="s">
        <v>457</v>
      </c>
      <c r="C208" s="0" t="s">
        <v>20</v>
      </c>
      <c r="D208" s="0" t="s">
        <v>42</v>
      </c>
      <c r="E208" s="10" t="n">
        <v>45727.3375</v>
      </c>
      <c r="F208" s="10" t="n">
        <v>45728.5319444445</v>
      </c>
      <c r="G208" s="0" t="n">
        <v>588.98</v>
      </c>
      <c r="H208" s="0" t="n">
        <v>580.2</v>
      </c>
      <c r="I208" s="11" t="n">
        <f aca="false">H208-G208</f>
        <v>-8.77999999999997</v>
      </c>
      <c r="J208" s="5" t="n">
        <f aca="false">IF(G208=0,"",I208/G208)</f>
        <v>-0.0149071275764881</v>
      </c>
      <c r="K208" s="0" t="n">
        <v>63.7</v>
      </c>
      <c r="L208" s="0" t="n">
        <v>28.67</v>
      </c>
      <c r="M208" s="11" t="s">
        <v>43</v>
      </c>
      <c r="N208" s="12" t="n">
        <f aca="false">INT(E208)</f>
        <v>45727</v>
      </c>
      <c r="O208" s="12" t="n">
        <f aca="false">IF(F208="","",INT(F208))</f>
        <v>45728</v>
      </c>
    </row>
    <row r="209" customFormat="false" ht="15" hidden="false" customHeight="false" outlineLevel="0" collapsed="false">
      <c r="A209" s="0" t="s">
        <v>458</v>
      </c>
      <c r="B209" s="0" t="s">
        <v>459</v>
      </c>
      <c r="C209" s="0" t="s">
        <v>24</v>
      </c>
      <c r="D209" s="0" t="s">
        <v>42</v>
      </c>
      <c r="E209" s="10" t="n">
        <v>45727.3520833333</v>
      </c>
      <c r="F209" s="10" t="n">
        <v>45729.1302199074</v>
      </c>
      <c r="G209" s="0" t="n">
        <v>553.45</v>
      </c>
      <c r="H209" s="0" t="n">
        <v>552.07</v>
      </c>
      <c r="I209" s="11" t="n">
        <f aca="false">H209-G209</f>
        <v>-1.38</v>
      </c>
      <c r="J209" s="5" t="n">
        <f aca="false">IF(G209=0,"",I209/G209)</f>
        <v>-0.00249345017616767</v>
      </c>
      <c r="K209" s="0" t="n">
        <v>110.4</v>
      </c>
      <c r="L209" s="0" t="n">
        <v>42.68</v>
      </c>
      <c r="M209" s="11" t="s">
        <v>43</v>
      </c>
      <c r="N209" s="12" t="n">
        <f aca="false">INT(E209)</f>
        <v>45727</v>
      </c>
      <c r="O209" s="12" t="n">
        <f aca="false">IF(F209="","",INT(F209))</f>
        <v>45729</v>
      </c>
    </row>
    <row r="210" customFormat="false" ht="15" hidden="false" customHeight="false" outlineLevel="0" collapsed="false">
      <c r="A210" s="0" t="s">
        <v>460</v>
      </c>
      <c r="B210" s="0" t="s">
        <v>461</v>
      </c>
      <c r="C210" s="0" t="s">
        <v>19</v>
      </c>
      <c r="D210" s="0" t="s">
        <v>42</v>
      </c>
      <c r="E210" s="10" t="n">
        <v>45727.3784722222</v>
      </c>
      <c r="F210" s="10" t="n">
        <v>45728.0868055556</v>
      </c>
      <c r="G210" s="0" t="n">
        <v>920.46</v>
      </c>
      <c r="H210" s="0" t="n">
        <v>906</v>
      </c>
      <c r="I210" s="11" t="n">
        <f aca="false">H210-G210</f>
        <v>-14.46</v>
      </c>
      <c r="J210" s="5" t="n">
        <f aca="false">IF(G210=0,"",I210/G210)</f>
        <v>-0.0157095365360798</v>
      </c>
      <c r="K210" s="0" t="n">
        <v>161.5</v>
      </c>
      <c r="L210" s="0" t="n">
        <v>17</v>
      </c>
      <c r="M210" s="11" t="s">
        <v>43</v>
      </c>
      <c r="N210" s="12" t="n">
        <f aca="false">INT(E210)</f>
        <v>45727</v>
      </c>
      <c r="O210" s="12" t="n">
        <f aca="false">IF(F210="","",INT(F210))</f>
        <v>45728</v>
      </c>
    </row>
    <row r="211" customFormat="false" ht="15" hidden="false" customHeight="false" outlineLevel="0" collapsed="false">
      <c r="A211" s="0" t="s">
        <v>462</v>
      </c>
      <c r="B211" s="0" t="s">
        <v>463</v>
      </c>
      <c r="C211" s="0" t="s">
        <v>20</v>
      </c>
      <c r="D211" s="0" t="s">
        <v>42</v>
      </c>
      <c r="E211" s="10" t="n">
        <v>45727.3902777778</v>
      </c>
      <c r="F211" s="10" t="n">
        <v>45730.1034953704</v>
      </c>
      <c r="G211" s="0" t="n">
        <v>131.07</v>
      </c>
      <c r="H211" s="0" t="n">
        <v>132.12</v>
      </c>
      <c r="I211" s="11" t="n">
        <f aca="false">H211-G211</f>
        <v>1.05000000000001</v>
      </c>
      <c r="J211" s="5" t="n">
        <f aca="false">IF(G211=0,"",I211/G211)</f>
        <v>0.00801098649576571</v>
      </c>
      <c r="K211" s="0" t="n">
        <v>15.2</v>
      </c>
      <c r="L211" s="0" t="n">
        <v>65.12</v>
      </c>
      <c r="M211" s="11" t="s">
        <v>43</v>
      </c>
      <c r="N211" s="12" t="n">
        <f aca="false">INT(E211)</f>
        <v>45727</v>
      </c>
      <c r="O211" s="12" t="n">
        <f aca="false">IF(F211="","",INT(F211))</f>
        <v>45730</v>
      </c>
    </row>
    <row r="212" customFormat="false" ht="15" hidden="false" customHeight="false" outlineLevel="0" collapsed="false">
      <c r="A212" s="0" t="s">
        <v>464</v>
      </c>
      <c r="B212" s="0" t="s">
        <v>465</v>
      </c>
      <c r="C212" s="0" t="s">
        <v>21</v>
      </c>
      <c r="D212" s="0" t="s">
        <v>42</v>
      </c>
      <c r="E212" s="10" t="n">
        <v>45727.3958333333</v>
      </c>
      <c r="F212" s="10" t="n">
        <v>45728.1368055556</v>
      </c>
      <c r="G212" s="0" t="n">
        <v>84.06</v>
      </c>
      <c r="H212" s="0" t="n">
        <v>81.7</v>
      </c>
      <c r="I212" s="11" t="n">
        <f aca="false">H212-G212</f>
        <v>-2.36</v>
      </c>
      <c r="J212" s="5" t="n">
        <f aca="false">IF(G212=0,"",I212/G212)</f>
        <v>-0.0280751843921009</v>
      </c>
      <c r="K212" s="0" t="n">
        <v>21.8</v>
      </c>
      <c r="L212" s="0" t="n">
        <v>17.78</v>
      </c>
      <c r="M212" s="11" t="s">
        <v>43</v>
      </c>
      <c r="N212" s="12" t="n">
        <f aca="false">INT(E212)</f>
        <v>45727</v>
      </c>
      <c r="O212" s="12" t="n">
        <f aca="false">IF(F212="","",INT(F212))</f>
        <v>45728</v>
      </c>
    </row>
    <row r="213" customFormat="false" ht="15" hidden="false" customHeight="false" outlineLevel="0" collapsed="false">
      <c r="A213" s="0" t="s">
        <v>466</v>
      </c>
      <c r="B213" s="0" t="s">
        <v>467</v>
      </c>
      <c r="C213" s="0" t="s">
        <v>21</v>
      </c>
      <c r="D213" s="0" t="s">
        <v>42</v>
      </c>
      <c r="E213" s="10" t="n">
        <v>45727.4125</v>
      </c>
      <c r="F213" s="10" t="n">
        <v>45727.9722222222</v>
      </c>
      <c r="G213" s="0" t="n">
        <v>593.57</v>
      </c>
      <c r="H213" s="0" t="n">
        <v>608.39</v>
      </c>
      <c r="I213" s="11" t="n">
        <f aca="false">H213-G213</f>
        <v>14.8199999999999</v>
      </c>
      <c r="J213" s="5" t="n">
        <f aca="false">IF(G213=0,"",I213/G213)</f>
        <v>0.0249675691156897</v>
      </c>
      <c r="K213" s="0" t="n">
        <v>140.1</v>
      </c>
      <c r="L213" s="0" t="n">
        <v>13.43</v>
      </c>
      <c r="M213" s="11" t="s">
        <v>43</v>
      </c>
      <c r="N213" s="12" t="n">
        <f aca="false">INT(E213)</f>
        <v>45727</v>
      </c>
      <c r="O213" s="12" t="n">
        <f aca="false">IF(F213="","",INT(F213))</f>
        <v>45727</v>
      </c>
    </row>
    <row r="214" customFormat="false" ht="15" hidden="false" customHeight="false" outlineLevel="0" collapsed="false">
      <c r="A214" s="0" t="s">
        <v>468</v>
      </c>
      <c r="B214" s="0" t="s">
        <v>469</v>
      </c>
      <c r="C214" s="0" t="s">
        <v>21</v>
      </c>
      <c r="D214" s="0" t="s">
        <v>42</v>
      </c>
      <c r="E214" s="10" t="n">
        <v>45727.4236111111</v>
      </c>
      <c r="F214" s="10" t="n">
        <v>45728.1102314815</v>
      </c>
      <c r="G214" s="0" t="n">
        <v>205.17</v>
      </c>
      <c r="H214" s="0" t="n">
        <v>200.27</v>
      </c>
      <c r="I214" s="11" t="n">
        <f aca="false">H214-G214</f>
        <v>-4.89999999999998</v>
      </c>
      <c r="J214" s="5" t="n">
        <f aca="false">IF(G214=0,"",I214/G214)</f>
        <v>-0.02388263391334</v>
      </c>
      <c r="K214" s="0" t="n">
        <v>57</v>
      </c>
      <c r="L214" s="0" t="n">
        <v>16.48</v>
      </c>
      <c r="M214" s="11" t="s">
        <v>43</v>
      </c>
      <c r="N214" s="12" t="n">
        <f aca="false">INT(E214)</f>
        <v>45727</v>
      </c>
      <c r="O214" s="12" t="n">
        <f aca="false">IF(F214="","",INT(F214))</f>
        <v>45728</v>
      </c>
    </row>
    <row r="215" customFormat="false" ht="15" hidden="false" customHeight="false" outlineLevel="0" collapsed="false">
      <c r="A215" s="0" t="s">
        <v>470</v>
      </c>
      <c r="B215" s="0" t="s">
        <v>471</v>
      </c>
      <c r="C215" s="0" t="s">
        <v>23</v>
      </c>
      <c r="D215" s="0" t="s">
        <v>42</v>
      </c>
      <c r="E215" s="10" t="n">
        <v>45727.425</v>
      </c>
      <c r="F215" s="10" t="n">
        <v>45727.9569444444</v>
      </c>
      <c r="G215" s="0" t="n">
        <v>944.33</v>
      </c>
      <c r="H215" s="0" t="n">
        <v>972.37</v>
      </c>
      <c r="I215" s="11" t="n">
        <f aca="false">H215-G215</f>
        <v>28.04</v>
      </c>
      <c r="J215" s="5" t="n">
        <f aca="false">IF(G215=0,"",I215/G215)</f>
        <v>0.0296930098588417</v>
      </c>
      <c r="K215" s="0" t="n">
        <v>362</v>
      </c>
      <c r="L215" s="0" t="n">
        <v>12.77</v>
      </c>
      <c r="M215" s="11" t="s">
        <v>43</v>
      </c>
      <c r="N215" s="12" t="n">
        <f aca="false">INT(E215)</f>
        <v>45727</v>
      </c>
      <c r="O215" s="12" t="n">
        <f aca="false">IF(F215="","",INT(F215))</f>
        <v>45727</v>
      </c>
    </row>
    <row r="216" customFormat="false" ht="15" hidden="false" customHeight="false" outlineLevel="0" collapsed="false">
      <c r="A216" s="0" t="s">
        <v>472</v>
      </c>
      <c r="B216" s="0" t="s">
        <v>473</v>
      </c>
      <c r="C216" s="0" t="s">
        <v>22</v>
      </c>
      <c r="D216" s="0" t="s">
        <v>42</v>
      </c>
      <c r="E216" s="10" t="n">
        <v>45727.4416666667</v>
      </c>
      <c r="F216" s="10" t="n">
        <v>45728.1944444445</v>
      </c>
      <c r="G216" s="0" t="n">
        <v>360.69</v>
      </c>
      <c r="H216" s="0" t="n">
        <v>375.38</v>
      </c>
      <c r="I216" s="11" t="n">
        <f aca="false">H216-G216</f>
        <v>14.69</v>
      </c>
      <c r="J216" s="5" t="n">
        <f aca="false">IF(G216=0,"",I216/G216)</f>
        <v>0.0407274945243838</v>
      </c>
      <c r="K216" s="0" t="n">
        <v>41.4</v>
      </c>
      <c r="L216" s="0" t="n">
        <v>18.07</v>
      </c>
      <c r="M216" s="11" t="s">
        <v>43</v>
      </c>
      <c r="N216" s="12" t="n">
        <f aca="false">INT(E216)</f>
        <v>45727</v>
      </c>
      <c r="O216" s="12" t="n">
        <f aca="false">IF(F216="","",INT(F216))</f>
        <v>45728</v>
      </c>
    </row>
    <row r="217" customFormat="false" ht="15" hidden="false" customHeight="false" outlineLevel="0" collapsed="false">
      <c r="A217" s="0" t="s">
        <v>474</v>
      </c>
      <c r="B217" s="0" t="s">
        <v>475</v>
      </c>
      <c r="C217" s="0" t="s">
        <v>20</v>
      </c>
      <c r="D217" s="0" t="s">
        <v>42</v>
      </c>
      <c r="E217" s="10" t="n">
        <v>45727.48125</v>
      </c>
      <c r="F217" s="10" t="n">
        <v>45728.2645833333</v>
      </c>
      <c r="G217" s="0" t="n">
        <v>249</v>
      </c>
      <c r="H217" s="0" t="n">
        <v>245.8</v>
      </c>
      <c r="I217" s="11" t="n">
        <f aca="false">H217-G217</f>
        <v>-3.19999999999999</v>
      </c>
      <c r="J217" s="5" t="n">
        <f aca="false">IF(G217=0,"",I217/G217)</f>
        <v>-0.0128514056224899</v>
      </c>
      <c r="K217" s="0" t="n">
        <v>28.2</v>
      </c>
      <c r="L217" s="0" t="n">
        <v>18.8</v>
      </c>
      <c r="M217" s="11" t="s">
        <v>43</v>
      </c>
      <c r="N217" s="12" t="n">
        <f aca="false">INT(E217)</f>
        <v>45727</v>
      </c>
      <c r="O217" s="12" t="n">
        <f aca="false">IF(F217="","",INT(F217))</f>
        <v>45728</v>
      </c>
    </row>
    <row r="218" customFormat="false" ht="15" hidden="false" customHeight="false" outlineLevel="0" collapsed="false">
      <c r="A218" s="0" t="s">
        <v>476</v>
      </c>
      <c r="B218" s="0" t="s">
        <v>477</v>
      </c>
      <c r="C218" s="0" t="s">
        <v>20</v>
      </c>
      <c r="D218" s="0" t="s">
        <v>42</v>
      </c>
      <c r="E218" s="10" t="n">
        <v>45727.5138888889</v>
      </c>
      <c r="F218" s="10" t="n">
        <v>45728.88125</v>
      </c>
      <c r="G218" s="0" t="n">
        <v>648.05</v>
      </c>
      <c r="H218" s="0" t="n">
        <v>634.99</v>
      </c>
      <c r="I218" s="11" t="n">
        <f aca="false">H218-G218</f>
        <v>-13.0599999999999</v>
      </c>
      <c r="J218" s="5" t="n">
        <f aca="false">IF(G218=0,"",I218/G218)</f>
        <v>-0.0201527659902784</v>
      </c>
      <c r="K218" s="0" t="n">
        <v>102</v>
      </c>
      <c r="L218" s="0" t="n">
        <v>32.82</v>
      </c>
      <c r="M218" s="11" t="s">
        <v>43</v>
      </c>
      <c r="N218" s="12" t="n">
        <f aca="false">INT(E218)</f>
        <v>45727</v>
      </c>
      <c r="O218" s="12" t="n">
        <f aca="false">IF(F218="","",INT(F218))</f>
        <v>45728</v>
      </c>
    </row>
    <row r="219" customFormat="false" ht="15" hidden="false" customHeight="false" outlineLevel="0" collapsed="false">
      <c r="A219" s="0" t="s">
        <v>478</v>
      </c>
      <c r="B219" s="0" t="s">
        <v>479</v>
      </c>
      <c r="C219" s="0" t="s">
        <v>23</v>
      </c>
      <c r="D219" s="0" t="s">
        <v>42</v>
      </c>
      <c r="E219" s="10" t="n">
        <v>45727.5590277778</v>
      </c>
      <c r="F219" s="10" t="n">
        <v>45730.9284722222</v>
      </c>
      <c r="G219" s="0" t="n">
        <v>721.04</v>
      </c>
      <c r="H219" s="0" t="n">
        <v>702.07</v>
      </c>
      <c r="I219" s="11" t="n">
        <f aca="false">H219-G219</f>
        <v>-18.9699999999999</v>
      </c>
      <c r="J219" s="5" t="n">
        <f aca="false">IF(G219=0,"",I219/G219)</f>
        <v>-0.026309220015533</v>
      </c>
      <c r="K219" s="0" t="n">
        <v>291.4</v>
      </c>
      <c r="L219" s="0" t="n">
        <v>80.87</v>
      </c>
      <c r="M219" s="11" t="s">
        <v>43</v>
      </c>
      <c r="N219" s="12" t="n">
        <f aca="false">INT(E219)</f>
        <v>45727</v>
      </c>
      <c r="O219" s="12" t="n">
        <f aca="false">IF(F219="","",INT(F219))</f>
        <v>45730</v>
      </c>
    </row>
    <row r="220" customFormat="false" ht="15" hidden="false" customHeight="false" outlineLevel="0" collapsed="false">
      <c r="A220" s="0" t="s">
        <v>480</v>
      </c>
      <c r="B220" s="0" t="s">
        <v>481</v>
      </c>
      <c r="C220" s="0" t="s">
        <v>22</v>
      </c>
      <c r="D220" s="0" t="s">
        <v>42</v>
      </c>
      <c r="E220" s="10" t="n">
        <v>45727.5708333333</v>
      </c>
      <c r="F220" s="10" t="n">
        <v>45728.9375462963</v>
      </c>
      <c r="G220" s="0" t="n">
        <v>723.26</v>
      </c>
      <c r="H220" s="0" t="n">
        <v>713.55</v>
      </c>
      <c r="I220" s="11" t="n">
        <f aca="false">H220-G220</f>
        <v>-9.71000000000004</v>
      </c>
      <c r="J220" s="5" t="n">
        <f aca="false">IF(G220=0,"",I220/G220)</f>
        <v>-0.0134253242264193</v>
      </c>
      <c r="K220" s="0" t="n">
        <v>117.8</v>
      </c>
      <c r="L220" s="0" t="n">
        <v>32.8</v>
      </c>
      <c r="M220" s="11" t="s">
        <v>43</v>
      </c>
      <c r="N220" s="12" t="n">
        <f aca="false">INT(E220)</f>
        <v>45727</v>
      </c>
      <c r="O220" s="12" t="n">
        <f aca="false">IF(F220="","",INT(F220))</f>
        <v>45728</v>
      </c>
    </row>
    <row r="221" customFormat="false" ht="15" hidden="false" customHeight="false" outlineLevel="0" collapsed="false">
      <c r="A221" s="0" t="s">
        <v>482</v>
      </c>
      <c r="B221" s="0" t="s">
        <v>483</v>
      </c>
      <c r="C221" s="0" t="s">
        <v>23</v>
      </c>
      <c r="D221" s="0" t="s">
        <v>42</v>
      </c>
      <c r="E221" s="10" t="n">
        <v>45727.5819444444</v>
      </c>
      <c r="F221" s="10" t="n">
        <v>45729.1909259259</v>
      </c>
      <c r="G221" s="0" t="n">
        <v>860.12</v>
      </c>
      <c r="H221" s="0" t="n">
        <v>857.64</v>
      </c>
      <c r="I221" s="11" t="n">
        <f aca="false">H221-G221</f>
        <v>-2.48000000000002</v>
      </c>
      <c r="J221" s="5" t="n">
        <f aca="false">IF(G221=0,"",I221/G221)</f>
        <v>-0.00288331860670606</v>
      </c>
      <c r="K221" s="0" t="n">
        <v>321.3</v>
      </c>
      <c r="L221" s="0" t="n">
        <v>38.62</v>
      </c>
      <c r="M221" s="11" t="s">
        <v>43</v>
      </c>
      <c r="N221" s="12" t="n">
        <f aca="false">INT(E221)</f>
        <v>45727</v>
      </c>
      <c r="O221" s="12" t="n">
        <f aca="false">IF(F221="","",INT(F221))</f>
        <v>45729</v>
      </c>
    </row>
    <row r="222" customFormat="false" ht="15" hidden="false" customHeight="false" outlineLevel="0" collapsed="false">
      <c r="A222" s="0" t="s">
        <v>484</v>
      </c>
      <c r="B222" s="0" t="s">
        <v>485</v>
      </c>
      <c r="C222" s="0" t="s">
        <v>24</v>
      </c>
      <c r="D222" s="0" t="s">
        <v>42</v>
      </c>
      <c r="E222" s="10" t="n">
        <v>45727.5840277778</v>
      </c>
      <c r="F222" s="10" t="n">
        <v>45729.0440856482</v>
      </c>
      <c r="G222" s="0" t="n">
        <v>234.89</v>
      </c>
      <c r="H222" s="0" t="n">
        <v>228.51</v>
      </c>
      <c r="I222" s="11" t="n">
        <f aca="false">H222-G222</f>
        <v>-6.38</v>
      </c>
      <c r="J222" s="5" t="n">
        <f aca="false">IF(G222=0,"",I222/G222)</f>
        <v>-0.0271616501341053</v>
      </c>
      <c r="K222" s="0" t="n">
        <v>54.9</v>
      </c>
      <c r="L222" s="0" t="n">
        <v>35.04</v>
      </c>
      <c r="M222" s="11" t="s">
        <v>43</v>
      </c>
      <c r="N222" s="12" t="n">
        <f aca="false">INT(E222)</f>
        <v>45727</v>
      </c>
      <c r="O222" s="12" t="n">
        <f aca="false">IF(F222="","",INT(F222))</f>
        <v>45729</v>
      </c>
    </row>
    <row r="223" customFormat="false" ht="15" hidden="false" customHeight="false" outlineLevel="0" collapsed="false">
      <c r="A223" s="0" t="s">
        <v>486</v>
      </c>
      <c r="B223" s="0" t="s">
        <v>487</v>
      </c>
      <c r="C223" s="0" t="s">
        <v>22</v>
      </c>
      <c r="D223" s="0" t="s">
        <v>42</v>
      </c>
      <c r="E223" s="10" t="n">
        <v>45727.5965277778</v>
      </c>
      <c r="F223" s="10" t="n">
        <v>45728.4650462963</v>
      </c>
      <c r="G223" s="0" t="n">
        <v>829.76</v>
      </c>
      <c r="H223" s="0" t="n">
        <v>827.54</v>
      </c>
      <c r="I223" s="11" t="n">
        <f aca="false">H223-G223</f>
        <v>-2.22000000000003</v>
      </c>
      <c r="J223" s="5" t="n">
        <f aca="false">IF(G223=0,"",I223/G223)</f>
        <v>-0.0026754724257617</v>
      </c>
      <c r="K223" s="0" t="n">
        <v>124.6</v>
      </c>
      <c r="L223" s="0" t="n">
        <v>20.84</v>
      </c>
      <c r="M223" s="11" t="s">
        <v>43</v>
      </c>
      <c r="N223" s="12" t="n">
        <f aca="false">INT(E223)</f>
        <v>45727</v>
      </c>
      <c r="O223" s="12" t="n">
        <f aca="false">IF(F223="","",INT(F223))</f>
        <v>45728</v>
      </c>
    </row>
    <row r="224" customFormat="false" ht="15" hidden="false" customHeight="false" outlineLevel="0" collapsed="false">
      <c r="A224" s="0" t="s">
        <v>488</v>
      </c>
      <c r="B224" s="0" t="s">
        <v>489</v>
      </c>
      <c r="C224" s="0" t="s">
        <v>23</v>
      </c>
      <c r="D224" s="0" t="s">
        <v>42</v>
      </c>
      <c r="E224" s="10" t="n">
        <v>45727.6319444445</v>
      </c>
      <c r="F224" s="10" t="n">
        <v>45728.4310532407</v>
      </c>
      <c r="G224" s="0" t="n">
        <v>259.63</v>
      </c>
      <c r="H224" s="0" t="n">
        <v>268.88</v>
      </c>
      <c r="I224" s="11" t="n">
        <f aca="false">H224-G224</f>
        <v>9.25</v>
      </c>
      <c r="J224" s="5" t="n">
        <f aca="false">IF(G224=0,"",I224/G224)</f>
        <v>0.0356276239263567</v>
      </c>
      <c r="K224" s="0" t="n">
        <v>110.9</v>
      </c>
      <c r="L224" s="0" t="n">
        <v>19.18</v>
      </c>
      <c r="M224" s="11" t="s">
        <v>43</v>
      </c>
      <c r="N224" s="12" t="n">
        <f aca="false">INT(E224)</f>
        <v>45727</v>
      </c>
      <c r="O224" s="12" t="n">
        <f aca="false">IF(F224="","",INT(F224))</f>
        <v>45728</v>
      </c>
    </row>
    <row r="225" customFormat="false" ht="15" hidden="false" customHeight="false" outlineLevel="0" collapsed="false">
      <c r="A225" s="0" t="s">
        <v>490</v>
      </c>
      <c r="B225" s="0" t="s">
        <v>491</v>
      </c>
      <c r="C225" s="0" t="s">
        <v>21</v>
      </c>
      <c r="D225" s="0" t="s">
        <v>42</v>
      </c>
      <c r="E225" s="10" t="n">
        <v>45727.6486111111</v>
      </c>
      <c r="F225" s="10" t="n">
        <v>45727.9574189815</v>
      </c>
      <c r="G225" s="0" t="n">
        <v>892.39</v>
      </c>
      <c r="H225" s="0" t="n">
        <v>766.75</v>
      </c>
      <c r="I225" s="11" t="n">
        <f aca="false">H225-G225</f>
        <v>-125.64</v>
      </c>
      <c r="J225" s="5" t="n">
        <f aca="false">IF(G225=0,"",I225/G225)</f>
        <v>-0.140790461569493</v>
      </c>
      <c r="K225" s="0" t="n">
        <v>247.3</v>
      </c>
      <c r="L225" s="0" t="n">
        <v>7.41</v>
      </c>
      <c r="M225" s="11" t="s">
        <v>43</v>
      </c>
      <c r="N225" s="12" t="n">
        <f aca="false">INT(E225)</f>
        <v>45727</v>
      </c>
      <c r="O225" s="12" t="n">
        <f aca="false">IF(F225="","",INT(F225))</f>
        <v>45727</v>
      </c>
    </row>
    <row r="226" customFormat="false" ht="15" hidden="false" customHeight="false" outlineLevel="0" collapsed="false">
      <c r="A226" s="0" t="s">
        <v>492</v>
      </c>
      <c r="B226" s="0" t="s">
        <v>493</v>
      </c>
      <c r="C226" s="0" t="s">
        <v>24</v>
      </c>
      <c r="D226" s="0" t="s">
        <v>42</v>
      </c>
      <c r="E226" s="10" t="n">
        <v>45727.6576388889</v>
      </c>
      <c r="F226" s="10" t="n">
        <v>45728.1402777778</v>
      </c>
      <c r="G226" s="0" t="n">
        <v>523.74</v>
      </c>
      <c r="H226" s="0" t="n">
        <v>518.74</v>
      </c>
      <c r="I226" s="11" t="n">
        <f aca="false">H226-G226</f>
        <v>-5</v>
      </c>
      <c r="J226" s="5" t="n">
        <f aca="false">IF(G226=0,"",I226/G226)</f>
        <v>-0.0095467216557834</v>
      </c>
      <c r="K226" s="0" t="n">
        <v>125.1</v>
      </c>
      <c r="L226" s="0" t="n">
        <v>11.58</v>
      </c>
      <c r="M226" s="11" t="s">
        <v>43</v>
      </c>
      <c r="N226" s="12" t="n">
        <f aca="false">INT(E226)</f>
        <v>45727</v>
      </c>
      <c r="O226" s="12" t="n">
        <f aca="false">IF(F226="","",INT(F226))</f>
        <v>45728</v>
      </c>
    </row>
    <row r="227" customFormat="false" ht="15" hidden="false" customHeight="false" outlineLevel="0" collapsed="false">
      <c r="A227" s="0" t="s">
        <v>494</v>
      </c>
      <c r="B227" s="0" t="s">
        <v>495</v>
      </c>
      <c r="C227" s="0" t="s">
        <v>20</v>
      </c>
      <c r="D227" s="0" t="s">
        <v>42</v>
      </c>
      <c r="E227" s="10" t="n">
        <v>45727.6597222222</v>
      </c>
      <c r="F227" s="10" t="n">
        <v>45728.4659722222</v>
      </c>
      <c r="G227" s="0" t="n">
        <v>409.66</v>
      </c>
      <c r="H227" s="0" t="n">
        <v>495.44</v>
      </c>
      <c r="I227" s="11" t="n">
        <f aca="false">H227-G227</f>
        <v>85.78</v>
      </c>
      <c r="J227" s="5" t="n">
        <f aca="false">IF(G227=0,"",I227/G227)</f>
        <v>0.209393155299517</v>
      </c>
      <c r="K227" s="0" t="n">
        <v>76.8</v>
      </c>
      <c r="L227" s="0" t="n">
        <v>19.35</v>
      </c>
      <c r="M227" s="11" t="s">
        <v>43</v>
      </c>
      <c r="N227" s="12" t="n">
        <f aca="false">INT(E227)</f>
        <v>45727</v>
      </c>
      <c r="O227" s="12" t="n">
        <f aca="false">IF(F227="","",INT(F227))</f>
        <v>45728</v>
      </c>
    </row>
    <row r="228" customFormat="false" ht="15" hidden="false" customHeight="false" outlineLevel="0" collapsed="false">
      <c r="A228" s="0" t="s">
        <v>496</v>
      </c>
      <c r="B228" s="0" t="s">
        <v>497</v>
      </c>
      <c r="C228" s="0" t="s">
        <v>22</v>
      </c>
      <c r="D228" s="0" t="s">
        <v>48</v>
      </c>
      <c r="E228" s="10" t="n">
        <v>45727.6958333333</v>
      </c>
      <c r="F228" s="10"/>
      <c r="G228" s="0" t="n">
        <v>100.85</v>
      </c>
      <c r="H228" s="0" t="n">
        <v>100.11</v>
      </c>
      <c r="I228" s="11" t="n">
        <f aca="false">H228-G228</f>
        <v>-0.739999999999995</v>
      </c>
      <c r="J228" s="5" t="n">
        <f aca="false">IF(G228=0,"",I228/G228)</f>
        <v>-0.00733763014377784</v>
      </c>
      <c r="K228" s="0" t="n">
        <v>12.9</v>
      </c>
      <c r="M228" s="11" t="s">
        <v>43</v>
      </c>
      <c r="N228" s="12" t="n">
        <f aca="false">INT(E228)</f>
        <v>45727</v>
      </c>
      <c r="O228" s="12" t="str">
        <f aca="false">IF(F228="","",INT(F228))</f>
        <v/>
      </c>
    </row>
    <row r="229" customFormat="false" ht="15" hidden="false" customHeight="false" outlineLevel="0" collapsed="false">
      <c r="A229" s="0" t="s">
        <v>498</v>
      </c>
      <c r="B229" s="0" t="s">
        <v>499</v>
      </c>
      <c r="C229" s="0" t="s">
        <v>23</v>
      </c>
      <c r="D229" s="0" t="s">
        <v>42</v>
      </c>
      <c r="E229" s="10" t="n">
        <v>45727.6986111111</v>
      </c>
      <c r="F229" s="10" t="n">
        <v>45728.8861111111</v>
      </c>
      <c r="G229" s="0" t="n">
        <v>1929.5</v>
      </c>
      <c r="H229" s="0" t="n">
        <v>1393.71</v>
      </c>
      <c r="I229" s="11" t="n">
        <f aca="false">H229-G229</f>
        <v>-535.79</v>
      </c>
      <c r="J229" s="5" t="n">
        <f aca="false">IF(G229=0,"",I229/G229)</f>
        <v>-0.277683337652242</v>
      </c>
      <c r="K229" s="0" t="n">
        <v>788.3</v>
      </c>
      <c r="L229" s="0" t="n">
        <v>28.5</v>
      </c>
      <c r="M229" s="11" t="s">
        <v>43</v>
      </c>
      <c r="N229" s="12" t="n">
        <f aca="false">INT(E229)</f>
        <v>45727</v>
      </c>
      <c r="O229" s="12" t="n">
        <f aca="false">IF(F229="","",INT(F229))</f>
        <v>45728</v>
      </c>
    </row>
    <row r="230" customFormat="false" ht="15" hidden="false" customHeight="false" outlineLevel="0" collapsed="false">
      <c r="A230" s="0" t="s">
        <v>500</v>
      </c>
      <c r="B230" s="0" t="s">
        <v>501</v>
      </c>
      <c r="C230" s="0" t="s">
        <v>23</v>
      </c>
      <c r="D230" s="0" t="s">
        <v>42</v>
      </c>
      <c r="E230" s="10" t="n">
        <v>45727.7006944444</v>
      </c>
      <c r="F230" s="10" t="n">
        <v>45728.775</v>
      </c>
      <c r="G230" s="0" t="n">
        <v>1279.62</v>
      </c>
      <c r="H230" s="0" t="n">
        <v>1304.75</v>
      </c>
      <c r="I230" s="11" t="n">
        <f aca="false">H230-G230</f>
        <v>25.1300000000001</v>
      </c>
      <c r="J230" s="5" t="n">
        <f aca="false">IF(G230=0,"",I230/G230)</f>
        <v>0.0196386427220582</v>
      </c>
      <c r="K230" s="0" t="n">
        <v>381.7</v>
      </c>
      <c r="L230" s="0" t="n">
        <v>25.78</v>
      </c>
      <c r="M230" s="11" t="s">
        <v>43</v>
      </c>
      <c r="N230" s="12" t="n">
        <f aca="false">INT(E230)</f>
        <v>45727</v>
      </c>
      <c r="O230" s="12" t="n">
        <f aca="false">IF(F230="","",INT(F230))</f>
        <v>45728</v>
      </c>
    </row>
    <row r="231" customFormat="false" ht="15" hidden="false" customHeight="false" outlineLevel="0" collapsed="false">
      <c r="A231" s="0" t="s">
        <v>502</v>
      </c>
      <c r="B231" s="0" t="s">
        <v>503</v>
      </c>
      <c r="C231" s="0" t="s">
        <v>24</v>
      </c>
      <c r="D231" s="0" t="s">
        <v>42</v>
      </c>
      <c r="E231" s="10" t="n">
        <v>45727.7506944445</v>
      </c>
      <c r="F231" s="10" t="n">
        <v>45729.8604166667</v>
      </c>
      <c r="G231" s="0" t="n">
        <v>1053.36</v>
      </c>
      <c r="H231" s="0" t="n">
        <v>1054.81</v>
      </c>
      <c r="I231" s="11" t="n">
        <f aca="false">H231-G231</f>
        <v>1.45000000000005</v>
      </c>
      <c r="J231" s="5" t="n">
        <f aca="false">IF(G231=0,"",I231/G231)</f>
        <v>0.00137654742917905</v>
      </c>
      <c r="K231" s="0" t="n">
        <v>389.4</v>
      </c>
      <c r="L231" s="0" t="n">
        <v>50.63</v>
      </c>
      <c r="M231" s="11" t="s">
        <v>43</v>
      </c>
      <c r="N231" s="12" t="n">
        <f aca="false">INT(E231)</f>
        <v>45727</v>
      </c>
      <c r="O231" s="12" t="n">
        <f aca="false">IF(F231="","",INT(F231))</f>
        <v>45729</v>
      </c>
    </row>
    <row r="232" customFormat="false" ht="15" hidden="false" customHeight="false" outlineLevel="0" collapsed="false">
      <c r="A232" s="0" t="s">
        <v>504</v>
      </c>
      <c r="B232" s="0" t="s">
        <v>505</v>
      </c>
      <c r="C232" s="0" t="s">
        <v>23</v>
      </c>
      <c r="D232" s="0" t="s">
        <v>303</v>
      </c>
      <c r="E232" s="10" t="n">
        <v>45727.7506944445</v>
      </c>
      <c r="F232" s="10"/>
      <c r="G232" s="0" t="n">
        <v>279.61</v>
      </c>
      <c r="H232" s="0" t="n">
        <v>280.12</v>
      </c>
      <c r="I232" s="11" t="n">
        <f aca="false">H232-G232</f>
        <v>0.509999999999991</v>
      </c>
      <c r="J232" s="5" t="n">
        <f aca="false">IF(G232=0,"",I232/G232)</f>
        <v>0.00182396909981757</v>
      </c>
      <c r="K232" s="0" t="n">
        <v>60.7</v>
      </c>
      <c r="M232" s="11" t="s">
        <v>43</v>
      </c>
      <c r="N232" s="12" t="n">
        <f aca="false">INT(E232)</f>
        <v>45727</v>
      </c>
      <c r="O232" s="12" t="str">
        <f aca="false">IF(F232="","",INT(F232))</f>
        <v/>
      </c>
    </row>
    <row r="233" customFormat="false" ht="15" hidden="false" customHeight="false" outlineLevel="0" collapsed="false">
      <c r="A233" s="0" t="s">
        <v>506</v>
      </c>
      <c r="B233" s="0" t="s">
        <v>507</v>
      </c>
      <c r="C233" s="0" t="s">
        <v>23</v>
      </c>
      <c r="D233" s="0" t="s">
        <v>42</v>
      </c>
      <c r="E233" s="10" t="n">
        <v>45727.7548611111</v>
      </c>
      <c r="F233" s="10" t="n">
        <v>45729.2340277778</v>
      </c>
      <c r="G233" s="0" t="n">
        <v>312.8</v>
      </c>
      <c r="H233" s="0" t="n">
        <v>317.77</v>
      </c>
      <c r="I233" s="11" t="n">
        <f aca="false">H233-G233</f>
        <v>4.96999999999997</v>
      </c>
      <c r="J233" s="5" t="n">
        <f aca="false">IF(G233=0,"",I233/G233)</f>
        <v>0.015888746803069</v>
      </c>
      <c r="K233" s="0" t="n">
        <v>90.6</v>
      </c>
      <c r="L233" s="0" t="n">
        <v>35.5</v>
      </c>
      <c r="M233" s="11" t="s">
        <v>43</v>
      </c>
      <c r="N233" s="12" t="n">
        <f aca="false">INT(E233)</f>
        <v>45727</v>
      </c>
      <c r="O233" s="12" t="n">
        <f aca="false">IF(F233="","",INT(F233))</f>
        <v>45729</v>
      </c>
    </row>
    <row r="234" customFormat="false" ht="15" hidden="false" customHeight="false" outlineLevel="0" collapsed="false">
      <c r="A234" s="0" t="s">
        <v>508</v>
      </c>
      <c r="B234" s="0" t="s">
        <v>509</v>
      </c>
      <c r="C234" s="0" t="s">
        <v>19</v>
      </c>
      <c r="D234" s="0" t="s">
        <v>42</v>
      </c>
      <c r="E234" s="10" t="n">
        <v>45727.7673611111</v>
      </c>
      <c r="F234" s="10" t="n">
        <v>45728.2819444445</v>
      </c>
      <c r="G234" s="0" t="n">
        <v>94.69</v>
      </c>
      <c r="H234" s="0" t="n">
        <v>98.43</v>
      </c>
      <c r="I234" s="11" t="n">
        <f aca="false">H234-G234</f>
        <v>3.74000000000001</v>
      </c>
      <c r="J234" s="5" t="n">
        <f aca="false">IF(G234=0,"",I234/G234)</f>
        <v>0.0394973070017954</v>
      </c>
      <c r="K234" s="0" t="n">
        <v>12.8</v>
      </c>
      <c r="L234" s="0" t="n">
        <v>12.35</v>
      </c>
      <c r="M234" s="11" t="s">
        <v>43</v>
      </c>
      <c r="N234" s="12" t="n">
        <f aca="false">INT(E234)</f>
        <v>45727</v>
      </c>
      <c r="O234" s="12" t="n">
        <f aca="false">IF(F234="","",INT(F234))</f>
        <v>45728</v>
      </c>
    </row>
    <row r="235" customFormat="false" ht="15" hidden="false" customHeight="false" outlineLevel="0" collapsed="false">
      <c r="A235" s="0" t="s">
        <v>510</v>
      </c>
      <c r="B235" s="0" t="s">
        <v>511</v>
      </c>
      <c r="C235" s="0" t="s">
        <v>23</v>
      </c>
      <c r="D235" s="0" t="s">
        <v>42</v>
      </c>
      <c r="E235" s="10" t="n">
        <v>45727.7756944444</v>
      </c>
      <c r="F235" s="10" t="n">
        <v>45730.7951388889</v>
      </c>
      <c r="G235" s="0" t="n">
        <v>757.23</v>
      </c>
      <c r="H235" s="0" t="n">
        <v>736.13</v>
      </c>
      <c r="I235" s="11" t="n">
        <f aca="false">H235-G235</f>
        <v>-21.1</v>
      </c>
      <c r="J235" s="5" t="n">
        <f aca="false">IF(G235=0,"",I235/G235)</f>
        <v>-0.0278647174570474</v>
      </c>
      <c r="K235" s="0" t="n">
        <v>166.1</v>
      </c>
      <c r="L235" s="0" t="n">
        <v>72.47</v>
      </c>
      <c r="M235" s="11" t="s">
        <v>43</v>
      </c>
      <c r="N235" s="12" t="n">
        <f aca="false">INT(E235)</f>
        <v>45727</v>
      </c>
      <c r="O235" s="12" t="n">
        <f aca="false">IF(F235="","",INT(F235))</f>
        <v>45730</v>
      </c>
    </row>
    <row r="236" customFormat="false" ht="15" hidden="false" customHeight="false" outlineLevel="0" collapsed="false">
      <c r="A236" s="0" t="s">
        <v>512</v>
      </c>
      <c r="B236" s="0" t="s">
        <v>513</v>
      </c>
      <c r="C236" s="0" t="s">
        <v>23</v>
      </c>
      <c r="D236" s="0" t="s">
        <v>42</v>
      </c>
      <c r="E236" s="10" t="n">
        <v>45727.7763888889</v>
      </c>
      <c r="F236" s="10" t="n">
        <v>45729.2265740741</v>
      </c>
      <c r="G236" s="0" t="n">
        <v>168.65</v>
      </c>
      <c r="H236" s="0" t="n">
        <v>173.02</v>
      </c>
      <c r="I236" s="11" t="n">
        <f aca="false">H236-G236</f>
        <v>4.37</v>
      </c>
      <c r="J236" s="5" t="n">
        <f aca="false">IF(G236=0,"",I236/G236)</f>
        <v>0.0259116513489476</v>
      </c>
      <c r="K236" s="0" t="n">
        <v>72.1</v>
      </c>
      <c r="L236" s="0" t="n">
        <v>34.8</v>
      </c>
      <c r="M236" s="11" t="s">
        <v>43</v>
      </c>
      <c r="N236" s="12" t="n">
        <f aca="false">INT(E236)</f>
        <v>45727</v>
      </c>
      <c r="O236" s="12" t="n">
        <f aca="false">IF(F236="","",INT(F236))</f>
        <v>45729</v>
      </c>
    </row>
    <row r="237" customFormat="false" ht="15" hidden="false" customHeight="false" outlineLevel="0" collapsed="false">
      <c r="A237" s="0" t="s">
        <v>514</v>
      </c>
      <c r="B237" s="0" t="s">
        <v>515</v>
      </c>
      <c r="C237" s="0" t="s">
        <v>24</v>
      </c>
      <c r="D237" s="0" t="s">
        <v>42</v>
      </c>
      <c r="E237" s="10" t="n">
        <v>45728.3055555556</v>
      </c>
      <c r="F237" s="10" t="n">
        <v>45729.2125</v>
      </c>
      <c r="G237" s="0" t="n">
        <v>128.53</v>
      </c>
      <c r="H237" s="0" t="n">
        <v>132.26</v>
      </c>
      <c r="I237" s="11" t="n">
        <f aca="false">H237-G237</f>
        <v>3.72999999999999</v>
      </c>
      <c r="J237" s="5" t="n">
        <f aca="false">IF(G237=0,"",I237/G237)</f>
        <v>0.0290204621489146</v>
      </c>
      <c r="K237" s="0" t="n">
        <v>23.7</v>
      </c>
      <c r="L237" s="0" t="n">
        <v>21.77</v>
      </c>
      <c r="M237" s="11" t="s">
        <v>43</v>
      </c>
      <c r="N237" s="12" t="n">
        <f aca="false">INT(E237)</f>
        <v>45728</v>
      </c>
      <c r="O237" s="12" t="n">
        <f aca="false">IF(F237="","",INT(F237))</f>
        <v>45729</v>
      </c>
    </row>
    <row r="238" customFormat="false" ht="15" hidden="false" customHeight="false" outlineLevel="0" collapsed="false">
      <c r="A238" s="0" t="s">
        <v>516</v>
      </c>
      <c r="B238" s="0" t="s">
        <v>517</v>
      </c>
      <c r="C238" s="0" t="s">
        <v>20</v>
      </c>
      <c r="D238" s="0" t="s">
        <v>42</v>
      </c>
      <c r="E238" s="10" t="n">
        <v>45728.30625</v>
      </c>
      <c r="F238" s="10" t="n">
        <v>45728.70625</v>
      </c>
      <c r="G238" s="0" t="n">
        <v>220.76</v>
      </c>
      <c r="H238" s="0" t="n">
        <v>214.23</v>
      </c>
      <c r="I238" s="11" t="n">
        <f aca="false">H238-G238</f>
        <v>-6.53</v>
      </c>
      <c r="J238" s="5" t="n">
        <f aca="false">IF(G238=0,"",I238/G238)</f>
        <v>-0.0295796339916652</v>
      </c>
      <c r="K238" s="0" t="n">
        <v>27.1</v>
      </c>
      <c r="L238" s="0" t="n">
        <v>9.6</v>
      </c>
      <c r="M238" s="11" t="s">
        <v>43</v>
      </c>
      <c r="N238" s="12" t="n">
        <f aca="false">INT(E238)</f>
        <v>45728</v>
      </c>
      <c r="O238" s="12" t="n">
        <f aca="false">IF(F238="","",INT(F238))</f>
        <v>45728</v>
      </c>
    </row>
    <row r="239" customFormat="false" ht="15" hidden="false" customHeight="false" outlineLevel="0" collapsed="false">
      <c r="A239" s="0" t="s">
        <v>518</v>
      </c>
      <c r="B239" s="0" t="s">
        <v>519</v>
      </c>
      <c r="C239" s="0" t="s">
        <v>19</v>
      </c>
      <c r="D239" s="0" t="s">
        <v>42</v>
      </c>
      <c r="E239" s="10" t="n">
        <v>45728.3166666667</v>
      </c>
      <c r="F239" s="10" t="n">
        <v>45729.0837847222</v>
      </c>
      <c r="G239" s="0" t="n">
        <v>598.29</v>
      </c>
      <c r="H239" s="0" t="n">
        <v>580.95</v>
      </c>
      <c r="I239" s="11" t="n">
        <f aca="false">H239-G239</f>
        <v>-17.3399999999999</v>
      </c>
      <c r="J239" s="5" t="n">
        <f aca="false">IF(G239=0,"",I239/G239)</f>
        <v>-0.0289826004111717</v>
      </c>
      <c r="K239" s="0" t="n">
        <v>56</v>
      </c>
      <c r="L239" s="0" t="n">
        <v>18.41</v>
      </c>
      <c r="M239" s="11" t="s">
        <v>43</v>
      </c>
      <c r="N239" s="12" t="n">
        <f aca="false">INT(E239)</f>
        <v>45728</v>
      </c>
      <c r="O239" s="12" t="n">
        <f aca="false">IF(F239="","",INT(F239))</f>
        <v>45729</v>
      </c>
    </row>
    <row r="240" customFormat="false" ht="15" hidden="false" customHeight="false" outlineLevel="0" collapsed="false">
      <c r="A240" s="0" t="s">
        <v>520</v>
      </c>
      <c r="B240" s="0" t="s">
        <v>521</v>
      </c>
      <c r="C240" s="0" t="s">
        <v>23</v>
      </c>
      <c r="D240" s="0" t="s">
        <v>42</v>
      </c>
      <c r="E240" s="10" t="n">
        <v>45728.3298611111</v>
      </c>
      <c r="F240" s="10" t="n">
        <v>45729.5770833333</v>
      </c>
      <c r="G240" s="0" t="n">
        <v>554.56</v>
      </c>
      <c r="H240" s="0" t="n">
        <v>561</v>
      </c>
      <c r="I240" s="11" t="n">
        <f aca="false">H240-G240</f>
        <v>6.44000000000006</v>
      </c>
      <c r="J240" s="5" t="n">
        <f aca="false">IF(G240=0,"",I240/G240)</f>
        <v>0.0116128101557993</v>
      </c>
      <c r="K240" s="0" t="n">
        <v>165.8</v>
      </c>
      <c r="L240" s="0" t="n">
        <v>29.93</v>
      </c>
      <c r="M240" s="11" t="s">
        <v>43</v>
      </c>
      <c r="N240" s="12" t="n">
        <f aca="false">INT(E240)</f>
        <v>45728</v>
      </c>
      <c r="O240" s="12" t="n">
        <f aca="false">IF(F240="","",INT(F240))</f>
        <v>45729</v>
      </c>
    </row>
    <row r="241" customFormat="false" ht="15" hidden="false" customHeight="false" outlineLevel="0" collapsed="false">
      <c r="A241" s="0" t="s">
        <v>522</v>
      </c>
      <c r="B241" s="0" t="s">
        <v>523</v>
      </c>
      <c r="C241" s="0" t="s">
        <v>22</v>
      </c>
      <c r="D241" s="0" t="s">
        <v>42</v>
      </c>
      <c r="E241" s="10" t="n">
        <v>45728.3340277778</v>
      </c>
      <c r="F241" s="10" t="n">
        <v>45729.019837963</v>
      </c>
      <c r="G241" s="0" t="n">
        <v>1731.44</v>
      </c>
      <c r="H241" s="0" t="n">
        <v>1786.07</v>
      </c>
      <c r="I241" s="11" t="n">
        <f aca="false">H241-G241</f>
        <v>54.6299999999999</v>
      </c>
      <c r="J241" s="5" t="n">
        <f aca="false">IF(G241=0,"",I241/G241)</f>
        <v>0.0315517719354987</v>
      </c>
      <c r="K241" s="0" t="n">
        <v>273.5</v>
      </c>
      <c r="L241" s="0" t="n">
        <v>16.46</v>
      </c>
      <c r="M241" s="11" t="s">
        <v>43</v>
      </c>
      <c r="N241" s="12" t="n">
        <f aca="false">INT(E241)</f>
        <v>45728</v>
      </c>
      <c r="O241" s="12" t="n">
        <f aca="false">IF(F241="","",INT(F241))</f>
        <v>45729</v>
      </c>
    </row>
    <row r="242" customFormat="false" ht="15" hidden="false" customHeight="false" outlineLevel="0" collapsed="false">
      <c r="A242" s="0" t="s">
        <v>524</v>
      </c>
      <c r="B242" s="0" t="s">
        <v>525</v>
      </c>
      <c r="C242" s="0" t="s">
        <v>22</v>
      </c>
      <c r="D242" s="0" t="s">
        <v>42</v>
      </c>
      <c r="E242" s="10" t="n">
        <v>45728.3555555556</v>
      </c>
      <c r="F242" s="10" t="n">
        <v>45729.2881944445</v>
      </c>
      <c r="G242" s="0" t="n">
        <v>2954.91</v>
      </c>
      <c r="H242" s="0" t="n">
        <v>2897.16</v>
      </c>
      <c r="I242" s="11" t="n">
        <f aca="false">H242-G242</f>
        <v>-57.75</v>
      </c>
      <c r="J242" s="5" t="n">
        <f aca="false">IF(G242=0,"",I242/G242)</f>
        <v>-0.0195437424490086</v>
      </c>
      <c r="K242" s="0" t="n">
        <v>279.4</v>
      </c>
      <c r="L242" s="0" t="n">
        <v>22.38</v>
      </c>
      <c r="M242" s="11" t="s">
        <v>43</v>
      </c>
      <c r="N242" s="12" t="n">
        <f aca="false">INT(E242)</f>
        <v>45728</v>
      </c>
      <c r="O242" s="12" t="n">
        <f aca="false">IF(F242="","",INT(F242))</f>
        <v>45729</v>
      </c>
    </row>
    <row r="243" customFormat="false" ht="15" hidden="false" customHeight="false" outlineLevel="0" collapsed="false">
      <c r="A243" s="0" t="s">
        <v>526</v>
      </c>
      <c r="B243" s="0" t="s">
        <v>527</v>
      </c>
      <c r="C243" s="0" t="s">
        <v>21</v>
      </c>
      <c r="D243" s="0" t="s">
        <v>42</v>
      </c>
      <c r="E243" s="10" t="n">
        <v>45728.375</v>
      </c>
      <c r="F243" s="10" t="n">
        <v>45729.9905902778</v>
      </c>
      <c r="G243" s="0" t="n">
        <v>721.34</v>
      </c>
      <c r="H243" s="0" t="n">
        <v>733.09</v>
      </c>
      <c r="I243" s="11" t="n">
        <f aca="false">H243-G243</f>
        <v>11.75</v>
      </c>
      <c r="J243" s="5" t="n">
        <f aca="false">IF(G243=0,"",I243/G243)</f>
        <v>0.0162891285662794</v>
      </c>
      <c r="K243" s="0" t="n">
        <v>130.6</v>
      </c>
      <c r="L243" s="0" t="n">
        <v>38.77</v>
      </c>
      <c r="M243" s="11" t="s">
        <v>43</v>
      </c>
      <c r="N243" s="12" t="n">
        <f aca="false">INT(E243)</f>
        <v>45728</v>
      </c>
      <c r="O243" s="12" t="n">
        <f aca="false">IF(F243="","",INT(F243))</f>
        <v>45729</v>
      </c>
    </row>
    <row r="244" customFormat="false" ht="15" hidden="false" customHeight="false" outlineLevel="0" collapsed="false">
      <c r="A244" s="0" t="s">
        <v>528</v>
      </c>
      <c r="B244" s="0" t="s">
        <v>529</v>
      </c>
      <c r="C244" s="0" t="s">
        <v>22</v>
      </c>
      <c r="D244" s="0" t="s">
        <v>42</v>
      </c>
      <c r="E244" s="10" t="n">
        <v>45728.3840277778</v>
      </c>
      <c r="F244" s="10" t="n">
        <v>45729.0828472222</v>
      </c>
      <c r="G244" s="0" t="n">
        <v>118.45</v>
      </c>
      <c r="H244" s="0" t="n">
        <v>120.06</v>
      </c>
      <c r="I244" s="11" t="n">
        <f aca="false">H244-G244</f>
        <v>1.61</v>
      </c>
      <c r="J244" s="5" t="n">
        <f aca="false">IF(G244=0,"",I244/G244)</f>
        <v>0.0135922330097087</v>
      </c>
      <c r="K244" s="0" t="n">
        <v>13.2</v>
      </c>
      <c r="L244" s="0" t="n">
        <v>16.77</v>
      </c>
      <c r="M244" s="11" t="s">
        <v>43</v>
      </c>
      <c r="N244" s="12" t="n">
        <f aca="false">INT(E244)</f>
        <v>45728</v>
      </c>
      <c r="O244" s="12" t="n">
        <f aca="false">IF(F244="","",INT(F244))</f>
        <v>45729</v>
      </c>
    </row>
    <row r="245" customFormat="false" ht="15" hidden="false" customHeight="false" outlineLevel="0" collapsed="false">
      <c r="A245" s="0" t="s">
        <v>530</v>
      </c>
      <c r="B245" s="0" t="s">
        <v>531</v>
      </c>
      <c r="C245" s="0" t="s">
        <v>22</v>
      </c>
      <c r="D245" s="0" t="s">
        <v>42</v>
      </c>
      <c r="E245" s="10" t="n">
        <v>45728.39375</v>
      </c>
      <c r="F245" s="10" t="n">
        <v>45728.7909722222</v>
      </c>
      <c r="G245" s="0" t="n">
        <v>262.5</v>
      </c>
      <c r="H245" s="0" t="n">
        <v>265.08</v>
      </c>
      <c r="I245" s="11" t="n">
        <f aca="false">H245-G245</f>
        <v>2.57999999999998</v>
      </c>
      <c r="J245" s="5" t="n">
        <f aca="false">IF(G245=0,"",I245/G245)</f>
        <v>0.00982857142857137</v>
      </c>
      <c r="K245" s="0" t="n">
        <v>36.9</v>
      </c>
      <c r="L245" s="0" t="n">
        <v>9.53</v>
      </c>
      <c r="M245" s="11" t="s">
        <v>43</v>
      </c>
      <c r="N245" s="12" t="n">
        <f aca="false">INT(E245)</f>
        <v>45728</v>
      </c>
      <c r="O245" s="12" t="n">
        <f aca="false">IF(F245="","",INT(F245))</f>
        <v>45728</v>
      </c>
    </row>
    <row r="246" customFormat="false" ht="15" hidden="false" customHeight="false" outlineLevel="0" collapsed="false">
      <c r="A246" s="0" t="s">
        <v>532</v>
      </c>
      <c r="B246" s="0" t="s">
        <v>533</v>
      </c>
      <c r="C246" s="0" t="s">
        <v>23</v>
      </c>
      <c r="D246" s="0" t="s">
        <v>42</v>
      </c>
      <c r="E246" s="10" t="n">
        <v>45728.4555555556</v>
      </c>
      <c r="F246" s="10" t="n">
        <v>45729.5330324074</v>
      </c>
      <c r="G246" s="0" t="n">
        <v>124.54</v>
      </c>
      <c r="H246" s="0" t="n">
        <v>122.67</v>
      </c>
      <c r="I246" s="11" t="n">
        <f aca="false">H246-G246</f>
        <v>-1.87</v>
      </c>
      <c r="J246" s="5" t="n">
        <f aca="false">IF(G246=0,"",I246/G246)</f>
        <v>-0.0150152561426048</v>
      </c>
      <c r="K246" s="0" t="n">
        <v>42</v>
      </c>
      <c r="L246" s="0" t="n">
        <v>25.86</v>
      </c>
      <c r="M246" s="11" t="s">
        <v>43</v>
      </c>
      <c r="N246" s="12" t="n">
        <f aca="false">INT(E246)</f>
        <v>45728</v>
      </c>
      <c r="O246" s="12" t="n">
        <f aca="false">IF(F246="","",INT(F246))</f>
        <v>45729</v>
      </c>
    </row>
    <row r="247" customFormat="false" ht="15" hidden="false" customHeight="false" outlineLevel="0" collapsed="false">
      <c r="A247" s="0" t="s">
        <v>534</v>
      </c>
      <c r="B247" s="0" t="s">
        <v>535</v>
      </c>
      <c r="C247" s="0" t="s">
        <v>19</v>
      </c>
      <c r="D247" s="0" t="s">
        <v>42</v>
      </c>
      <c r="E247" s="10" t="n">
        <v>45728.4854166667</v>
      </c>
      <c r="F247" s="10" t="n">
        <v>45729</v>
      </c>
      <c r="G247" s="0" t="n">
        <v>569.2</v>
      </c>
      <c r="H247" s="0" t="n">
        <v>579.05</v>
      </c>
      <c r="I247" s="11" t="n">
        <f aca="false">H247-G247</f>
        <v>9.84999999999991</v>
      </c>
      <c r="J247" s="5" t="n">
        <f aca="false">IF(G247=0,"",I247/G247)</f>
        <v>0.0173049894588895</v>
      </c>
      <c r="K247" s="0" t="n">
        <v>93</v>
      </c>
      <c r="L247" s="0" t="n">
        <v>12.35</v>
      </c>
      <c r="M247" s="11" t="s">
        <v>43</v>
      </c>
      <c r="N247" s="12" t="n">
        <f aca="false">INT(E247)</f>
        <v>45728</v>
      </c>
      <c r="O247" s="12" t="n">
        <f aca="false">IF(F247="","",INT(F247))</f>
        <v>45729</v>
      </c>
    </row>
    <row r="248" customFormat="false" ht="15" hidden="false" customHeight="false" outlineLevel="0" collapsed="false">
      <c r="A248" s="0" t="s">
        <v>536</v>
      </c>
      <c r="B248" s="0" t="s">
        <v>537</v>
      </c>
      <c r="C248" s="0" t="s">
        <v>23</v>
      </c>
      <c r="D248" s="0" t="s">
        <v>42</v>
      </c>
      <c r="E248" s="10" t="n">
        <v>45728.4895833333</v>
      </c>
      <c r="F248" s="10" t="n">
        <v>45729.54375</v>
      </c>
      <c r="G248" s="0" t="n">
        <v>210.89</v>
      </c>
      <c r="H248" s="0" t="n">
        <v>211.13</v>
      </c>
      <c r="I248" s="11" t="n">
        <f aca="false">H248-G248</f>
        <v>0.240000000000009</v>
      </c>
      <c r="J248" s="5" t="n">
        <f aca="false">IF(G248=0,"",I248/G248)</f>
        <v>0.00113803404618526</v>
      </c>
      <c r="K248" s="0" t="n">
        <v>56</v>
      </c>
      <c r="L248" s="0" t="n">
        <v>25.3</v>
      </c>
      <c r="M248" s="11" t="s">
        <v>43</v>
      </c>
      <c r="N248" s="12" t="n">
        <f aca="false">INT(E248)</f>
        <v>45728</v>
      </c>
      <c r="O248" s="12" t="n">
        <f aca="false">IF(F248="","",INT(F248))</f>
        <v>45729</v>
      </c>
    </row>
    <row r="249" customFormat="false" ht="15" hidden="false" customHeight="false" outlineLevel="0" collapsed="false">
      <c r="A249" s="0" t="s">
        <v>538</v>
      </c>
      <c r="B249" s="0" t="s">
        <v>539</v>
      </c>
      <c r="C249" s="0" t="s">
        <v>24</v>
      </c>
      <c r="D249" s="0" t="s">
        <v>42</v>
      </c>
      <c r="E249" s="10" t="n">
        <v>45728.4951388889</v>
      </c>
      <c r="F249" s="10" t="n">
        <v>45730.8076273148</v>
      </c>
      <c r="G249" s="0" t="n">
        <v>216.27</v>
      </c>
      <c r="H249" s="0" t="n">
        <v>212.97</v>
      </c>
      <c r="I249" s="11" t="n">
        <f aca="false">H249-G249</f>
        <v>-3.30000000000001</v>
      </c>
      <c r="J249" s="5" t="n">
        <f aca="false">IF(G249=0,"",I249/G249)</f>
        <v>-0.0152587043972812</v>
      </c>
      <c r="K249" s="0" t="n">
        <v>85.9</v>
      </c>
      <c r="L249" s="0" t="n">
        <v>55.5</v>
      </c>
      <c r="M249" s="11" t="s">
        <v>43</v>
      </c>
      <c r="N249" s="12" t="n">
        <f aca="false">INT(E249)</f>
        <v>45728</v>
      </c>
      <c r="O249" s="12" t="n">
        <f aca="false">IF(F249="","",INT(F249))</f>
        <v>45730</v>
      </c>
    </row>
    <row r="250" customFormat="false" ht="15" hidden="false" customHeight="false" outlineLevel="0" collapsed="false">
      <c r="A250" s="0" t="s">
        <v>540</v>
      </c>
      <c r="B250" s="0" t="s">
        <v>541</v>
      </c>
      <c r="C250" s="0" t="s">
        <v>23</v>
      </c>
      <c r="D250" s="0" t="s">
        <v>42</v>
      </c>
      <c r="E250" s="10" t="n">
        <v>45728.5173611111</v>
      </c>
      <c r="F250" s="10" t="n">
        <v>45732.2270833333</v>
      </c>
      <c r="G250" s="0" t="n">
        <v>480.05</v>
      </c>
      <c r="H250" s="0" t="n">
        <v>489.07</v>
      </c>
      <c r="I250" s="11" t="n">
        <f aca="false">H250-G250</f>
        <v>9.01999999999998</v>
      </c>
      <c r="J250" s="5" t="n">
        <f aca="false">IF(G250=0,"",I250/G250)</f>
        <v>0.0187897094052702</v>
      </c>
      <c r="K250" s="0" t="n">
        <v>195.8</v>
      </c>
      <c r="L250" s="0" t="n">
        <v>59.58</v>
      </c>
      <c r="M250" s="11" t="s">
        <v>43</v>
      </c>
      <c r="N250" s="12" t="n">
        <f aca="false">INT(E250)</f>
        <v>45728</v>
      </c>
      <c r="O250" s="12" t="n">
        <f aca="false">IF(F250="","",INT(F250))</f>
        <v>45732</v>
      </c>
    </row>
    <row r="251" customFormat="false" ht="15" hidden="false" customHeight="false" outlineLevel="0" collapsed="false">
      <c r="A251" s="0" t="s">
        <v>542</v>
      </c>
      <c r="B251" s="0" t="s">
        <v>543</v>
      </c>
      <c r="C251" s="0" t="s">
        <v>19</v>
      </c>
      <c r="D251" s="0" t="s">
        <v>42</v>
      </c>
      <c r="E251" s="10" t="n">
        <v>45728.5548611111</v>
      </c>
      <c r="F251" s="10" t="n">
        <v>45729.6895833333</v>
      </c>
      <c r="G251" s="0" t="n">
        <v>680.19</v>
      </c>
      <c r="H251" s="0" t="n">
        <v>817.5</v>
      </c>
      <c r="I251" s="11" t="n">
        <f aca="false">H251-G251</f>
        <v>137.31</v>
      </c>
      <c r="J251" s="5" t="n">
        <f aca="false">IF(G251=0,"",I251/G251)</f>
        <v>0.201870065716932</v>
      </c>
      <c r="K251" s="0" t="n">
        <v>103.5</v>
      </c>
      <c r="L251" s="0" t="n">
        <v>27.23</v>
      </c>
      <c r="M251" s="11" t="s">
        <v>43</v>
      </c>
      <c r="N251" s="12" t="n">
        <f aca="false">INT(E251)</f>
        <v>45728</v>
      </c>
      <c r="O251" s="12" t="n">
        <f aca="false">IF(F251="","",INT(F251))</f>
        <v>45729</v>
      </c>
    </row>
    <row r="252" customFormat="false" ht="15" hidden="false" customHeight="false" outlineLevel="0" collapsed="false">
      <c r="A252" s="0" t="s">
        <v>544</v>
      </c>
      <c r="B252" s="0" t="s">
        <v>545</v>
      </c>
      <c r="C252" s="0" t="s">
        <v>23</v>
      </c>
      <c r="D252" s="0" t="s">
        <v>42</v>
      </c>
      <c r="E252" s="10" t="n">
        <v>45728.5631944445</v>
      </c>
      <c r="F252" s="10" t="n">
        <v>45729.9618055556</v>
      </c>
      <c r="G252" s="0" t="n">
        <v>1329.71</v>
      </c>
      <c r="H252" s="0" t="n">
        <v>1356.42</v>
      </c>
      <c r="I252" s="11" t="n">
        <f aca="false">H252-G252</f>
        <v>26.71</v>
      </c>
      <c r="J252" s="5" t="n">
        <f aca="false">IF(G252=0,"",I252/G252)</f>
        <v>0.0200870866579931</v>
      </c>
      <c r="K252" s="0" t="n">
        <v>443.1</v>
      </c>
      <c r="L252" s="0" t="n">
        <v>33.57</v>
      </c>
      <c r="M252" s="11" t="s">
        <v>43</v>
      </c>
      <c r="N252" s="12" t="n">
        <f aca="false">INT(E252)</f>
        <v>45728</v>
      </c>
      <c r="O252" s="12" t="n">
        <f aca="false">IF(F252="","",INT(F252))</f>
        <v>45729</v>
      </c>
    </row>
    <row r="253" customFormat="false" ht="15" hidden="false" customHeight="false" outlineLevel="0" collapsed="false">
      <c r="A253" s="0" t="s">
        <v>546</v>
      </c>
      <c r="B253" s="0" t="s">
        <v>547</v>
      </c>
      <c r="C253" s="0" t="s">
        <v>21</v>
      </c>
      <c r="D253" s="0" t="s">
        <v>42</v>
      </c>
      <c r="E253" s="10" t="n">
        <v>45728.5708333333</v>
      </c>
      <c r="F253" s="10" t="n">
        <v>45729.0770833333</v>
      </c>
      <c r="G253" s="0" t="n">
        <v>183.94</v>
      </c>
      <c r="H253" s="0" t="n">
        <v>179.28</v>
      </c>
      <c r="I253" s="11" t="n">
        <f aca="false">H253-G253</f>
        <v>-4.66</v>
      </c>
      <c r="J253" s="5" t="n">
        <f aca="false">IF(G253=0,"",I253/G253)</f>
        <v>-0.0253343481570077</v>
      </c>
      <c r="K253" s="0" t="n">
        <v>40.4</v>
      </c>
      <c r="L253" s="0" t="n">
        <v>12.15</v>
      </c>
      <c r="M253" s="11" t="s">
        <v>43</v>
      </c>
      <c r="N253" s="12" t="n">
        <f aca="false">INT(E253)</f>
        <v>45728</v>
      </c>
      <c r="O253" s="12" t="n">
        <f aca="false">IF(F253="","",INT(F253))</f>
        <v>45729</v>
      </c>
    </row>
    <row r="254" customFormat="false" ht="15" hidden="false" customHeight="false" outlineLevel="0" collapsed="false">
      <c r="A254" s="0" t="s">
        <v>548</v>
      </c>
      <c r="B254" s="0" t="s">
        <v>549</v>
      </c>
      <c r="C254" s="0" t="s">
        <v>20</v>
      </c>
      <c r="D254" s="0" t="s">
        <v>42</v>
      </c>
      <c r="E254" s="10" t="n">
        <v>45728.575</v>
      </c>
      <c r="F254" s="10" t="n">
        <v>45730.4073263889</v>
      </c>
      <c r="G254" s="0" t="n">
        <v>497.43</v>
      </c>
      <c r="H254" s="0" t="n">
        <v>497.37</v>
      </c>
      <c r="I254" s="11" t="n">
        <f aca="false">H254-G254</f>
        <v>-0.0600000000000023</v>
      </c>
      <c r="J254" s="5" t="n">
        <f aca="false">IF(G254=0,"",I254/G254)</f>
        <v>-0.000120619986731806</v>
      </c>
      <c r="K254" s="0" t="n">
        <v>65.9</v>
      </c>
      <c r="L254" s="0" t="n">
        <v>43.98</v>
      </c>
      <c r="M254" s="11" t="s">
        <v>43</v>
      </c>
      <c r="N254" s="12" t="n">
        <f aca="false">INT(E254)</f>
        <v>45728</v>
      </c>
      <c r="O254" s="12" t="n">
        <f aca="false">IF(F254="","",INT(F254))</f>
        <v>45730</v>
      </c>
    </row>
    <row r="255" customFormat="false" ht="15" hidden="false" customHeight="false" outlineLevel="0" collapsed="false">
      <c r="A255" s="0" t="s">
        <v>550</v>
      </c>
      <c r="B255" s="0" t="s">
        <v>551</v>
      </c>
      <c r="C255" s="0" t="s">
        <v>24</v>
      </c>
      <c r="D255" s="0" t="s">
        <v>42</v>
      </c>
      <c r="E255" s="10" t="n">
        <v>45728.5777777778</v>
      </c>
      <c r="F255" s="10" t="n">
        <v>45730.8909722222</v>
      </c>
      <c r="G255" s="0" t="n">
        <v>363.66</v>
      </c>
      <c r="H255" s="0" t="n">
        <v>362.47</v>
      </c>
      <c r="I255" s="11" t="n">
        <f aca="false">H255-G255</f>
        <v>-1.19</v>
      </c>
      <c r="J255" s="5" t="n">
        <f aca="false">IF(G255=0,"",I255/G255)</f>
        <v>-0.00327228730132541</v>
      </c>
      <c r="K255" s="0" t="n">
        <v>127</v>
      </c>
      <c r="L255" s="0" t="n">
        <v>55.52</v>
      </c>
      <c r="M255" s="11" t="s">
        <v>43</v>
      </c>
      <c r="N255" s="12" t="n">
        <f aca="false">INT(E255)</f>
        <v>45728</v>
      </c>
      <c r="O255" s="12" t="n">
        <f aca="false">IF(F255="","",INT(F255))</f>
        <v>45730</v>
      </c>
    </row>
    <row r="256" customFormat="false" ht="15" hidden="false" customHeight="false" outlineLevel="0" collapsed="false">
      <c r="A256" s="0" t="s">
        <v>552</v>
      </c>
      <c r="B256" s="0" t="s">
        <v>553</v>
      </c>
      <c r="C256" s="0" t="s">
        <v>24</v>
      </c>
      <c r="D256" s="0" t="s">
        <v>42</v>
      </c>
      <c r="E256" s="10" t="n">
        <v>45728.5895833333</v>
      </c>
      <c r="F256" s="10" t="n">
        <v>45729.7694444444</v>
      </c>
      <c r="G256" s="0" t="n">
        <v>866.69</v>
      </c>
      <c r="H256" s="0" t="n">
        <v>885.44</v>
      </c>
      <c r="I256" s="11" t="n">
        <f aca="false">H256-G256</f>
        <v>18.75</v>
      </c>
      <c r="J256" s="5" t="n">
        <f aca="false">IF(G256=0,"",I256/G256)</f>
        <v>0.0216340329298827</v>
      </c>
      <c r="K256" s="0" t="n">
        <v>226.5</v>
      </c>
      <c r="L256" s="0" t="n">
        <v>28.32</v>
      </c>
      <c r="M256" s="11" t="s">
        <v>43</v>
      </c>
      <c r="N256" s="12" t="n">
        <f aca="false">INT(E256)</f>
        <v>45728</v>
      </c>
      <c r="O256" s="12" t="n">
        <f aca="false">IF(F256="","",INT(F256))</f>
        <v>45729</v>
      </c>
    </row>
    <row r="257" customFormat="false" ht="15" hidden="false" customHeight="false" outlineLevel="0" collapsed="false">
      <c r="A257" s="0" t="s">
        <v>554</v>
      </c>
      <c r="B257" s="0" t="s">
        <v>555</v>
      </c>
      <c r="C257" s="0" t="s">
        <v>20</v>
      </c>
      <c r="D257" s="0" t="s">
        <v>42</v>
      </c>
      <c r="E257" s="10" t="n">
        <v>45728.6048611111</v>
      </c>
      <c r="F257" s="10" t="n">
        <v>45729.2791087963</v>
      </c>
      <c r="G257" s="0" t="n">
        <v>235</v>
      </c>
      <c r="H257" s="0" t="n">
        <v>229.49</v>
      </c>
      <c r="I257" s="11" t="n">
        <f aca="false">H257-G257</f>
        <v>-5.50999999999999</v>
      </c>
      <c r="J257" s="5" t="n">
        <f aca="false">IF(G257=0,"",I257/G257)</f>
        <v>-0.0234468085106383</v>
      </c>
      <c r="K257" s="0" t="n">
        <v>25.7</v>
      </c>
      <c r="L257" s="0" t="n">
        <v>16.18</v>
      </c>
      <c r="M257" s="11" t="s">
        <v>43</v>
      </c>
      <c r="N257" s="12" t="n">
        <f aca="false">INT(E257)</f>
        <v>45728</v>
      </c>
      <c r="O257" s="12" t="n">
        <f aca="false">IF(F257="","",INT(F257))</f>
        <v>45729</v>
      </c>
    </row>
    <row r="258" customFormat="false" ht="15" hidden="false" customHeight="false" outlineLevel="0" collapsed="false">
      <c r="A258" s="0" t="s">
        <v>556</v>
      </c>
      <c r="B258" s="0" t="s">
        <v>557</v>
      </c>
      <c r="C258" s="0" t="s">
        <v>20</v>
      </c>
      <c r="D258" s="0" t="s">
        <v>42</v>
      </c>
      <c r="E258" s="10" t="n">
        <v>45728.6118055556</v>
      </c>
      <c r="F258" s="10" t="n">
        <v>45729.4111111111</v>
      </c>
      <c r="G258" s="0" t="n">
        <v>178.41</v>
      </c>
      <c r="H258" s="0" t="n">
        <v>182.18</v>
      </c>
      <c r="I258" s="11" t="n">
        <f aca="false">H258-G258</f>
        <v>3.77000000000001</v>
      </c>
      <c r="J258" s="5" t="n">
        <f aca="false">IF(G258=0,"",I258/G258)</f>
        <v>0.0211311025166751</v>
      </c>
      <c r="K258" s="0" t="n">
        <v>34.2</v>
      </c>
      <c r="L258" s="0" t="n">
        <v>19.18</v>
      </c>
      <c r="M258" s="11" t="s">
        <v>43</v>
      </c>
      <c r="N258" s="12" t="n">
        <f aca="false">INT(E258)</f>
        <v>45728</v>
      </c>
      <c r="O258" s="12" t="n">
        <f aca="false">IF(F258="","",INT(F258))</f>
        <v>45729</v>
      </c>
    </row>
    <row r="259" customFormat="false" ht="15" hidden="false" customHeight="false" outlineLevel="0" collapsed="false">
      <c r="A259" s="0" t="s">
        <v>558</v>
      </c>
      <c r="B259" s="0" t="s">
        <v>559</v>
      </c>
      <c r="C259" s="0" t="s">
        <v>21</v>
      </c>
      <c r="D259" s="0" t="s">
        <v>42</v>
      </c>
      <c r="E259" s="10" t="n">
        <v>45728.6131944444</v>
      </c>
      <c r="F259" s="10" t="n">
        <v>45729.3201388889</v>
      </c>
      <c r="G259" s="0" t="n">
        <v>268.61</v>
      </c>
      <c r="H259" s="0" t="n">
        <v>266.66</v>
      </c>
      <c r="I259" s="11" t="n">
        <f aca="false">H259-G259</f>
        <v>-1.94999999999999</v>
      </c>
      <c r="J259" s="5" t="n">
        <f aca="false">IF(G259=0,"",I259/G259)</f>
        <v>-0.00725959569636271</v>
      </c>
      <c r="K259" s="0" t="n">
        <v>51.5</v>
      </c>
      <c r="L259" s="0" t="n">
        <v>16.97</v>
      </c>
      <c r="M259" s="11" t="s">
        <v>43</v>
      </c>
      <c r="N259" s="12" t="n">
        <f aca="false">INT(E259)</f>
        <v>45728</v>
      </c>
      <c r="O259" s="12" t="n">
        <f aca="false">IF(F259="","",INT(F259))</f>
        <v>45729</v>
      </c>
    </row>
    <row r="260" customFormat="false" ht="15" hidden="false" customHeight="false" outlineLevel="0" collapsed="false">
      <c r="A260" s="0" t="s">
        <v>560</v>
      </c>
      <c r="B260" s="0" t="s">
        <v>561</v>
      </c>
      <c r="C260" s="0" t="s">
        <v>20</v>
      </c>
      <c r="D260" s="0" t="s">
        <v>42</v>
      </c>
      <c r="E260" s="10" t="n">
        <v>45728.6555555556</v>
      </c>
      <c r="F260" s="10" t="n">
        <v>45729.2519907407</v>
      </c>
      <c r="G260" s="0" t="n">
        <v>298.61</v>
      </c>
      <c r="H260" s="0" t="n">
        <v>292.19</v>
      </c>
      <c r="I260" s="11" t="n">
        <f aca="false">H260-G260</f>
        <v>-6.42000000000002</v>
      </c>
      <c r="J260" s="5" t="n">
        <f aca="false">IF(G260=0,"",I260/G260)</f>
        <v>-0.021499614882288</v>
      </c>
      <c r="K260" s="0" t="n">
        <v>43</v>
      </c>
      <c r="L260" s="0" t="n">
        <v>14.31</v>
      </c>
      <c r="M260" s="11" t="s">
        <v>43</v>
      </c>
      <c r="N260" s="12" t="n">
        <f aca="false">INT(E260)</f>
        <v>45728</v>
      </c>
      <c r="O260" s="12" t="n">
        <f aca="false">IF(F260="","",INT(F260))</f>
        <v>45729</v>
      </c>
    </row>
    <row r="261" customFormat="false" ht="15" hidden="false" customHeight="false" outlineLevel="0" collapsed="false">
      <c r="A261" s="0" t="s">
        <v>562</v>
      </c>
      <c r="B261" s="0" t="s">
        <v>563</v>
      </c>
      <c r="C261" s="0" t="s">
        <v>21</v>
      </c>
      <c r="D261" s="0" t="s">
        <v>42</v>
      </c>
      <c r="E261" s="10" t="n">
        <v>45728.6583333333</v>
      </c>
      <c r="F261" s="10" t="n">
        <v>45730.7930555556</v>
      </c>
      <c r="G261" s="0" t="n">
        <v>178.32</v>
      </c>
      <c r="H261" s="0" t="n">
        <v>175.51</v>
      </c>
      <c r="I261" s="11" t="n">
        <f aca="false">H261-G261</f>
        <v>-2.81</v>
      </c>
      <c r="J261" s="5" t="n">
        <f aca="false">IF(G261=0,"",I261/G261)</f>
        <v>-0.0157581875280395</v>
      </c>
      <c r="K261" s="0" t="n">
        <v>32.1</v>
      </c>
      <c r="L261" s="0" t="n">
        <v>51.23</v>
      </c>
      <c r="M261" s="11" t="s">
        <v>43</v>
      </c>
      <c r="N261" s="12" t="n">
        <f aca="false">INT(E261)</f>
        <v>45728</v>
      </c>
      <c r="O261" s="12" t="n">
        <f aca="false">IF(F261="","",INT(F261))</f>
        <v>45730</v>
      </c>
    </row>
    <row r="262" customFormat="false" ht="15" hidden="false" customHeight="false" outlineLevel="0" collapsed="false">
      <c r="A262" s="0" t="s">
        <v>564</v>
      </c>
      <c r="B262" s="0" t="s">
        <v>565</v>
      </c>
      <c r="C262" s="0" t="s">
        <v>23</v>
      </c>
      <c r="D262" s="0" t="s">
        <v>42</v>
      </c>
      <c r="E262" s="10" t="n">
        <v>45728.6729166667</v>
      </c>
      <c r="F262" s="10" t="n">
        <v>45730.8368055556</v>
      </c>
      <c r="G262" s="0" t="n">
        <v>643.57</v>
      </c>
      <c r="H262" s="0" t="n">
        <v>628.88</v>
      </c>
      <c r="I262" s="11" t="n">
        <f aca="false">H262-G262</f>
        <v>-14.6900000000001</v>
      </c>
      <c r="J262" s="5" t="n">
        <f aca="false">IF(G262=0,"",I262/G262)</f>
        <v>-0.0228257998352938</v>
      </c>
      <c r="K262" s="0" t="n">
        <v>131.7</v>
      </c>
      <c r="L262" s="0" t="n">
        <v>51.93</v>
      </c>
      <c r="M262" s="11" t="s">
        <v>43</v>
      </c>
      <c r="N262" s="12" t="n">
        <f aca="false">INT(E262)</f>
        <v>45728</v>
      </c>
      <c r="O262" s="12" t="n">
        <f aca="false">IF(F262="","",INT(F262))</f>
        <v>45730</v>
      </c>
    </row>
    <row r="263" customFormat="false" ht="15" hidden="false" customHeight="false" outlineLevel="0" collapsed="false">
      <c r="A263" s="0" t="s">
        <v>566</v>
      </c>
      <c r="B263" s="0" t="s">
        <v>567</v>
      </c>
      <c r="C263" s="0" t="s">
        <v>23</v>
      </c>
      <c r="D263" s="0" t="s">
        <v>303</v>
      </c>
      <c r="E263" s="10" t="n">
        <v>45728.6784722222</v>
      </c>
      <c r="F263" s="10"/>
      <c r="G263" s="0" t="n">
        <v>317.11</v>
      </c>
      <c r="H263" s="0" t="n">
        <v>315.84</v>
      </c>
      <c r="I263" s="11" t="n">
        <f aca="false">H263-G263</f>
        <v>-1.27000000000004</v>
      </c>
      <c r="J263" s="5" t="n">
        <f aca="false">IF(G263=0,"",I263/G263)</f>
        <v>-0.00400491942858957</v>
      </c>
      <c r="K263" s="0" t="n">
        <v>112.8</v>
      </c>
      <c r="M263" s="11" t="s">
        <v>43</v>
      </c>
      <c r="N263" s="12" t="n">
        <f aca="false">INT(E263)</f>
        <v>45728</v>
      </c>
      <c r="O263" s="12" t="str">
        <f aca="false">IF(F263="","",INT(F263))</f>
        <v/>
      </c>
    </row>
    <row r="264" customFormat="false" ht="15" hidden="false" customHeight="false" outlineLevel="0" collapsed="false">
      <c r="A264" s="0" t="s">
        <v>568</v>
      </c>
      <c r="B264" s="0" t="s">
        <v>569</v>
      </c>
      <c r="C264" s="0" t="s">
        <v>22</v>
      </c>
      <c r="D264" s="0" t="s">
        <v>42</v>
      </c>
      <c r="E264" s="10" t="n">
        <v>45728.7166666667</v>
      </c>
      <c r="F264" s="10" t="n">
        <v>45730.5138888889</v>
      </c>
      <c r="G264" s="0" t="n">
        <v>254.04</v>
      </c>
      <c r="H264" s="0" t="n">
        <v>250.76</v>
      </c>
      <c r="I264" s="11" t="n">
        <f aca="false">H264-G264</f>
        <v>-3.28</v>
      </c>
      <c r="J264" s="5" t="n">
        <f aca="false">IF(G264=0,"",I264/G264)</f>
        <v>-0.0129113525429066</v>
      </c>
      <c r="K264" s="0" t="n">
        <v>43.6</v>
      </c>
      <c r="L264" s="0" t="n">
        <v>43.13</v>
      </c>
      <c r="M264" s="11" t="s">
        <v>43</v>
      </c>
      <c r="N264" s="12" t="n">
        <f aca="false">INT(E264)</f>
        <v>45728</v>
      </c>
      <c r="O264" s="12" t="n">
        <f aca="false">IF(F264="","",INT(F264))</f>
        <v>45730</v>
      </c>
    </row>
    <row r="265" customFormat="false" ht="15" hidden="false" customHeight="false" outlineLevel="0" collapsed="false">
      <c r="A265" s="0" t="s">
        <v>570</v>
      </c>
      <c r="B265" s="0" t="s">
        <v>571</v>
      </c>
      <c r="C265" s="0" t="s">
        <v>24</v>
      </c>
      <c r="D265" s="0" t="s">
        <v>42</v>
      </c>
      <c r="E265" s="10" t="n">
        <v>45728.7402777778</v>
      </c>
      <c r="F265" s="10" t="n">
        <v>45731.9002662037</v>
      </c>
      <c r="G265" s="0" t="n">
        <v>339.84</v>
      </c>
      <c r="H265" s="0" t="n">
        <v>377.98</v>
      </c>
      <c r="I265" s="11" t="n">
        <f aca="false">H265-G265</f>
        <v>38.14</v>
      </c>
      <c r="J265" s="5" t="n">
        <f aca="false">IF(G265=0,"",I265/G265)</f>
        <v>0.112229284369115</v>
      </c>
      <c r="K265" s="0" t="n">
        <v>122.9</v>
      </c>
      <c r="L265" s="0" t="n">
        <v>54.23</v>
      </c>
      <c r="M265" s="11" t="s">
        <v>43</v>
      </c>
      <c r="N265" s="12" t="n">
        <f aca="false">INT(E265)</f>
        <v>45728</v>
      </c>
      <c r="O265" s="12" t="n">
        <f aca="false">IF(F265="","",INT(F265))</f>
        <v>45731</v>
      </c>
    </row>
    <row r="266" customFormat="false" ht="15" hidden="false" customHeight="false" outlineLevel="0" collapsed="false">
      <c r="A266" s="0" t="s">
        <v>572</v>
      </c>
      <c r="B266" s="0" t="s">
        <v>573</v>
      </c>
      <c r="C266" s="0" t="s">
        <v>19</v>
      </c>
      <c r="D266" s="0" t="s">
        <v>42</v>
      </c>
      <c r="E266" s="10" t="n">
        <v>45728.7458333333</v>
      </c>
      <c r="F266" s="10" t="n">
        <v>45729.1319444445</v>
      </c>
      <c r="G266" s="0" t="n">
        <v>805.88</v>
      </c>
      <c r="H266" s="0" t="n">
        <v>799.8</v>
      </c>
      <c r="I266" s="11" t="n">
        <f aca="false">H266-G266</f>
        <v>-6.08000000000004</v>
      </c>
      <c r="J266" s="5" t="n">
        <f aca="false">IF(G266=0,"",I266/G266)</f>
        <v>-0.00754454757532144</v>
      </c>
      <c r="K266" s="0" t="n">
        <v>149.6</v>
      </c>
      <c r="L266" s="0" t="n">
        <v>9.27</v>
      </c>
      <c r="M266" s="11" t="s">
        <v>43</v>
      </c>
      <c r="N266" s="12" t="n">
        <f aca="false">INT(E266)</f>
        <v>45728</v>
      </c>
      <c r="O266" s="12" t="n">
        <f aca="false">IF(F266="","",INT(F266))</f>
        <v>45729</v>
      </c>
    </row>
    <row r="267" customFormat="false" ht="15" hidden="false" customHeight="false" outlineLevel="0" collapsed="false">
      <c r="A267" s="0" t="s">
        <v>574</v>
      </c>
      <c r="B267" s="0" t="s">
        <v>575</v>
      </c>
      <c r="C267" s="0" t="s">
        <v>23</v>
      </c>
      <c r="D267" s="0" t="s">
        <v>42</v>
      </c>
      <c r="E267" s="10" t="n">
        <v>45728.7597222222</v>
      </c>
      <c r="F267" s="10" t="n">
        <v>45729.9548611111</v>
      </c>
      <c r="G267" s="0" t="n">
        <v>300.18</v>
      </c>
      <c r="H267" s="0" t="n">
        <v>302.75</v>
      </c>
      <c r="I267" s="11" t="n">
        <f aca="false">H267-G267</f>
        <v>2.56999999999999</v>
      </c>
      <c r="J267" s="5" t="n">
        <f aca="false">IF(G267=0,"",I267/G267)</f>
        <v>0.00856152974881735</v>
      </c>
      <c r="K267" s="0" t="n">
        <v>123.6</v>
      </c>
      <c r="L267" s="0" t="n">
        <v>28.68</v>
      </c>
      <c r="M267" s="11" t="s">
        <v>43</v>
      </c>
      <c r="N267" s="12" t="n">
        <f aca="false">INT(E267)</f>
        <v>45728</v>
      </c>
      <c r="O267" s="12" t="n">
        <f aca="false">IF(F267="","",INT(F267))</f>
        <v>45729</v>
      </c>
    </row>
    <row r="268" customFormat="false" ht="15" hidden="false" customHeight="false" outlineLevel="0" collapsed="false">
      <c r="A268" s="0" t="s">
        <v>576</v>
      </c>
      <c r="B268" s="0" t="s">
        <v>577</v>
      </c>
      <c r="C268" s="0" t="s">
        <v>21</v>
      </c>
      <c r="D268" s="0" t="s">
        <v>42</v>
      </c>
      <c r="E268" s="10" t="n">
        <v>45728.7631944444</v>
      </c>
      <c r="F268" s="10" t="n">
        <v>45729.2479166667</v>
      </c>
      <c r="G268" s="0" t="n">
        <v>783.38</v>
      </c>
      <c r="H268" s="0" t="n">
        <v>772.93</v>
      </c>
      <c r="I268" s="11" t="n">
        <f aca="false">H268-G268</f>
        <v>-10.45</v>
      </c>
      <c r="J268" s="5" t="n">
        <f aca="false">IF(G268=0,"",I268/G268)</f>
        <v>-0.0133396308305038</v>
      </c>
      <c r="K268" s="0" t="n">
        <v>200.7</v>
      </c>
      <c r="L268" s="0" t="n">
        <v>11.63</v>
      </c>
      <c r="M268" s="11" t="s">
        <v>43</v>
      </c>
      <c r="N268" s="12" t="n">
        <f aca="false">INT(E268)</f>
        <v>45728</v>
      </c>
      <c r="O268" s="12" t="n">
        <f aca="false">IF(F268="","",INT(F268))</f>
        <v>45729</v>
      </c>
    </row>
    <row r="269" customFormat="false" ht="15" hidden="false" customHeight="false" outlineLevel="0" collapsed="false">
      <c r="A269" s="0" t="s">
        <v>578</v>
      </c>
      <c r="B269" s="0" t="s">
        <v>579</v>
      </c>
      <c r="C269" s="0" t="s">
        <v>20</v>
      </c>
      <c r="D269" s="0" t="s">
        <v>42</v>
      </c>
      <c r="E269" s="10" t="n">
        <v>45728.78125</v>
      </c>
      <c r="F269" s="10" t="n">
        <v>45730.56875</v>
      </c>
      <c r="G269" s="0" t="n">
        <v>291.84</v>
      </c>
      <c r="H269" s="0" t="n">
        <v>231.61</v>
      </c>
      <c r="I269" s="11" t="n">
        <f aca="false">H269-G269</f>
        <v>-60.23</v>
      </c>
      <c r="J269" s="5" t="n">
        <f aca="false">IF(G269=0,"",I269/G269)</f>
        <v>-0.206380208333333</v>
      </c>
      <c r="K269" s="0" t="n">
        <v>57.6</v>
      </c>
      <c r="L269" s="0" t="n">
        <v>42.9</v>
      </c>
      <c r="M269" s="11" t="s">
        <v>43</v>
      </c>
      <c r="N269" s="12" t="n">
        <f aca="false">INT(E269)</f>
        <v>45728</v>
      </c>
      <c r="O269" s="12" t="n">
        <f aca="false">IF(F269="","",INT(F269))</f>
        <v>45730</v>
      </c>
    </row>
    <row r="270" customFormat="false" ht="15" hidden="false" customHeight="false" outlineLevel="0" collapsed="false">
      <c r="A270" s="0" t="s">
        <v>580</v>
      </c>
      <c r="B270" s="0" t="s">
        <v>581</v>
      </c>
      <c r="C270" s="0" t="s">
        <v>21</v>
      </c>
      <c r="D270" s="0" t="s">
        <v>42</v>
      </c>
      <c r="E270" s="10" t="n">
        <v>45729.3013888889</v>
      </c>
      <c r="F270" s="10" t="n">
        <v>45729.7291666667</v>
      </c>
      <c r="G270" s="0" t="n">
        <v>130.13</v>
      </c>
      <c r="H270" s="0" t="n">
        <v>128.42</v>
      </c>
      <c r="I270" s="11" t="n">
        <f aca="false">H270-G270</f>
        <v>-1.71000000000001</v>
      </c>
      <c r="J270" s="5" t="n">
        <f aca="false">IF(G270=0,"",I270/G270)</f>
        <v>-0.0131407054483978</v>
      </c>
      <c r="K270" s="0" t="n">
        <v>19.6</v>
      </c>
      <c r="L270" s="0" t="n">
        <v>10.27</v>
      </c>
      <c r="M270" s="11" t="s">
        <v>43</v>
      </c>
      <c r="N270" s="12" t="n">
        <f aca="false">INT(E270)</f>
        <v>45729</v>
      </c>
      <c r="O270" s="12" t="n">
        <f aca="false">IF(F270="","",INT(F270))</f>
        <v>45729</v>
      </c>
    </row>
    <row r="271" customFormat="false" ht="15" hidden="false" customHeight="false" outlineLevel="0" collapsed="false">
      <c r="A271" s="0" t="s">
        <v>582</v>
      </c>
      <c r="B271" s="0" t="s">
        <v>583</v>
      </c>
      <c r="C271" s="0" t="s">
        <v>22</v>
      </c>
      <c r="D271" s="0" t="s">
        <v>42</v>
      </c>
      <c r="E271" s="10" t="n">
        <v>45729.3013888889</v>
      </c>
      <c r="F271" s="10" t="n">
        <v>45730.391712963</v>
      </c>
      <c r="G271" s="0" t="n">
        <v>306.04</v>
      </c>
      <c r="H271" s="0" t="n">
        <v>303.96</v>
      </c>
      <c r="I271" s="11" t="n">
        <f aca="false">H271-G271</f>
        <v>-2.08000000000004</v>
      </c>
      <c r="J271" s="5" t="n">
        <f aca="false">IF(G271=0,"",I271/G271)</f>
        <v>-0.00679649718990995</v>
      </c>
      <c r="K271" s="0" t="n">
        <v>31.6</v>
      </c>
      <c r="L271" s="0" t="n">
        <v>26.17</v>
      </c>
      <c r="M271" s="11" t="s">
        <v>43</v>
      </c>
      <c r="N271" s="12" t="n">
        <f aca="false">INT(E271)</f>
        <v>45729</v>
      </c>
      <c r="O271" s="12" t="n">
        <f aca="false">IF(F271="","",INT(F271))</f>
        <v>45730</v>
      </c>
    </row>
    <row r="272" customFormat="false" ht="15" hidden="false" customHeight="false" outlineLevel="0" collapsed="false">
      <c r="A272" s="0" t="s">
        <v>584</v>
      </c>
      <c r="B272" s="0" t="s">
        <v>585</v>
      </c>
      <c r="C272" s="0" t="s">
        <v>20</v>
      </c>
      <c r="D272" s="0" t="s">
        <v>42</v>
      </c>
      <c r="E272" s="10" t="n">
        <v>45729.3034722222</v>
      </c>
      <c r="F272" s="10" t="n">
        <v>45730.6885185185</v>
      </c>
      <c r="G272" s="0" t="n">
        <v>157.34</v>
      </c>
      <c r="H272" s="0" t="n">
        <v>159.54</v>
      </c>
      <c r="I272" s="11" t="n">
        <f aca="false">H272-G272</f>
        <v>2.19999999999999</v>
      </c>
      <c r="J272" s="5" t="n">
        <f aca="false">IF(G272=0,"",I272/G272)</f>
        <v>0.013982458370408</v>
      </c>
      <c r="K272" s="0" t="n">
        <v>29.2</v>
      </c>
      <c r="L272" s="0" t="n">
        <v>33.24</v>
      </c>
      <c r="M272" s="11" t="s">
        <v>43</v>
      </c>
      <c r="N272" s="12" t="n">
        <f aca="false">INT(E272)</f>
        <v>45729</v>
      </c>
      <c r="O272" s="12" t="n">
        <f aca="false">IF(F272="","",INT(F272))</f>
        <v>45730</v>
      </c>
    </row>
    <row r="273" customFormat="false" ht="15" hidden="false" customHeight="false" outlineLevel="0" collapsed="false">
      <c r="A273" s="0" t="s">
        <v>586</v>
      </c>
      <c r="B273" s="0" t="s">
        <v>587</v>
      </c>
      <c r="C273" s="0" t="s">
        <v>20</v>
      </c>
      <c r="D273" s="0" t="s">
        <v>42</v>
      </c>
      <c r="E273" s="10" t="n">
        <v>45729.3104166667</v>
      </c>
      <c r="F273" s="10" t="n">
        <v>45729.6968634259</v>
      </c>
      <c r="G273" s="0" t="n">
        <v>134.63</v>
      </c>
      <c r="H273" s="0" t="n">
        <v>136.73</v>
      </c>
      <c r="I273" s="11" t="n">
        <f aca="false">H273-G273</f>
        <v>2.09999999999999</v>
      </c>
      <c r="J273" s="5" t="n">
        <f aca="false">IF(G273=0,"",I273/G273)</f>
        <v>0.0155983064695833</v>
      </c>
      <c r="K273" s="0" t="n">
        <v>26.1</v>
      </c>
      <c r="L273" s="0" t="n">
        <v>9.27</v>
      </c>
      <c r="M273" s="11" t="s">
        <v>43</v>
      </c>
      <c r="N273" s="12" t="n">
        <f aca="false">INT(E273)</f>
        <v>45729</v>
      </c>
      <c r="O273" s="12" t="n">
        <f aca="false">IF(F273="","",INT(F273))</f>
        <v>45729</v>
      </c>
    </row>
    <row r="274" customFormat="false" ht="15" hidden="false" customHeight="false" outlineLevel="0" collapsed="false">
      <c r="A274" s="0" t="s">
        <v>588</v>
      </c>
      <c r="B274" s="0" t="s">
        <v>589</v>
      </c>
      <c r="C274" s="0" t="s">
        <v>22</v>
      </c>
      <c r="D274" s="0" t="s">
        <v>42</v>
      </c>
      <c r="E274" s="10" t="n">
        <v>45729.31875</v>
      </c>
      <c r="F274" s="10" t="n">
        <v>45730.1861111111</v>
      </c>
      <c r="G274" s="0" t="n">
        <v>585</v>
      </c>
      <c r="H274" s="0" t="n">
        <v>599.03</v>
      </c>
      <c r="I274" s="11" t="n">
        <f aca="false">H274-G274</f>
        <v>14.03</v>
      </c>
      <c r="J274" s="5" t="n">
        <f aca="false">IF(G274=0,"",I274/G274)</f>
        <v>0.0239829059829059</v>
      </c>
      <c r="K274" s="0" t="n">
        <v>114.4</v>
      </c>
      <c r="L274" s="0" t="n">
        <v>20.82</v>
      </c>
      <c r="M274" s="11" t="s">
        <v>43</v>
      </c>
      <c r="N274" s="12" t="n">
        <f aca="false">INT(E274)</f>
        <v>45729</v>
      </c>
      <c r="O274" s="12" t="n">
        <f aca="false">IF(F274="","",INT(F274))</f>
        <v>45730</v>
      </c>
    </row>
    <row r="275" customFormat="false" ht="15" hidden="false" customHeight="false" outlineLevel="0" collapsed="false">
      <c r="A275" s="0" t="s">
        <v>590</v>
      </c>
      <c r="B275" s="0" t="s">
        <v>591</v>
      </c>
      <c r="C275" s="0" t="s">
        <v>22</v>
      </c>
      <c r="D275" s="0" t="s">
        <v>42</v>
      </c>
      <c r="E275" s="10" t="n">
        <v>45729.3368055556</v>
      </c>
      <c r="F275" s="10" t="n">
        <v>45730.1417361111</v>
      </c>
      <c r="G275" s="0" t="n">
        <v>324.76</v>
      </c>
      <c r="H275" s="0" t="n">
        <v>337.43</v>
      </c>
      <c r="I275" s="11" t="n">
        <f aca="false">H275-G275</f>
        <v>12.67</v>
      </c>
      <c r="J275" s="5" t="n">
        <f aca="false">IF(G275=0,"",I275/G275)</f>
        <v>0.0390134252986822</v>
      </c>
      <c r="K275" s="0" t="n">
        <v>38.8</v>
      </c>
      <c r="L275" s="0" t="n">
        <v>19.32</v>
      </c>
      <c r="M275" s="11" t="s">
        <v>43</v>
      </c>
      <c r="N275" s="12" t="n">
        <f aca="false">INT(E275)</f>
        <v>45729</v>
      </c>
      <c r="O275" s="12" t="n">
        <f aca="false">IF(F275="","",INT(F275))</f>
        <v>45730</v>
      </c>
    </row>
    <row r="276" customFormat="false" ht="15" hidden="false" customHeight="false" outlineLevel="0" collapsed="false">
      <c r="A276" s="0" t="s">
        <v>592</v>
      </c>
      <c r="B276" s="0" t="s">
        <v>593</v>
      </c>
      <c r="C276" s="0" t="s">
        <v>23</v>
      </c>
      <c r="D276" s="0" t="s">
        <v>42</v>
      </c>
      <c r="E276" s="10" t="n">
        <v>45729.3375</v>
      </c>
      <c r="F276" s="10" t="n">
        <v>45731.8514236111</v>
      </c>
      <c r="G276" s="0" t="n">
        <v>471.04</v>
      </c>
      <c r="H276" s="0" t="n">
        <v>479.17</v>
      </c>
      <c r="I276" s="11" t="n">
        <f aca="false">H276-G276</f>
        <v>8.13</v>
      </c>
      <c r="J276" s="5" t="n">
        <f aca="false">IF(G276=0,"",I276/G276)</f>
        <v>0.0172596807065217</v>
      </c>
      <c r="K276" s="0" t="n">
        <v>159.6</v>
      </c>
      <c r="L276" s="0" t="n">
        <v>39.9</v>
      </c>
      <c r="M276" s="11" t="s">
        <v>43</v>
      </c>
      <c r="N276" s="12" t="n">
        <f aca="false">INT(E276)</f>
        <v>45729</v>
      </c>
      <c r="O276" s="12" t="n">
        <f aca="false">IF(F276="","",INT(F276))</f>
        <v>45731</v>
      </c>
    </row>
    <row r="277" customFormat="false" ht="15" hidden="false" customHeight="false" outlineLevel="0" collapsed="false">
      <c r="A277" s="0" t="s">
        <v>594</v>
      </c>
      <c r="B277" s="0" t="s">
        <v>595</v>
      </c>
      <c r="C277" s="0" t="s">
        <v>24</v>
      </c>
      <c r="D277" s="0" t="s">
        <v>42</v>
      </c>
      <c r="E277" s="10" t="n">
        <v>45729.35</v>
      </c>
      <c r="F277" s="10" t="n">
        <v>45731.1395833333</v>
      </c>
      <c r="G277" s="0" t="n">
        <v>140.45</v>
      </c>
      <c r="H277" s="0" t="n">
        <v>137.11</v>
      </c>
      <c r="I277" s="11" t="n">
        <f aca="false">H277-G277</f>
        <v>-3.33999999999998</v>
      </c>
      <c r="J277" s="5" t="n">
        <f aca="false">IF(G277=0,"",I277/G277)</f>
        <v>-0.0237807048771803</v>
      </c>
      <c r="K277" s="0" t="n">
        <v>27.5</v>
      </c>
      <c r="L277" s="0" t="n">
        <v>39.6</v>
      </c>
      <c r="M277" s="11" t="s">
        <v>43</v>
      </c>
      <c r="N277" s="12" t="n">
        <f aca="false">INT(E277)</f>
        <v>45729</v>
      </c>
      <c r="O277" s="12" t="n">
        <f aca="false">IF(F277="","",INT(F277))</f>
        <v>45731</v>
      </c>
    </row>
    <row r="278" customFormat="false" ht="15" hidden="false" customHeight="false" outlineLevel="0" collapsed="false">
      <c r="A278" s="0" t="s">
        <v>596</v>
      </c>
      <c r="B278" s="0" t="s">
        <v>597</v>
      </c>
      <c r="C278" s="0" t="s">
        <v>23</v>
      </c>
      <c r="D278" s="0" t="s">
        <v>42</v>
      </c>
      <c r="E278" s="10" t="n">
        <v>45729.3784722222</v>
      </c>
      <c r="F278" s="10" t="n">
        <v>45731.2159722222</v>
      </c>
      <c r="G278" s="0" t="n">
        <v>96.08</v>
      </c>
      <c r="H278" s="0" t="n">
        <v>96.13</v>
      </c>
      <c r="I278" s="11" t="n">
        <f aca="false">H278-G278</f>
        <v>0.0499999999999972</v>
      </c>
      <c r="J278" s="5" t="n">
        <f aca="false">IF(G278=0,"",I278/G278)</f>
        <v>0.000520399666944184</v>
      </c>
      <c r="K278" s="0" t="n">
        <v>32.9</v>
      </c>
      <c r="L278" s="0" t="n">
        <v>38.92</v>
      </c>
      <c r="M278" s="11" t="s">
        <v>43</v>
      </c>
      <c r="N278" s="12" t="n">
        <f aca="false">INT(E278)</f>
        <v>45729</v>
      </c>
      <c r="O278" s="12" t="n">
        <f aca="false">IF(F278="","",INT(F278))</f>
        <v>45731</v>
      </c>
    </row>
    <row r="279" customFormat="false" ht="15" hidden="false" customHeight="false" outlineLevel="0" collapsed="false">
      <c r="A279" s="0" t="s">
        <v>598</v>
      </c>
      <c r="B279" s="0" t="s">
        <v>599</v>
      </c>
      <c r="C279" s="0" t="s">
        <v>21</v>
      </c>
      <c r="D279" s="0" t="s">
        <v>42</v>
      </c>
      <c r="E279" s="10" t="n">
        <v>45729.4034722222</v>
      </c>
      <c r="F279" s="10" t="n">
        <v>45729.8340740741</v>
      </c>
      <c r="G279" s="0" t="n">
        <v>554.26</v>
      </c>
      <c r="H279" s="0" t="n">
        <v>573.25</v>
      </c>
      <c r="I279" s="11" t="n">
        <f aca="false">H279-G279</f>
        <v>18.99</v>
      </c>
      <c r="J279" s="5" t="n">
        <f aca="false">IF(G279=0,"",I279/G279)</f>
        <v>0.0342618987478801</v>
      </c>
      <c r="K279" s="0" t="n">
        <v>66.8</v>
      </c>
      <c r="L279" s="0" t="n">
        <v>10.33</v>
      </c>
      <c r="M279" s="11" t="s">
        <v>43</v>
      </c>
      <c r="N279" s="12" t="n">
        <f aca="false">INT(E279)</f>
        <v>45729</v>
      </c>
      <c r="O279" s="12" t="n">
        <f aca="false">IF(F279="","",INT(F279))</f>
        <v>45729</v>
      </c>
    </row>
    <row r="280" customFormat="false" ht="15" hidden="false" customHeight="false" outlineLevel="0" collapsed="false">
      <c r="A280" s="0" t="s">
        <v>600</v>
      </c>
      <c r="B280" s="0" t="s">
        <v>601</v>
      </c>
      <c r="C280" s="0" t="s">
        <v>23</v>
      </c>
      <c r="D280" s="0" t="s">
        <v>42</v>
      </c>
      <c r="E280" s="10" t="n">
        <v>45729.4479166667</v>
      </c>
      <c r="F280" s="10" t="n">
        <v>45730.1669907407</v>
      </c>
      <c r="G280" s="0" t="n">
        <v>476.03</v>
      </c>
      <c r="H280" s="0" t="n">
        <v>478.33</v>
      </c>
      <c r="I280" s="11" t="n">
        <f aca="false">H280-G280</f>
        <v>2.30000000000001</v>
      </c>
      <c r="J280" s="5" t="n">
        <f aca="false">IF(G280=0,"",I280/G280)</f>
        <v>0.00483162825872321</v>
      </c>
      <c r="K280" s="0" t="n">
        <v>182.3</v>
      </c>
      <c r="L280" s="0" t="n">
        <v>17.26</v>
      </c>
      <c r="M280" s="11" t="s">
        <v>43</v>
      </c>
      <c r="N280" s="12" t="n">
        <f aca="false">INT(E280)</f>
        <v>45729</v>
      </c>
      <c r="O280" s="12" t="n">
        <f aca="false">IF(F280="","",INT(F280))</f>
        <v>45730</v>
      </c>
    </row>
    <row r="281" customFormat="false" ht="15" hidden="false" customHeight="false" outlineLevel="0" collapsed="false">
      <c r="A281" s="0" t="s">
        <v>602</v>
      </c>
      <c r="B281" s="0" t="s">
        <v>603</v>
      </c>
      <c r="C281" s="0" t="s">
        <v>24</v>
      </c>
      <c r="D281" s="0" t="s">
        <v>42</v>
      </c>
      <c r="E281" s="10" t="n">
        <v>45729.4548611111</v>
      </c>
      <c r="F281" s="10" t="n">
        <v>45733.0583333333</v>
      </c>
      <c r="G281" s="0" t="n">
        <v>142</v>
      </c>
      <c r="H281" s="0" t="n">
        <v>139.55</v>
      </c>
      <c r="I281" s="11" t="n">
        <f aca="false">H281-G281</f>
        <v>-2.44999999999999</v>
      </c>
      <c r="J281" s="5" t="n">
        <f aca="false">IF(G281=0,"",I281/G281)</f>
        <v>-0.0172535211267605</v>
      </c>
      <c r="K281" s="0" t="n">
        <v>49.4</v>
      </c>
      <c r="L281" s="0" t="n">
        <v>38.48</v>
      </c>
      <c r="M281" s="11" t="s">
        <v>43</v>
      </c>
      <c r="N281" s="12" t="n">
        <f aca="false">INT(E281)</f>
        <v>45729</v>
      </c>
      <c r="O281" s="12" t="n">
        <f aca="false">IF(F281="","",INT(F281))</f>
        <v>45733</v>
      </c>
    </row>
    <row r="282" customFormat="false" ht="15" hidden="false" customHeight="false" outlineLevel="0" collapsed="false">
      <c r="A282" s="0" t="s">
        <v>604</v>
      </c>
      <c r="B282" s="0" t="s">
        <v>605</v>
      </c>
      <c r="C282" s="0" t="s">
        <v>19</v>
      </c>
      <c r="D282" s="0" t="s">
        <v>42</v>
      </c>
      <c r="E282" s="10" t="n">
        <v>45729.4638888889</v>
      </c>
      <c r="F282" s="10" t="n">
        <v>45730.4992361111</v>
      </c>
      <c r="G282" s="0" t="n">
        <v>300.96</v>
      </c>
      <c r="H282" s="0" t="n">
        <v>305.87</v>
      </c>
      <c r="I282" s="11" t="n">
        <f aca="false">H282-G282</f>
        <v>4.91000000000003</v>
      </c>
      <c r="J282" s="5" t="n">
        <f aca="false">IF(G282=0,"",I282/G282)</f>
        <v>0.0163144603934078</v>
      </c>
      <c r="K282" s="0" t="n">
        <v>50.8</v>
      </c>
      <c r="L282" s="0" t="n">
        <v>24.85</v>
      </c>
      <c r="M282" s="11" t="s">
        <v>43</v>
      </c>
      <c r="N282" s="12" t="n">
        <f aca="false">INT(E282)</f>
        <v>45729</v>
      </c>
      <c r="O282" s="12" t="n">
        <f aca="false">IF(F282="","",INT(F282))</f>
        <v>45730</v>
      </c>
    </row>
    <row r="283" customFormat="false" ht="15" hidden="false" customHeight="false" outlineLevel="0" collapsed="false">
      <c r="A283" s="0" t="s">
        <v>606</v>
      </c>
      <c r="B283" s="0" t="s">
        <v>607</v>
      </c>
      <c r="C283" s="0" t="s">
        <v>21</v>
      </c>
      <c r="D283" s="0" t="s">
        <v>42</v>
      </c>
      <c r="E283" s="10" t="n">
        <v>45729.4756944445</v>
      </c>
      <c r="F283" s="10" t="n">
        <v>45730.8003240741</v>
      </c>
      <c r="G283" s="0" t="n">
        <v>244.84</v>
      </c>
      <c r="H283" s="0" t="n">
        <v>248.61</v>
      </c>
      <c r="I283" s="11" t="n">
        <f aca="false">H283-G283</f>
        <v>3.77000000000001</v>
      </c>
      <c r="J283" s="5" t="n">
        <f aca="false">IF(G283=0,"",I283/G283)</f>
        <v>0.0153978108152263</v>
      </c>
      <c r="K283" s="0" t="n">
        <v>31.6</v>
      </c>
      <c r="L283" s="0" t="n">
        <v>31.79</v>
      </c>
      <c r="M283" s="11" t="s">
        <v>43</v>
      </c>
      <c r="N283" s="12" t="n">
        <f aca="false">INT(E283)</f>
        <v>45729</v>
      </c>
      <c r="O283" s="12" t="n">
        <f aca="false">IF(F283="","",INT(F283))</f>
        <v>45730</v>
      </c>
    </row>
    <row r="284" customFormat="false" ht="15" hidden="false" customHeight="false" outlineLevel="0" collapsed="false">
      <c r="A284" s="0" t="s">
        <v>608</v>
      </c>
      <c r="B284" s="0" t="s">
        <v>609</v>
      </c>
      <c r="C284" s="0" t="s">
        <v>24</v>
      </c>
      <c r="D284" s="0" t="s">
        <v>42</v>
      </c>
      <c r="E284" s="10" t="n">
        <v>45729.4756944445</v>
      </c>
      <c r="F284" s="10" t="n">
        <v>45730.2472222222</v>
      </c>
      <c r="G284" s="0" t="n">
        <v>104.02</v>
      </c>
      <c r="H284" s="0" t="n">
        <v>103.64</v>
      </c>
      <c r="I284" s="11" t="n">
        <f aca="false">H284-G284</f>
        <v>-0.379999999999995</v>
      </c>
      <c r="J284" s="5" t="n">
        <f aca="false">IF(G284=0,"",I284/G284)</f>
        <v>-0.00365314362622568</v>
      </c>
      <c r="K284" s="0" t="n">
        <v>28.5</v>
      </c>
      <c r="L284" s="0" t="n">
        <v>18.52</v>
      </c>
      <c r="M284" s="11" t="s">
        <v>43</v>
      </c>
      <c r="N284" s="12" t="n">
        <f aca="false">INT(E284)</f>
        <v>45729</v>
      </c>
      <c r="O284" s="12" t="n">
        <f aca="false">IF(F284="","",INT(F284))</f>
        <v>45730</v>
      </c>
    </row>
    <row r="285" customFormat="false" ht="15" hidden="false" customHeight="false" outlineLevel="0" collapsed="false">
      <c r="A285" s="0" t="s">
        <v>610</v>
      </c>
      <c r="B285" s="0" t="s">
        <v>611</v>
      </c>
      <c r="C285" s="0" t="s">
        <v>21</v>
      </c>
      <c r="D285" s="0" t="s">
        <v>42</v>
      </c>
      <c r="E285" s="10" t="n">
        <v>45729.48125</v>
      </c>
      <c r="F285" s="10" t="n">
        <v>45729.6798611111</v>
      </c>
      <c r="G285" s="0" t="n">
        <v>1332.72</v>
      </c>
      <c r="H285" s="0" t="n">
        <v>1340.97</v>
      </c>
      <c r="I285" s="11" t="n">
        <f aca="false">H285-G285</f>
        <v>8.25</v>
      </c>
      <c r="J285" s="5" t="n">
        <f aca="false">IF(G285=0,"",I285/G285)</f>
        <v>0.00619034755987754</v>
      </c>
      <c r="K285" s="0" t="n">
        <v>340.7</v>
      </c>
      <c r="L285" s="0" t="n">
        <v>4.77</v>
      </c>
      <c r="M285" s="11" t="s">
        <v>43</v>
      </c>
      <c r="N285" s="12" t="n">
        <f aca="false">INT(E285)</f>
        <v>45729</v>
      </c>
      <c r="O285" s="12" t="n">
        <f aca="false">IF(F285="","",INT(F285))</f>
        <v>45729</v>
      </c>
    </row>
    <row r="286" customFormat="false" ht="15" hidden="false" customHeight="false" outlineLevel="0" collapsed="false">
      <c r="A286" s="0" t="s">
        <v>612</v>
      </c>
      <c r="B286" s="0" t="s">
        <v>613</v>
      </c>
      <c r="C286" s="0" t="s">
        <v>22</v>
      </c>
      <c r="D286" s="0" t="s">
        <v>42</v>
      </c>
      <c r="E286" s="10" t="n">
        <v>45729.55</v>
      </c>
      <c r="F286" s="10" t="n">
        <v>45730.1361111111</v>
      </c>
      <c r="G286" s="0" t="n">
        <v>163.8</v>
      </c>
      <c r="H286" s="0" t="n">
        <v>169.26</v>
      </c>
      <c r="I286" s="11" t="n">
        <f aca="false">H286-G286</f>
        <v>5.45999999999998</v>
      </c>
      <c r="J286" s="5" t="n">
        <f aca="false">IF(G286=0,"",I286/G286)</f>
        <v>0.0333333333333332</v>
      </c>
      <c r="K286" s="0" t="n">
        <v>26.4</v>
      </c>
      <c r="L286" s="0" t="n">
        <v>14.07</v>
      </c>
      <c r="M286" s="11" t="s">
        <v>43</v>
      </c>
      <c r="N286" s="12" t="n">
        <f aca="false">INT(E286)</f>
        <v>45729</v>
      </c>
      <c r="O286" s="12" t="n">
        <f aca="false">IF(F286="","",INT(F286))</f>
        <v>45730</v>
      </c>
    </row>
    <row r="287" customFormat="false" ht="15" hidden="false" customHeight="false" outlineLevel="0" collapsed="false">
      <c r="A287" s="0" t="s">
        <v>614</v>
      </c>
      <c r="B287" s="0" t="s">
        <v>615</v>
      </c>
      <c r="C287" s="0" t="s">
        <v>21</v>
      </c>
      <c r="D287" s="0" t="s">
        <v>42</v>
      </c>
      <c r="E287" s="10" t="n">
        <v>45729.55</v>
      </c>
      <c r="F287" s="10" t="n">
        <v>45729.9297685185</v>
      </c>
      <c r="G287" s="0" t="n">
        <v>656.78</v>
      </c>
      <c r="H287" s="0" t="n">
        <v>657.84</v>
      </c>
      <c r="I287" s="11" t="n">
        <f aca="false">H287-G287</f>
        <v>1.06000000000006</v>
      </c>
      <c r="J287" s="5" t="n">
        <f aca="false">IF(G287=0,"",I287/G287)</f>
        <v>0.00161393465087253</v>
      </c>
      <c r="K287" s="0" t="n">
        <v>79.3</v>
      </c>
      <c r="L287" s="0" t="n">
        <v>9.11</v>
      </c>
      <c r="M287" s="11" t="s">
        <v>43</v>
      </c>
      <c r="N287" s="12" t="n">
        <f aca="false">INT(E287)</f>
        <v>45729</v>
      </c>
      <c r="O287" s="12" t="n">
        <f aca="false">IF(F287="","",INT(F287))</f>
        <v>45729</v>
      </c>
    </row>
    <row r="288" customFormat="false" ht="15" hidden="false" customHeight="false" outlineLevel="0" collapsed="false">
      <c r="A288" s="0" t="s">
        <v>616</v>
      </c>
      <c r="B288" s="0" t="s">
        <v>617</v>
      </c>
      <c r="C288" s="0" t="s">
        <v>24</v>
      </c>
      <c r="D288" s="0" t="s">
        <v>42</v>
      </c>
      <c r="E288" s="10" t="n">
        <v>45729.5868055556</v>
      </c>
      <c r="F288" s="10" t="n">
        <v>45732.9638888889</v>
      </c>
      <c r="G288" s="0" t="n">
        <v>1212.31</v>
      </c>
      <c r="H288" s="0" t="n">
        <v>1188.37</v>
      </c>
      <c r="I288" s="11" t="n">
        <f aca="false">H288-G288</f>
        <v>-23.9400000000001</v>
      </c>
      <c r="J288" s="5" t="n">
        <f aca="false">IF(G288=0,"",I288/G288)</f>
        <v>-0.0197474243386593</v>
      </c>
      <c r="K288" s="0" t="n">
        <v>231.3</v>
      </c>
      <c r="L288" s="0" t="n">
        <v>33.92</v>
      </c>
      <c r="M288" s="11" t="s">
        <v>43</v>
      </c>
      <c r="N288" s="12" t="n">
        <f aca="false">INT(E288)</f>
        <v>45729</v>
      </c>
      <c r="O288" s="12" t="n">
        <f aca="false">IF(F288="","",INT(F288))</f>
        <v>45732</v>
      </c>
    </row>
    <row r="289" customFormat="false" ht="15" hidden="false" customHeight="false" outlineLevel="0" collapsed="false">
      <c r="A289" s="0" t="s">
        <v>618</v>
      </c>
      <c r="B289" s="0" t="s">
        <v>619</v>
      </c>
      <c r="C289" s="0" t="s">
        <v>23</v>
      </c>
      <c r="D289" s="0" t="s">
        <v>42</v>
      </c>
      <c r="E289" s="10" t="n">
        <v>45729.6034722222</v>
      </c>
      <c r="F289" s="10" t="n">
        <v>45731.4451388889</v>
      </c>
      <c r="G289" s="0" t="n">
        <v>617.65</v>
      </c>
      <c r="H289" s="0" t="n">
        <v>618.45</v>
      </c>
      <c r="I289" s="11" t="n">
        <f aca="false">H289-G289</f>
        <v>0.800000000000068</v>
      </c>
      <c r="J289" s="5" t="n">
        <f aca="false">IF(G289=0,"",I289/G289)</f>
        <v>0.00129523192746712</v>
      </c>
      <c r="K289" s="0" t="n">
        <v>220.7</v>
      </c>
      <c r="L289" s="0" t="n">
        <v>33.52</v>
      </c>
      <c r="M289" s="11" t="s">
        <v>43</v>
      </c>
      <c r="N289" s="12" t="n">
        <f aca="false">INT(E289)</f>
        <v>45729</v>
      </c>
      <c r="O289" s="12" t="n">
        <f aca="false">IF(F289="","",INT(F289))</f>
        <v>45731</v>
      </c>
    </row>
    <row r="290" customFormat="false" ht="15" hidden="false" customHeight="false" outlineLevel="0" collapsed="false">
      <c r="A290" s="0" t="s">
        <v>620</v>
      </c>
      <c r="B290" s="0" t="s">
        <v>621</v>
      </c>
      <c r="C290" s="0" t="s">
        <v>23</v>
      </c>
      <c r="D290" s="0" t="s">
        <v>42</v>
      </c>
      <c r="E290" s="10" t="n">
        <v>45729.61875</v>
      </c>
      <c r="F290" s="10" t="n">
        <v>45730.4305555556</v>
      </c>
      <c r="G290" s="0" t="n">
        <v>196.61</v>
      </c>
      <c r="H290" s="0" t="n">
        <v>203.16</v>
      </c>
      <c r="I290" s="11" t="n">
        <f aca="false">H290-G290</f>
        <v>6.54999999999998</v>
      </c>
      <c r="J290" s="5" t="n">
        <f aca="false">IF(G290=0,"",I290/G290)</f>
        <v>0.0333146838919688</v>
      </c>
      <c r="K290" s="0" t="n">
        <v>76</v>
      </c>
      <c r="L290" s="0" t="n">
        <v>19.48</v>
      </c>
      <c r="M290" s="11" t="s">
        <v>43</v>
      </c>
      <c r="N290" s="12" t="n">
        <f aca="false">INT(E290)</f>
        <v>45729</v>
      </c>
      <c r="O290" s="12" t="n">
        <f aca="false">IF(F290="","",INT(F290))</f>
        <v>45730</v>
      </c>
    </row>
    <row r="291" customFormat="false" ht="15" hidden="false" customHeight="false" outlineLevel="0" collapsed="false">
      <c r="A291" s="0" t="s">
        <v>622</v>
      </c>
      <c r="B291" s="0" t="s">
        <v>623</v>
      </c>
      <c r="C291" s="0" t="s">
        <v>20</v>
      </c>
      <c r="D291" s="0" t="s">
        <v>42</v>
      </c>
      <c r="E291" s="10" t="n">
        <v>45729.64375</v>
      </c>
      <c r="F291" s="10" t="n">
        <v>45732.1924768519</v>
      </c>
      <c r="G291" s="0" t="n">
        <v>436.19</v>
      </c>
      <c r="H291" s="0" t="n">
        <v>429.18</v>
      </c>
      <c r="I291" s="11" t="n">
        <f aca="false">H291-G291</f>
        <v>-7.00999999999999</v>
      </c>
      <c r="J291" s="5" t="n">
        <f aca="false">IF(G291=0,"",I291/G291)</f>
        <v>-0.016070978243426</v>
      </c>
      <c r="K291" s="0" t="n">
        <v>66.3</v>
      </c>
      <c r="L291" s="0" t="n">
        <v>32.55</v>
      </c>
      <c r="M291" s="11" t="s">
        <v>43</v>
      </c>
      <c r="N291" s="12" t="n">
        <f aca="false">INT(E291)</f>
        <v>45729</v>
      </c>
      <c r="O291" s="12" t="n">
        <f aca="false">IF(F291="","",INT(F291))</f>
        <v>45732</v>
      </c>
    </row>
    <row r="292" customFormat="false" ht="15" hidden="false" customHeight="false" outlineLevel="0" collapsed="false">
      <c r="A292" s="0" t="s">
        <v>624</v>
      </c>
      <c r="B292" s="0" t="s">
        <v>625</v>
      </c>
      <c r="C292" s="0" t="s">
        <v>21</v>
      </c>
      <c r="D292" s="0" t="s">
        <v>42</v>
      </c>
      <c r="E292" s="10" t="n">
        <v>45729.6493055556</v>
      </c>
      <c r="F292" s="10" t="n">
        <v>45730.8590277778</v>
      </c>
      <c r="G292" s="0" t="n">
        <v>500.59</v>
      </c>
      <c r="H292" s="0" t="n">
        <v>490.92</v>
      </c>
      <c r="I292" s="11" t="n">
        <f aca="false">H292-G292</f>
        <v>-9.66999999999996</v>
      </c>
      <c r="J292" s="5" t="n">
        <f aca="false">IF(G292=0,"",I292/G292)</f>
        <v>-0.0193172056972771</v>
      </c>
      <c r="K292" s="0" t="n">
        <v>98.7</v>
      </c>
      <c r="L292" s="0" t="n">
        <v>29.03</v>
      </c>
      <c r="M292" s="11" t="s">
        <v>43</v>
      </c>
      <c r="N292" s="12" t="n">
        <f aca="false">INT(E292)</f>
        <v>45729</v>
      </c>
      <c r="O292" s="12" t="n">
        <f aca="false">IF(F292="","",INT(F292))</f>
        <v>45730</v>
      </c>
    </row>
    <row r="293" customFormat="false" ht="15" hidden="false" customHeight="false" outlineLevel="0" collapsed="false">
      <c r="A293" s="0" t="s">
        <v>626</v>
      </c>
      <c r="B293" s="0" t="s">
        <v>627</v>
      </c>
      <c r="C293" s="0" t="s">
        <v>22</v>
      </c>
      <c r="D293" s="0" t="s">
        <v>42</v>
      </c>
      <c r="E293" s="10" t="n">
        <v>45729.6534722222</v>
      </c>
      <c r="F293" s="10" t="n">
        <v>45729.8784722222</v>
      </c>
      <c r="G293" s="0" t="n">
        <v>832.37</v>
      </c>
      <c r="H293" s="0" t="n">
        <v>811.53</v>
      </c>
      <c r="I293" s="11" t="n">
        <f aca="false">H293-G293</f>
        <v>-20.84</v>
      </c>
      <c r="J293" s="5" t="n">
        <f aca="false">IF(G293=0,"",I293/G293)</f>
        <v>-0.0250369427057679</v>
      </c>
      <c r="K293" s="0" t="n">
        <v>100.9</v>
      </c>
      <c r="L293" s="0" t="n">
        <v>5.4</v>
      </c>
      <c r="M293" s="11" t="s">
        <v>43</v>
      </c>
      <c r="N293" s="12" t="n">
        <f aca="false">INT(E293)</f>
        <v>45729</v>
      </c>
      <c r="O293" s="12" t="n">
        <f aca="false">IF(F293="","",INT(F293))</f>
        <v>45729</v>
      </c>
    </row>
    <row r="294" customFormat="false" ht="15" hidden="false" customHeight="false" outlineLevel="0" collapsed="false">
      <c r="A294" s="0" t="s">
        <v>628</v>
      </c>
      <c r="B294" s="0" t="s">
        <v>629</v>
      </c>
      <c r="C294" s="0" t="s">
        <v>21</v>
      </c>
      <c r="D294" s="0" t="s">
        <v>42</v>
      </c>
      <c r="E294" s="10" t="n">
        <v>45729.6868055556</v>
      </c>
      <c r="F294" s="10" t="n">
        <v>45730.1618055556</v>
      </c>
      <c r="G294" s="0" t="n">
        <v>169.27</v>
      </c>
      <c r="H294" s="0" t="n">
        <v>169.64</v>
      </c>
      <c r="I294" s="11" t="n">
        <f aca="false">H294-G294</f>
        <v>0.369999999999976</v>
      </c>
      <c r="J294" s="5" t="n">
        <f aca="false">IF(G294=0,"",I294/G294)</f>
        <v>0.00218585691498775</v>
      </c>
      <c r="K294" s="0" t="n">
        <v>27.4</v>
      </c>
      <c r="L294" s="0" t="n">
        <v>11.4</v>
      </c>
      <c r="M294" s="11" t="s">
        <v>43</v>
      </c>
      <c r="N294" s="12" t="n">
        <f aca="false">INT(E294)</f>
        <v>45729</v>
      </c>
      <c r="O294" s="12" t="n">
        <f aca="false">IF(F294="","",INT(F294))</f>
        <v>45730</v>
      </c>
    </row>
    <row r="295" customFormat="false" ht="15" hidden="false" customHeight="false" outlineLevel="0" collapsed="false">
      <c r="A295" s="0" t="s">
        <v>630</v>
      </c>
      <c r="B295" s="0" t="s">
        <v>631</v>
      </c>
      <c r="C295" s="0" t="s">
        <v>22</v>
      </c>
      <c r="D295" s="0" t="s">
        <v>42</v>
      </c>
      <c r="E295" s="10" t="n">
        <v>45729.7048611111</v>
      </c>
      <c r="F295" s="10" t="n">
        <v>45729.8902777778</v>
      </c>
      <c r="G295" s="0" t="n">
        <v>85.38</v>
      </c>
      <c r="H295" s="0" t="n">
        <v>84.05</v>
      </c>
      <c r="I295" s="11" t="n">
        <f aca="false">H295-G295</f>
        <v>-1.33</v>
      </c>
      <c r="J295" s="5" t="n">
        <f aca="false">IF(G295=0,"",I295/G295)</f>
        <v>-0.0155774185992035</v>
      </c>
      <c r="K295" s="0" t="n">
        <v>16.6</v>
      </c>
      <c r="L295" s="0" t="n">
        <v>4.45</v>
      </c>
      <c r="M295" s="11" t="s">
        <v>43</v>
      </c>
      <c r="N295" s="12" t="n">
        <f aca="false">INT(E295)</f>
        <v>45729</v>
      </c>
      <c r="O295" s="12" t="n">
        <f aca="false">IF(F295="","",INT(F295))</f>
        <v>45729</v>
      </c>
    </row>
    <row r="296" customFormat="false" ht="15" hidden="false" customHeight="false" outlineLevel="0" collapsed="false">
      <c r="A296" s="0" t="s">
        <v>632</v>
      </c>
      <c r="B296" s="0" t="s">
        <v>633</v>
      </c>
      <c r="C296" s="0" t="s">
        <v>24</v>
      </c>
      <c r="D296" s="0" t="s">
        <v>42</v>
      </c>
      <c r="E296" s="10" t="n">
        <v>45729.7638888889</v>
      </c>
      <c r="F296" s="10" t="n">
        <v>45732.5965277778</v>
      </c>
      <c r="G296" s="0" t="n">
        <v>251.65</v>
      </c>
      <c r="H296" s="0" t="n">
        <v>252.75</v>
      </c>
      <c r="I296" s="11" t="n">
        <f aca="false">H296-G296</f>
        <v>1.09999999999999</v>
      </c>
      <c r="J296" s="5" t="n">
        <f aca="false">IF(G296=0,"",I296/G296)</f>
        <v>0.00437115040731172</v>
      </c>
      <c r="K296" s="0" t="n">
        <v>78.5</v>
      </c>
      <c r="L296" s="0" t="n">
        <v>29.67</v>
      </c>
      <c r="M296" s="11" t="s">
        <v>43</v>
      </c>
      <c r="N296" s="12" t="n">
        <f aca="false">INT(E296)</f>
        <v>45729</v>
      </c>
      <c r="O296" s="12" t="n">
        <f aca="false">IF(F296="","",INT(F296))</f>
        <v>45732</v>
      </c>
    </row>
    <row r="297" customFormat="false" ht="15" hidden="false" customHeight="false" outlineLevel="0" collapsed="false">
      <c r="A297" s="0" t="s">
        <v>634</v>
      </c>
      <c r="B297" s="0" t="s">
        <v>635</v>
      </c>
      <c r="C297" s="0" t="s">
        <v>23</v>
      </c>
      <c r="D297" s="0" t="s">
        <v>42</v>
      </c>
      <c r="E297" s="10" t="n">
        <v>45729.7729166667</v>
      </c>
      <c r="F297" s="10" t="n">
        <v>45734.3016435185</v>
      </c>
      <c r="G297" s="0" t="n">
        <v>179.41</v>
      </c>
      <c r="H297" s="0" t="n">
        <v>180.36</v>
      </c>
      <c r="I297" s="11" t="n">
        <f aca="false">H297-G297</f>
        <v>0.950000000000017</v>
      </c>
      <c r="J297" s="5" t="n">
        <f aca="false">IF(G297=0,"",I297/G297)</f>
        <v>0.00529513405049895</v>
      </c>
      <c r="K297" s="0" t="n">
        <v>59.4</v>
      </c>
      <c r="L297" s="0" t="n">
        <v>60.69</v>
      </c>
      <c r="M297" s="11" t="s">
        <v>43</v>
      </c>
      <c r="N297" s="12" t="n">
        <f aca="false">INT(E297)</f>
        <v>45729</v>
      </c>
      <c r="O297" s="12" t="n">
        <f aca="false">IF(F297="","",INT(F297))</f>
        <v>45734</v>
      </c>
    </row>
    <row r="298" customFormat="false" ht="15" hidden="false" customHeight="false" outlineLevel="0" collapsed="false">
      <c r="A298" s="0" t="s">
        <v>636</v>
      </c>
      <c r="B298" s="0" t="s">
        <v>637</v>
      </c>
      <c r="C298" s="0" t="s">
        <v>20</v>
      </c>
      <c r="D298" s="0" t="s">
        <v>42</v>
      </c>
      <c r="E298" s="10" t="n">
        <v>45729.7881944445</v>
      </c>
      <c r="F298" s="10" t="n">
        <v>45731.275</v>
      </c>
      <c r="G298" s="0" t="n">
        <v>1399.98</v>
      </c>
      <c r="H298" s="0" t="n">
        <v>1408.76</v>
      </c>
      <c r="I298" s="11" t="n">
        <f aca="false">H298-G298</f>
        <v>8.77999999999997</v>
      </c>
      <c r="J298" s="5" t="n">
        <f aca="false">IF(G298=0,"",I298/G298)</f>
        <v>0.00627151816454519</v>
      </c>
      <c r="K298" s="0" t="n">
        <v>231.5</v>
      </c>
      <c r="L298" s="0" t="n">
        <v>29.08</v>
      </c>
      <c r="M298" s="11" t="s">
        <v>43</v>
      </c>
      <c r="N298" s="12" t="n">
        <f aca="false">INT(E298)</f>
        <v>45729</v>
      </c>
      <c r="O298" s="12" t="n">
        <f aca="false">IF(F298="","",INT(F298))</f>
        <v>45731</v>
      </c>
    </row>
    <row r="299" customFormat="false" ht="15" hidden="false" customHeight="false" outlineLevel="0" collapsed="false">
      <c r="A299" s="0" t="s">
        <v>638</v>
      </c>
      <c r="B299" s="0" t="s">
        <v>639</v>
      </c>
      <c r="C299" s="0" t="s">
        <v>20</v>
      </c>
      <c r="D299" s="0" t="s">
        <v>42</v>
      </c>
      <c r="E299" s="10" t="n">
        <v>45730.2944444444</v>
      </c>
      <c r="F299" s="10" t="n">
        <v>45732.0444444444</v>
      </c>
      <c r="G299" s="0" t="n">
        <v>450.64</v>
      </c>
      <c r="H299" s="0" t="n">
        <v>451.14</v>
      </c>
      <c r="I299" s="11" t="n">
        <f aca="false">H299-G299</f>
        <v>0.5</v>
      </c>
      <c r="J299" s="5" t="n">
        <f aca="false">IF(G299=0,"",I299/G299)</f>
        <v>0.00110953310846796</v>
      </c>
      <c r="K299" s="0" t="n">
        <v>86.4</v>
      </c>
      <c r="L299" s="0" t="n">
        <v>16.93</v>
      </c>
      <c r="M299" s="11" t="s">
        <v>43</v>
      </c>
      <c r="N299" s="12" t="n">
        <f aca="false">INT(E299)</f>
        <v>45730</v>
      </c>
      <c r="O299" s="12" t="n">
        <f aca="false">IF(F299="","",INT(F299))</f>
        <v>45732</v>
      </c>
    </row>
    <row r="300" customFormat="false" ht="15" hidden="false" customHeight="false" outlineLevel="0" collapsed="false">
      <c r="A300" s="0" t="s">
        <v>640</v>
      </c>
      <c r="B300" s="0" t="s">
        <v>641</v>
      </c>
      <c r="C300" s="0" t="s">
        <v>22</v>
      </c>
      <c r="D300" s="0" t="s">
        <v>48</v>
      </c>
      <c r="E300" s="10" t="n">
        <v>45730.3020833333</v>
      </c>
      <c r="F300" s="10"/>
      <c r="G300" s="0" t="n">
        <v>675.27</v>
      </c>
      <c r="H300" s="0" t="n">
        <v>676.17</v>
      </c>
      <c r="I300" s="11" t="n">
        <f aca="false">H300-G300</f>
        <v>0.899999999999977</v>
      </c>
      <c r="J300" s="5" t="n">
        <f aca="false">IF(G300=0,"",I300/G300)</f>
        <v>0.001332800213248</v>
      </c>
      <c r="K300" s="0" t="n">
        <v>97.5</v>
      </c>
      <c r="M300" s="11" t="s">
        <v>43</v>
      </c>
      <c r="N300" s="12" t="n">
        <f aca="false">INT(E300)</f>
        <v>45730</v>
      </c>
      <c r="O300" s="12" t="str">
        <f aca="false">IF(F300="","",INT(F300))</f>
        <v/>
      </c>
    </row>
    <row r="301" customFormat="false" ht="15" hidden="false" customHeight="false" outlineLevel="0" collapsed="false">
      <c r="A301" s="0" t="s">
        <v>642</v>
      </c>
      <c r="B301" s="0" t="s">
        <v>643</v>
      </c>
      <c r="C301" s="0" t="s">
        <v>21</v>
      </c>
      <c r="D301" s="0" t="s">
        <v>42</v>
      </c>
      <c r="E301" s="10" t="n">
        <v>45730.3145833333</v>
      </c>
      <c r="F301" s="10" t="n">
        <v>45730.8708333333</v>
      </c>
      <c r="G301" s="0" t="n">
        <v>180.32</v>
      </c>
      <c r="H301" s="0" t="n">
        <v>175.23</v>
      </c>
      <c r="I301" s="11" t="n">
        <f aca="false">H301-G301</f>
        <v>-5.09</v>
      </c>
      <c r="J301" s="5" t="n">
        <f aca="false">IF(G301=0,"",I301/G301)</f>
        <v>-0.0282275953859805</v>
      </c>
      <c r="K301" s="0" t="n">
        <v>39.8</v>
      </c>
      <c r="L301" s="0" t="n">
        <v>13.35</v>
      </c>
      <c r="M301" s="11" t="s">
        <v>43</v>
      </c>
      <c r="N301" s="12" t="n">
        <f aca="false">INT(E301)</f>
        <v>45730</v>
      </c>
      <c r="O301" s="12" t="n">
        <f aca="false">IF(F301="","",INT(F301))</f>
        <v>45730</v>
      </c>
    </row>
    <row r="302" customFormat="false" ht="15" hidden="false" customHeight="false" outlineLevel="0" collapsed="false">
      <c r="A302" s="0" t="s">
        <v>644</v>
      </c>
      <c r="B302" s="0" t="s">
        <v>645</v>
      </c>
      <c r="C302" s="0" t="s">
        <v>19</v>
      </c>
      <c r="D302" s="0" t="s">
        <v>42</v>
      </c>
      <c r="E302" s="10" t="n">
        <v>45730.3361111111</v>
      </c>
      <c r="F302" s="10" t="n">
        <v>45731.6973611111</v>
      </c>
      <c r="G302" s="0" t="n">
        <v>751.22</v>
      </c>
      <c r="H302" s="0" t="n">
        <v>761.99</v>
      </c>
      <c r="I302" s="11" t="n">
        <f aca="false">H302-G302</f>
        <v>10.77</v>
      </c>
      <c r="J302" s="5" t="n">
        <f aca="false">IF(G302=0,"",I302/G302)</f>
        <v>0.0143366790021565</v>
      </c>
      <c r="K302" s="0" t="n">
        <v>100.7</v>
      </c>
      <c r="L302" s="0" t="n">
        <v>15.93</v>
      </c>
      <c r="M302" s="11" t="s">
        <v>43</v>
      </c>
      <c r="N302" s="12" t="n">
        <f aca="false">INT(E302)</f>
        <v>45730</v>
      </c>
      <c r="O302" s="12" t="n">
        <f aca="false">IF(F302="","",INT(F302))</f>
        <v>45731</v>
      </c>
    </row>
    <row r="303" customFormat="false" ht="15" hidden="false" customHeight="false" outlineLevel="0" collapsed="false">
      <c r="A303" s="0" t="s">
        <v>646</v>
      </c>
      <c r="B303" s="0" t="s">
        <v>647</v>
      </c>
      <c r="C303" s="0" t="s">
        <v>23</v>
      </c>
      <c r="D303" s="0" t="s">
        <v>42</v>
      </c>
      <c r="E303" s="10" t="n">
        <v>45730.3472222222</v>
      </c>
      <c r="F303" s="10" t="n">
        <v>45731.7722222222</v>
      </c>
      <c r="G303" s="0" t="n">
        <v>564.42</v>
      </c>
      <c r="H303" s="0" t="n">
        <v>648.91</v>
      </c>
      <c r="I303" s="11" t="n">
        <f aca="false">H303-G303</f>
        <v>84.49</v>
      </c>
      <c r="J303" s="5" t="n">
        <f aca="false">IF(G303=0,"",I303/G303)</f>
        <v>0.149693490662982</v>
      </c>
      <c r="K303" s="0" t="n">
        <v>112.7</v>
      </c>
      <c r="L303" s="0" t="n">
        <v>15.67</v>
      </c>
      <c r="M303" s="11" t="s">
        <v>43</v>
      </c>
      <c r="N303" s="12" t="n">
        <f aca="false">INT(E303)</f>
        <v>45730</v>
      </c>
      <c r="O303" s="12" t="n">
        <f aca="false">IF(F303="","",INT(F303))</f>
        <v>45731</v>
      </c>
    </row>
    <row r="304" customFormat="false" ht="15" hidden="false" customHeight="false" outlineLevel="0" collapsed="false">
      <c r="A304" s="0" t="s">
        <v>648</v>
      </c>
      <c r="B304" s="0" t="s">
        <v>649</v>
      </c>
      <c r="C304" s="0" t="s">
        <v>21</v>
      </c>
      <c r="D304" s="0" t="s">
        <v>42</v>
      </c>
      <c r="E304" s="10" t="n">
        <v>45730.3555555556</v>
      </c>
      <c r="F304" s="10" t="n">
        <v>45731.1005324074</v>
      </c>
      <c r="G304" s="0" t="n">
        <v>559.44</v>
      </c>
      <c r="H304" s="0" t="n">
        <v>546.82</v>
      </c>
      <c r="I304" s="11" t="n">
        <f aca="false">H304-G304</f>
        <v>-12.62</v>
      </c>
      <c r="J304" s="5" t="n">
        <f aca="false">IF(G304=0,"",I304/G304)</f>
        <v>-0.0225582725582726</v>
      </c>
      <c r="K304" s="0" t="n">
        <v>113.9</v>
      </c>
      <c r="L304" s="0" t="n">
        <v>15.47</v>
      </c>
      <c r="M304" s="11" t="s">
        <v>43</v>
      </c>
      <c r="N304" s="12" t="n">
        <f aca="false">INT(E304)</f>
        <v>45730</v>
      </c>
      <c r="O304" s="12" t="n">
        <f aca="false">IF(F304="","",INT(F304))</f>
        <v>45731</v>
      </c>
    </row>
    <row r="305" customFormat="false" ht="15" hidden="false" customHeight="false" outlineLevel="0" collapsed="false">
      <c r="A305" s="0" t="s">
        <v>650</v>
      </c>
      <c r="B305" s="0" t="s">
        <v>651</v>
      </c>
      <c r="C305" s="0" t="s">
        <v>19</v>
      </c>
      <c r="D305" s="0" t="s">
        <v>42</v>
      </c>
      <c r="E305" s="10" t="n">
        <v>45730.3583333333</v>
      </c>
      <c r="F305" s="10" t="n">
        <v>45730.5479166667</v>
      </c>
      <c r="G305" s="0" t="n">
        <v>610.87</v>
      </c>
      <c r="H305" s="0" t="n">
        <v>601.98</v>
      </c>
      <c r="I305" s="11" t="n">
        <f aca="false">H305-G305</f>
        <v>-8.88999999999999</v>
      </c>
      <c r="J305" s="5" t="n">
        <f aca="false">IF(G305=0,"",I305/G305)</f>
        <v>-0.0145530145530145</v>
      </c>
      <c r="K305" s="0" t="n">
        <v>61.2</v>
      </c>
      <c r="L305" s="0" t="n">
        <v>4.55</v>
      </c>
      <c r="M305" s="11" t="s">
        <v>43</v>
      </c>
      <c r="N305" s="12" t="n">
        <f aca="false">INT(E305)</f>
        <v>45730</v>
      </c>
      <c r="O305" s="12" t="n">
        <f aca="false">IF(F305="","",INT(F305))</f>
        <v>45730</v>
      </c>
    </row>
    <row r="306" customFormat="false" ht="15" hidden="false" customHeight="false" outlineLevel="0" collapsed="false">
      <c r="A306" s="0" t="s">
        <v>652</v>
      </c>
      <c r="B306" s="0" t="s">
        <v>653</v>
      </c>
      <c r="C306" s="0" t="s">
        <v>23</v>
      </c>
      <c r="D306" s="0" t="s">
        <v>42</v>
      </c>
      <c r="E306" s="10" t="n">
        <v>45730.3791666667</v>
      </c>
      <c r="F306" s="10" t="n">
        <v>45731.2847222222</v>
      </c>
      <c r="G306" s="0" t="n">
        <v>391.13</v>
      </c>
      <c r="H306" s="0" t="n">
        <v>369.61</v>
      </c>
      <c r="I306" s="11" t="n">
        <f aca="false">H306-G306</f>
        <v>-21.52</v>
      </c>
      <c r="J306" s="5" t="n">
        <f aca="false">IF(G306=0,"",I306/G306)</f>
        <v>-0.0550200700534349</v>
      </c>
      <c r="K306" s="0" t="n">
        <v>88</v>
      </c>
      <c r="L306" s="0" t="n">
        <v>14.9</v>
      </c>
      <c r="M306" s="11" t="s">
        <v>43</v>
      </c>
      <c r="N306" s="12" t="n">
        <f aca="false">INT(E306)</f>
        <v>45730</v>
      </c>
      <c r="O306" s="12" t="n">
        <f aca="false">IF(F306="","",INT(F306))</f>
        <v>45731</v>
      </c>
    </row>
    <row r="307" customFormat="false" ht="15" hidden="false" customHeight="false" outlineLevel="0" collapsed="false">
      <c r="A307" s="0" t="s">
        <v>654</v>
      </c>
      <c r="B307" s="0" t="s">
        <v>655</v>
      </c>
      <c r="C307" s="0" t="s">
        <v>19</v>
      </c>
      <c r="D307" s="0" t="s">
        <v>48</v>
      </c>
      <c r="E307" s="10" t="n">
        <v>45730.4111111111</v>
      </c>
      <c r="F307" s="10"/>
      <c r="G307" s="0" t="n">
        <v>111.12</v>
      </c>
      <c r="H307" s="0" t="n">
        <v>111.89</v>
      </c>
      <c r="I307" s="11" t="n">
        <f aca="false">H307-G307</f>
        <v>0.769999999999996</v>
      </c>
      <c r="J307" s="5" t="n">
        <f aca="false">IF(G307=0,"",I307/G307)</f>
        <v>0.00692944564434842</v>
      </c>
      <c r="K307" s="0" t="n">
        <v>20.2</v>
      </c>
      <c r="M307" s="11" t="s">
        <v>43</v>
      </c>
      <c r="N307" s="12" t="n">
        <f aca="false">INT(E307)</f>
        <v>45730</v>
      </c>
      <c r="O307" s="12" t="str">
        <f aca="false">IF(F307="","",INT(F307))</f>
        <v/>
      </c>
    </row>
    <row r="308" customFormat="false" ht="15" hidden="false" customHeight="false" outlineLevel="0" collapsed="false">
      <c r="A308" s="0" t="s">
        <v>656</v>
      </c>
      <c r="B308" s="0" t="s">
        <v>657</v>
      </c>
      <c r="C308" s="0" t="s">
        <v>21</v>
      </c>
      <c r="D308" s="0" t="s">
        <v>42</v>
      </c>
      <c r="E308" s="10" t="n">
        <v>45730.4118055556</v>
      </c>
      <c r="F308" s="10" t="n">
        <v>45732.1958333333</v>
      </c>
      <c r="G308" s="0" t="n">
        <v>437.87</v>
      </c>
      <c r="H308" s="0" t="n">
        <v>447.17</v>
      </c>
      <c r="I308" s="11" t="n">
        <f aca="false">H308-G308</f>
        <v>9.30000000000001</v>
      </c>
      <c r="J308" s="5" t="n">
        <f aca="false">IF(G308=0,"",I308/G308)</f>
        <v>0.0212391805787106</v>
      </c>
      <c r="K308" s="0" t="n">
        <v>81.9</v>
      </c>
      <c r="L308" s="0" t="n">
        <v>14.12</v>
      </c>
      <c r="M308" s="11" t="s">
        <v>43</v>
      </c>
      <c r="N308" s="12" t="n">
        <f aca="false">INT(E308)</f>
        <v>45730</v>
      </c>
      <c r="O308" s="12" t="n">
        <f aca="false">IF(F308="","",INT(F308))</f>
        <v>45732</v>
      </c>
    </row>
    <row r="309" customFormat="false" ht="15" hidden="false" customHeight="false" outlineLevel="0" collapsed="false">
      <c r="A309" s="0" t="s">
        <v>658</v>
      </c>
      <c r="B309" s="0" t="s">
        <v>659</v>
      </c>
      <c r="C309" s="0" t="s">
        <v>24</v>
      </c>
      <c r="D309" s="0" t="s">
        <v>42</v>
      </c>
      <c r="E309" s="10" t="n">
        <v>45730.4263888889</v>
      </c>
      <c r="F309" s="10" t="n">
        <v>45732.2715277778</v>
      </c>
      <c r="G309" s="0" t="n">
        <v>1301.67</v>
      </c>
      <c r="H309" s="0" t="n">
        <v>1281.49</v>
      </c>
      <c r="I309" s="11" t="n">
        <f aca="false">H309-G309</f>
        <v>-20.1800000000001</v>
      </c>
      <c r="J309" s="5" t="n">
        <f aca="false">IF(G309=0,"",I309/G309)</f>
        <v>-0.0155031613235306</v>
      </c>
      <c r="K309" s="0" t="n">
        <v>366.4</v>
      </c>
      <c r="L309" s="0" t="n">
        <v>13.77</v>
      </c>
      <c r="M309" s="11" t="s">
        <v>43</v>
      </c>
      <c r="N309" s="12" t="n">
        <f aca="false">INT(E309)</f>
        <v>45730</v>
      </c>
      <c r="O309" s="12" t="n">
        <f aca="false">IF(F309="","",INT(F309))</f>
        <v>45732</v>
      </c>
    </row>
    <row r="310" customFormat="false" ht="15" hidden="false" customHeight="false" outlineLevel="0" collapsed="false">
      <c r="A310" s="0" t="s">
        <v>660</v>
      </c>
      <c r="B310" s="0" t="s">
        <v>661</v>
      </c>
      <c r="C310" s="0" t="s">
        <v>22</v>
      </c>
      <c r="D310" s="0" t="s">
        <v>48</v>
      </c>
      <c r="E310" s="10" t="n">
        <v>45730.4430555556</v>
      </c>
      <c r="F310" s="10"/>
      <c r="G310" s="0" t="n">
        <v>182.35</v>
      </c>
      <c r="H310" s="0" t="n">
        <v>178.26</v>
      </c>
      <c r="I310" s="11" t="n">
        <f aca="false">H310-G310</f>
        <v>-4.09</v>
      </c>
      <c r="J310" s="5" t="n">
        <f aca="false">IF(G310=0,"",I310/G310)</f>
        <v>-0.0224293940224843</v>
      </c>
      <c r="K310" s="0" t="n">
        <v>23.5</v>
      </c>
      <c r="M310" s="11" t="s">
        <v>43</v>
      </c>
      <c r="N310" s="12" t="n">
        <f aca="false">INT(E310)</f>
        <v>45730</v>
      </c>
      <c r="O310" s="12" t="str">
        <f aca="false">IF(F310="","",INT(F310))</f>
        <v/>
      </c>
    </row>
    <row r="311" customFormat="false" ht="15" hidden="false" customHeight="false" outlineLevel="0" collapsed="false">
      <c r="A311" s="0" t="s">
        <v>662</v>
      </c>
      <c r="B311" s="0" t="s">
        <v>663</v>
      </c>
      <c r="C311" s="0" t="s">
        <v>23</v>
      </c>
      <c r="D311" s="0" t="s">
        <v>42</v>
      </c>
      <c r="E311" s="10" t="n">
        <v>45730.4493055556</v>
      </c>
      <c r="F311" s="10" t="n">
        <v>45730.96875</v>
      </c>
      <c r="G311" s="0" t="n">
        <v>610.45</v>
      </c>
      <c r="H311" s="0" t="n">
        <v>595.81</v>
      </c>
      <c r="I311" s="11" t="n">
        <f aca="false">H311-G311</f>
        <v>-14.6400000000001</v>
      </c>
      <c r="J311" s="5" t="n">
        <f aca="false">IF(G311=0,"",I311/G311)</f>
        <v>-0.0239823081333444</v>
      </c>
      <c r="K311" s="0" t="n">
        <v>243.8</v>
      </c>
      <c r="L311" s="0" t="n">
        <v>12.47</v>
      </c>
      <c r="M311" s="11" t="s">
        <v>43</v>
      </c>
      <c r="N311" s="12" t="n">
        <f aca="false">INT(E311)</f>
        <v>45730</v>
      </c>
      <c r="O311" s="12" t="n">
        <f aca="false">IF(F311="","",INT(F311))</f>
        <v>45730</v>
      </c>
    </row>
    <row r="312" customFormat="false" ht="15" hidden="false" customHeight="false" outlineLevel="0" collapsed="false">
      <c r="A312" s="0" t="s">
        <v>664</v>
      </c>
      <c r="B312" s="0" t="s">
        <v>665</v>
      </c>
      <c r="C312" s="0" t="s">
        <v>21</v>
      </c>
      <c r="D312" s="0" t="s">
        <v>42</v>
      </c>
      <c r="E312" s="10" t="n">
        <v>45730.4680555556</v>
      </c>
      <c r="F312" s="10" t="n">
        <v>45730.7872337963</v>
      </c>
      <c r="G312" s="0" t="n">
        <v>854.37</v>
      </c>
      <c r="H312" s="0" t="n">
        <v>849.18</v>
      </c>
      <c r="I312" s="11" t="n">
        <f aca="false">H312-G312</f>
        <v>-5.19000000000006</v>
      </c>
      <c r="J312" s="5" t="n">
        <f aca="false">IF(G312=0,"",I312/G312)</f>
        <v>-0.00607465149759478</v>
      </c>
      <c r="K312" s="0" t="n">
        <v>235.1</v>
      </c>
      <c r="L312" s="0" t="n">
        <v>7.66</v>
      </c>
      <c r="M312" s="11" t="s">
        <v>43</v>
      </c>
      <c r="N312" s="12" t="n">
        <f aca="false">INT(E312)</f>
        <v>45730</v>
      </c>
      <c r="O312" s="12" t="n">
        <f aca="false">IF(F312="","",INT(F312))</f>
        <v>45730</v>
      </c>
    </row>
    <row r="313" customFormat="false" ht="15" hidden="false" customHeight="false" outlineLevel="0" collapsed="false">
      <c r="A313" s="0" t="s">
        <v>666</v>
      </c>
      <c r="B313" s="0" t="s">
        <v>667</v>
      </c>
      <c r="C313" s="0" t="s">
        <v>24</v>
      </c>
      <c r="D313" s="0" t="s">
        <v>42</v>
      </c>
      <c r="E313" s="10" t="n">
        <v>45730.4736111111</v>
      </c>
      <c r="F313" s="10" t="n">
        <v>45731.6243055556</v>
      </c>
      <c r="G313" s="0" t="n">
        <v>432.92</v>
      </c>
      <c r="H313" s="0" t="n">
        <v>526.71</v>
      </c>
      <c r="I313" s="11" t="n">
        <f aca="false">H313-G313</f>
        <v>93.79</v>
      </c>
      <c r="J313" s="5" t="n">
        <f aca="false">IF(G313=0,"",I313/G313)</f>
        <v>0.216645107641135</v>
      </c>
      <c r="K313" s="0" t="n">
        <v>100.6</v>
      </c>
      <c r="L313" s="0" t="n">
        <v>12.63</v>
      </c>
      <c r="M313" s="11" t="s">
        <v>43</v>
      </c>
      <c r="N313" s="12" t="n">
        <f aca="false">INT(E313)</f>
        <v>45730</v>
      </c>
      <c r="O313" s="12" t="n">
        <f aca="false">IF(F313="","",INT(F313))</f>
        <v>45731</v>
      </c>
    </row>
    <row r="314" customFormat="false" ht="15" hidden="false" customHeight="false" outlineLevel="0" collapsed="false">
      <c r="A314" s="0" t="s">
        <v>668</v>
      </c>
      <c r="B314" s="0" t="s">
        <v>669</v>
      </c>
      <c r="C314" s="0" t="s">
        <v>21</v>
      </c>
      <c r="D314" s="0" t="s">
        <v>48</v>
      </c>
      <c r="E314" s="10" t="n">
        <v>45730.4861111111</v>
      </c>
      <c r="F314" s="10"/>
      <c r="G314" s="0" t="n">
        <v>216.53</v>
      </c>
      <c r="H314" s="0" t="n">
        <v>219.92</v>
      </c>
      <c r="I314" s="11" t="n">
        <f aca="false">H314-G314</f>
        <v>3.38999999999999</v>
      </c>
      <c r="J314" s="5" t="n">
        <f aca="false">IF(G314=0,"",I314/G314)</f>
        <v>0.0156560291876414</v>
      </c>
      <c r="K314" s="0" t="n">
        <v>58.6</v>
      </c>
      <c r="M314" s="11" t="s">
        <v>43</v>
      </c>
      <c r="N314" s="12" t="n">
        <f aca="false">INT(E314)</f>
        <v>45730</v>
      </c>
      <c r="O314" s="12" t="str">
        <f aca="false">IF(F314="","",INT(F314))</f>
        <v/>
      </c>
    </row>
    <row r="315" customFormat="false" ht="15" hidden="false" customHeight="false" outlineLevel="0" collapsed="false">
      <c r="A315" s="0" t="s">
        <v>670</v>
      </c>
      <c r="B315" s="0" t="s">
        <v>671</v>
      </c>
      <c r="C315" s="0" t="s">
        <v>23</v>
      </c>
      <c r="D315" s="0" t="s">
        <v>42</v>
      </c>
      <c r="E315" s="10" t="n">
        <v>45730.4861111111</v>
      </c>
      <c r="F315" s="10" t="n">
        <v>45731.3229166667</v>
      </c>
      <c r="G315" s="0" t="n">
        <v>327.24</v>
      </c>
      <c r="H315" s="0" t="n">
        <v>337.21</v>
      </c>
      <c r="I315" s="11" t="n">
        <f aca="false">H315-G315</f>
        <v>9.96999999999997</v>
      </c>
      <c r="J315" s="5" t="n">
        <f aca="false">IF(G315=0,"",I315/G315)</f>
        <v>0.030466935582447</v>
      </c>
      <c r="K315" s="0" t="n">
        <v>130.3</v>
      </c>
      <c r="L315" s="0" t="n">
        <v>12.33</v>
      </c>
      <c r="M315" s="11" t="s">
        <v>43</v>
      </c>
      <c r="N315" s="12" t="n">
        <f aca="false">INT(E315)</f>
        <v>45730</v>
      </c>
      <c r="O315" s="12" t="n">
        <f aca="false">IF(F315="","",INT(F315))</f>
        <v>45731</v>
      </c>
    </row>
    <row r="316" customFormat="false" ht="15" hidden="false" customHeight="false" outlineLevel="0" collapsed="false">
      <c r="A316" s="0" t="s">
        <v>672</v>
      </c>
      <c r="B316" s="0" t="s">
        <v>673</v>
      </c>
      <c r="C316" s="0" t="s">
        <v>23</v>
      </c>
      <c r="D316" s="0" t="s">
        <v>42</v>
      </c>
      <c r="E316" s="10" t="n">
        <v>45730.4923611111</v>
      </c>
      <c r="F316" s="10" t="n">
        <v>45733.8360532407</v>
      </c>
      <c r="G316" s="0" t="n">
        <v>208.53</v>
      </c>
      <c r="H316" s="0" t="n">
        <v>209.88</v>
      </c>
      <c r="I316" s="11" t="n">
        <f aca="false">H316-G316</f>
        <v>1.34999999999999</v>
      </c>
      <c r="J316" s="5" t="n">
        <f aca="false">IF(G316=0,"",I316/G316)</f>
        <v>0.00647388864911521</v>
      </c>
      <c r="K316" s="0" t="n">
        <v>56.1</v>
      </c>
      <c r="L316" s="0" t="n">
        <v>32.25</v>
      </c>
      <c r="M316" s="11" t="s">
        <v>43</v>
      </c>
      <c r="N316" s="12" t="n">
        <f aca="false">INT(E316)</f>
        <v>45730</v>
      </c>
      <c r="O316" s="12" t="n">
        <f aca="false">IF(F316="","",INT(F316))</f>
        <v>45733</v>
      </c>
    </row>
    <row r="317" customFormat="false" ht="15" hidden="false" customHeight="false" outlineLevel="0" collapsed="false">
      <c r="A317" s="0" t="s">
        <v>674</v>
      </c>
      <c r="B317" s="0" t="s">
        <v>675</v>
      </c>
      <c r="C317" s="0" t="s">
        <v>21</v>
      </c>
      <c r="D317" s="0" t="s">
        <v>42</v>
      </c>
      <c r="E317" s="10" t="n">
        <v>45730.5034722222</v>
      </c>
      <c r="F317" s="10" t="n">
        <v>45731.2380324074</v>
      </c>
      <c r="G317" s="0" t="n">
        <v>342.67</v>
      </c>
      <c r="H317" s="0" t="n">
        <v>335.17</v>
      </c>
      <c r="I317" s="11" t="n">
        <f aca="false">H317-G317</f>
        <v>-7.5</v>
      </c>
      <c r="J317" s="5" t="n">
        <f aca="false">IF(G317=0,"",I317/G317)</f>
        <v>-0.0218869466250328</v>
      </c>
      <c r="K317" s="0" t="n">
        <v>89.7</v>
      </c>
      <c r="L317" s="0" t="n">
        <v>11.92</v>
      </c>
      <c r="M317" s="11" t="s">
        <v>43</v>
      </c>
      <c r="N317" s="12" t="n">
        <f aca="false">INT(E317)</f>
        <v>45730</v>
      </c>
      <c r="O317" s="12" t="n">
        <f aca="false">IF(F317="","",INT(F317))</f>
        <v>45731</v>
      </c>
    </row>
    <row r="318" customFormat="false" ht="15" hidden="false" customHeight="false" outlineLevel="0" collapsed="false">
      <c r="A318" s="0" t="s">
        <v>676</v>
      </c>
      <c r="B318" s="0" t="s">
        <v>677</v>
      </c>
      <c r="C318" s="0" t="s">
        <v>24</v>
      </c>
      <c r="D318" s="0" t="s">
        <v>42</v>
      </c>
      <c r="E318" s="10" t="n">
        <v>45730.5451388889</v>
      </c>
      <c r="F318" s="10" t="n">
        <v>45732.0768287037</v>
      </c>
      <c r="G318" s="0" t="n">
        <v>239.67</v>
      </c>
      <c r="H318" s="0" t="n">
        <v>241.98</v>
      </c>
      <c r="I318" s="11" t="n">
        <f aca="false">H318-G318</f>
        <v>2.31</v>
      </c>
      <c r="J318" s="5" t="n">
        <f aca="false">IF(G318=0,"",I318/G318)</f>
        <v>0.00963825259732133</v>
      </c>
      <c r="K318" s="0" t="n">
        <v>92</v>
      </c>
      <c r="L318" s="0" t="n">
        <v>10.92</v>
      </c>
      <c r="M318" s="11" t="s">
        <v>43</v>
      </c>
      <c r="N318" s="12" t="n">
        <f aca="false">INT(E318)</f>
        <v>45730</v>
      </c>
      <c r="O318" s="12" t="n">
        <f aca="false">IF(F318="","",INT(F318))</f>
        <v>45732</v>
      </c>
    </row>
    <row r="319" customFormat="false" ht="15" hidden="false" customHeight="false" outlineLevel="0" collapsed="false">
      <c r="A319" s="0" t="s">
        <v>678</v>
      </c>
      <c r="B319" s="0" t="s">
        <v>679</v>
      </c>
      <c r="C319" s="0" t="s">
        <v>22</v>
      </c>
      <c r="D319" s="0" t="s">
        <v>42</v>
      </c>
      <c r="E319" s="10" t="n">
        <v>45730.5472222222</v>
      </c>
      <c r="F319" s="10" t="n">
        <v>45731.3829166667</v>
      </c>
      <c r="G319" s="0" t="n">
        <v>232</v>
      </c>
      <c r="H319" s="0" t="n">
        <v>226.03</v>
      </c>
      <c r="I319" s="11" t="n">
        <f aca="false">H319-G319</f>
        <v>-5.97</v>
      </c>
      <c r="J319" s="5" t="n">
        <f aca="false">IF(G319=0,"",I319/G319)</f>
        <v>-0.0257327586206897</v>
      </c>
      <c r="K319" s="0" t="n">
        <v>41</v>
      </c>
      <c r="L319" s="0" t="n">
        <v>10.87</v>
      </c>
      <c r="M319" s="11" t="s">
        <v>43</v>
      </c>
      <c r="N319" s="12" t="n">
        <f aca="false">INT(E319)</f>
        <v>45730</v>
      </c>
      <c r="O319" s="12" t="n">
        <f aca="false">IF(F319="","",INT(F319))</f>
        <v>45731</v>
      </c>
    </row>
    <row r="320" customFormat="false" ht="15" hidden="false" customHeight="false" outlineLevel="0" collapsed="false">
      <c r="A320" s="0" t="s">
        <v>680</v>
      </c>
      <c r="B320" s="0" t="s">
        <v>681</v>
      </c>
      <c r="C320" s="0" t="s">
        <v>21</v>
      </c>
      <c r="D320" s="0" t="s">
        <v>42</v>
      </c>
      <c r="E320" s="10" t="n">
        <v>45730.5743055556</v>
      </c>
      <c r="F320" s="10" t="n">
        <v>45731.8243055556</v>
      </c>
      <c r="G320" s="0" t="n">
        <v>477.74</v>
      </c>
      <c r="H320" s="0" t="n">
        <v>477.4</v>
      </c>
      <c r="I320" s="11" t="n">
        <f aca="false">H320-G320</f>
        <v>-0.340000000000032</v>
      </c>
      <c r="J320" s="5" t="n">
        <f aca="false">IF(G320=0,"",I320/G320)</f>
        <v>-0.00071168417967939</v>
      </c>
      <c r="K320" s="0" t="n">
        <v>75.7</v>
      </c>
      <c r="L320" s="0" t="n">
        <v>10.22</v>
      </c>
      <c r="M320" s="11" t="s">
        <v>43</v>
      </c>
      <c r="N320" s="12" t="n">
        <f aca="false">INT(E320)</f>
        <v>45730</v>
      </c>
      <c r="O320" s="12" t="n">
        <f aca="false">IF(F320="","",INT(F320))</f>
        <v>45731</v>
      </c>
    </row>
    <row r="321" customFormat="false" ht="15" hidden="false" customHeight="false" outlineLevel="0" collapsed="false">
      <c r="A321" s="0" t="s">
        <v>682</v>
      </c>
      <c r="B321" s="0" t="s">
        <v>683</v>
      </c>
      <c r="C321" s="0" t="s">
        <v>23</v>
      </c>
      <c r="D321" s="0" t="s">
        <v>42</v>
      </c>
      <c r="E321" s="10" t="n">
        <v>45730.6430555556</v>
      </c>
      <c r="F321" s="10" t="n">
        <v>45732.6305555556</v>
      </c>
      <c r="G321" s="0" t="n">
        <v>180.93</v>
      </c>
      <c r="H321" s="0" t="n">
        <v>174.9</v>
      </c>
      <c r="I321" s="11" t="n">
        <f aca="false">H321-G321</f>
        <v>-6.03</v>
      </c>
      <c r="J321" s="5" t="n">
        <f aca="false">IF(G321=0,"",I321/G321)</f>
        <v>-0.0333278063339413</v>
      </c>
      <c r="K321" s="0" t="n">
        <v>74.9</v>
      </c>
      <c r="L321" s="0" t="n">
        <v>8.57</v>
      </c>
      <c r="M321" s="11" t="s">
        <v>43</v>
      </c>
      <c r="N321" s="12" t="n">
        <f aca="false">INT(E321)</f>
        <v>45730</v>
      </c>
      <c r="O321" s="12" t="n">
        <f aca="false">IF(F321="","",INT(F321))</f>
        <v>45732</v>
      </c>
    </row>
    <row r="322" customFormat="false" ht="15" hidden="false" customHeight="false" outlineLevel="0" collapsed="false">
      <c r="A322" s="0" t="s">
        <v>684</v>
      </c>
      <c r="B322" s="0" t="s">
        <v>685</v>
      </c>
      <c r="C322" s="0" t="s">
        <v>24</v>
      </c>
      <c r="D322" s="0" t="s">
        <v>48</v>
      </c>
      <c r="E322" s="10" t="n">
        <v>45730.6472222222</v>
      </c>
      <c r="F322" s="10"/>
      <c r="G322" s="0" t="n">
        <v>702.81</v>
      </c>
      <c r="H322" s="0" t="n">
        <v>727.53</v>
      </c>
      <c r="I322" s="11" t="n">
        <f aca="false">H322-G322</f>
        <v>24.72</v>
      </c>
      <c r="J322" s="5" t="n">
        <f aca="false">IF(G322=0,"",I322/G322)</f>
        <v>0.0351730908780467</v>
      </c>
      <c r="K322" s="0" t="n">
        <v>164.2</v>
      </c>
      <c r="M322" s="11" t="s">
        <v>43</v>
      </c>
      <c r="N322" s="12" t="n">
        <f aca="false">INT(E322)</f>
        <v>45730</v>
      </c>
      <c r="O322" s="12" t="str">
        <f aca="false">IF(F322="","",INT(F322))</f>
        <v/>
      </c>
    </row>
    <row r="323" customFormat="false" ht="15" hidden="false" customHeight="false" outlineLevel="0" collapsed="false">
      <c r="A323" s="0" t="s">
        <v>686</v>
      </c>
      <c r="B323" s="0" t="s">
        <v>687</v>
      </c>
      <c r="C323" s="0" t="s">
        <v>23</v>
      </c>
      <c r="D323" s="0" t="s">
        <v>42</v>
      </c>
      <c r="E323" s="10" t="n">
        <v>45730.6493055556</v>
      </c>
      <c r="F323" s="10" t="n">
        <v>45731.4104166667</v>
      </c>
      <c r="G323" s="0" t="n">
        <v>536.51</v>
      </c>
      <c r="H323" s="0" t="n">
        <v>539.95</v>
      </c>
      <c r="I323" s="11" t="n">
        <f aca="false">H323-G323</f>
        <v>3.44000000000005</v>
      </c>
      <c r="J323" s="5" t="n">
        <f aca="false">IF(G323=0,"",I323/G323)</f>
        <v>0.00641180965872035</v>
      </c>
      <c r="K323" s="0" t="n">
        <v>153.1</v>
      </c>
      <c r="L323" s="0" t="n">
        <v>8.42</v>
      </c>
      <c r="M323" s="11" t="s">
        <v>43</v>
      </c>
      <c r="N323" s="12" t="n">
        <f aca="false">INT(E323)</f>
        <v>45730</v>
      </c>
      <c r="O323" s="12" t="n">
        <f aca="false">IF(F323="","",INT(F323))</f>
        <v>45731</v>
      </c>
    </row>
    <row r="324" customFormat="false" ht="15" hidden="false" customHeight="false" outlineLevel="0" collapsed="false">
      <c r="A324" s="0" t="s">
        <v>688</v>
      </c>
      <c r="B324" s="0" t="s">
        <v>689</v>
      </c>
      <c r="C324" s="0" t="s">
        <v>21</v>
      </c>
      <c r="D324" s="0" t="s">
        <v>42</v>
      </c>
      <c r="E324" s="10" t="n">
        <v>45730.6618055556</v>
      </c>
      <c r="F324" s="10" t="n">
        <v>45730.8755208333</v>
      </c>
      <c r="G324" s="0" t="n">
        <v>514.9</v>
      </c>
      <c r="H324" s="0" t="n">
        <v>458.53</v>
      </c>
      <c r="I324" s="11" t="n">
        <f aca="false">H324-G324</f>
        <v>-56.37</v>
      </c>
      <c r="J324" s="5" t="n">
        <f aca="false">IF(G324=0,"",I324/G324)</f>
        <v>-0.109477568459895</v>
      </c>
      <c r="K324" s="0" t="n">
        <v>102.8</v>
      </c>
      <c r="L324" s="0" t="n">
        <v>5.13</v>
      </c>
      <c r="M324" s="11" t="s">
        <v>43</v>
      </c>
      <c r="N324" s="12" t="n">
        <f aca="false">INT(E324)</f>
        <v>45730</v>
      </c>
      <c r="O324" s="12" t="n">
        <f aca="false">IF(F324="","",INT(F324))</f>
        <v>45730</v>
      </c>
    </row>
    <row r="325" customFormat="false" ht="15" hidden="false" customHeight="false" outlineLevel="0" collapsed="false">
      <c r="A325" s="0" t="s">
        <v>690</v>
      </c>
      <c r="B325" s="0" t="s">
        <v>691</v>
      </c>
      <c r="C325" s="0" t="s">
        <v>20</v>
      </c>
      <c r="D325" s="0" t="s">
        <v>303</v>
      </c>
      <c r="E325" s="10" t="n">
        <v>45730.6791666667</v>
      </c>
      <c r="F325" s="10"/>
      <c r="G325" s="0" t="n">
        <v>649.48</v>
      </c>
      <c r="H325" s="0" t="n">
        <v>652.44</v>
      </c>
      <c r="I325" s="11" t="n">
        <f aca="false">H325-G325</f>
        <v>2.96000000000004</v>
      </c>
      <c r="J325" s="5" t="n">
        <f aca="false">IF(G325=0,"",I325/G325)</f>
        <v>0.00455749214756426</v>
      </c>
      <c r="K325" s="0" t="n">
        <v>117.7</v>
      </c>
      <c r="M325" s="11" t="s">
        <v>43</v>
      </c>
      <c r="N325" s="12" t="n">
        <f aca="false">INT(E325)</f>
        <v>45730</v>
      </c>
      <c r="O325" s="12" t="str">
        <f aca="false">IF(F325="","",INT(F325))</f>
        <v/>
      </c>
    </row>
    <row r="326" customFormat="false" ht="15" hidden="false" customHeight="false" outlineLevel="0" collapsed="false">
      <c r="A326" s="0" t="s">
        <v>692</v>
      </c>
      <c r="B326" s="0" t="s">
        <v>693</v>
      </c>
      <c r="C326" s="0" t="s">
        <v>23</v>
      </c>
      <c r="D326" s="0" t="s">
        <v>42</v>
      </c>
      <c r="E326" s="10" t="n">
        <v>45730.6819444444</v>
      </c>
      <c r="F326" s="10" t="n">
        <v>45732.0875</v>
      </c>
      <c r="G326" s="0" t="n">
        <v>438.37</v>
      </c>
      <c r="H326" s="0" t="n">
        <v>444.28</v>
      </c>
      <c r="I326" s="11" t="n">
        <f aca="false">H326-G326</f>
        <v>5.90999999999997</v>
      </c>
      <c r="J326" s="5" t="n">
        <f aca="false">IF(G326=0,"",I326/G326)</f>
        <v>0.0134817619818874</v>
      </c>
      <c r="K326" s="0" t="n">
        <v>109.1</v>
      </c>
      <c r="L326" s="0" t="n">
        <v>7.63</v>
      </c>
      <c r="M326" s="11" t="s">
        <v>43</v>
      </c>
      <c r="N326" s="12" t="n">
        <f aca="false">INT(E326)</f>
        <v>45730</v>
      </c>
      <c r="O326" s="12" t="n">
        <f aca="false">IF(F326="","",INT(F326))</f>
        <v>45732</v>
      </c>
    </row>
    <row r="327" customFormat="false" ht="15" hidden="false" customHeight="false" outlineLevel="0" collapsed="false">
      <c r="A327" s="0" t="s">
        <v>694</v>
      </c>
      <c r="B327" s="0" t="s">
        <v>695</v>
      </c>
      <c r="C327" s="0" t="s">
        <v>23</v>
      </c>
      <c r="D327" s="0" t="s">
        <v>42</v>
      </c>
      <c r="E327" s="10" t="n">
        <v>45730.7006944444</v>
      </c>
      <c r="F327" s="10" t="n">
        <v>45731.6222222222</v>
      </c>
      <c r="G327" s="0" t="n">
        <v>1324.31</v>
      </c>
      <c r="H327" s="0" t="n">
        <v>1348.68</v>
      </c>
      <c r="I327" s="11" t="n">
        <f aca="false">H327-G327</f>
        <v>24.3700000000001</v>
      </c>
      <c r="J327" s="5" t="n">
        <f aca="false">IF(G327=0,"",I327/G327)</f>
        <v>0.0184020357771218</v>
      </c>
      <c r="K327" s="0" t="n">
        <v>304.3</v>
      </c>
      <c r="L327" s="0" t="n">
        <v>7.18</v>
      </c>
      <c r="M327" s="11" t="s">
        <v>43</v>
      </c>
      <c r="N327" s="12" t="n">
        <f aca="false">INT(E327)</f>
        <v>45730</v>
      </c>
      <c r="O327" s="12" t="n">
        <f aca="false">IF(F327="","",INT(F327))</f>
        <v>45731</v>
      </c>
    </row>
    <row r="328" customFormat="false" ht="15" hidden="false" customHeight="false" outlineLevel="0" collapsed="false">
      <c r="A328" s="0" t="s">
        <v>696</v>
      </c>
      <c r="B328" s="0" t="s">
        <v>697</v>
      </c>
      <c r="C328" s="0" t="s">
        <v>22</v>
      </c>
      <c r="D328" s="0" t="s">
        <v>42</v>
      </c>
      <c r="E328" s="10" t="n">
        <v>45730.70625</v>
      </c>
      <c r="F328" s="10" t="n">
        <v>45731.3166666667</v>
      </c>
      <c r="G328" s="0" t="n">
        <v>188.34</v>
      </c>
      <c r="H328" s="0" t="n">
        <v>182.51</v>
      </c>
      <c r="I328" s="11" t="n">
        <f aca="false">H328-G328</f>
        <v>-5.83000000000001</v>
      </c>
      <c r="J328" s="5" t="n">
        <f aca="false">IF(G328=0,"",I328/G328)</f>
        <v>-0.0309546564723373</v>
      </c>
      <c r="K328" s="0" t="n">
        <v>25.7</v>
      </c>
      <c r="L328" s="0" t="n">
        <v>7.05</v>
      </c>
      <c r="M328" s="11" t="s">
        <v>43</v>
      </c>
      <c r="N328" s="12" t="n">
        <f aca="false">INT(E328)</f>
        <v>45730</v>
      </c>
      <c r="O328" s="12" t="n">
        <f aca="false">IF(F328="","",INT(F328))</f>
        <v>45731</v>
      </c>
    </row>
    <row r="329" customFormat="false" ht="15" hidden="false" customHeight="false" outlineLevel="0" collapsed="false">
      <c r="A329" s="0" t="s">
        <v>698</v>
      </c>
      <c r="B329" s="0" t="s">
        <v>699</v>
      </c>
      <c r="C329" s="0" t="s">
        <v>21</v>
      </c>
      <c r="D329" s="0" t="s">
        <v>42</v>
      </c>
      <c r="E329" s="10" t="n">
        <v>45730.7166666667</v>
      </c>
      <c r="F329" s="10" t="n">
        <v>45731.8104166667</v>
      </c>
      <c r="G329" s="0" t="n">
        <v>306.22</v>
      </c>
      <c r="H329" s="0" t="n">
        <v>306.44</v>
      </c>
      <c r="I329" s="11" t="n">
        <f aca="false">H329-G329</f>
        <v>0.21999999999997</v>
      </c>
      <c r="J329" s="5" t="n">
        <f aca="false">IF(G329=0,"",I329/G329)</f>
        <v>0.000718437724511692</v>
      </c>
      <c r="K329" s="0" t="n">
        <v>48.6</v>
      </c>
      <c r="L329" s="0" t="n">
        <v>6.8</v>
      </c>
      <c r="M329" s="11" t="s">
        <v>43</v>
      </c>
      <c r="N329" s="12" t="n">
        <f aca="false">INT(E329)</f>
        <v>45730</v>
      </c>
      <c r="O329" s="12" t="n">
        <f aca="false">IF(F329="","",INT(F329))</f>
        <v>45731</v>
      </c>
    </row>
    <row r="330" customFormat="false" ht="15" hidden="false" customHeight="false" outlineLevel="0" collapsed="false">
      <c r="A330" s="0" t="s">
        <v>700</v>
      </c>
      <c r="B330" s="0" t="s">
        <v>701</v>
      </c>
      <c r="C330" s="0" t="s">
        <v>19</v>
      </c>
      <c r="D330" s="0" t="s">
        <v>48</v>
      </c>
      <c r="E330" s="10" t="n">
        <v>45730.7166666667</v>
      </c>
      <c r="F330" s="10"/>
      <c r="G330" s="0" t="n">
        <v>317.52</v>
      </c>
      <c r="H330" s="0" t="n">
        <v>313.14</v>
      </c>
      <c r="I330" s="11" t="n">
        <f aca="false">H330-G330</f>
        <v>-4.38</v>
      </c>
      <c r="J330" s="5" t="n">
        <f aca="false">IF(G330=0,"",I330/G330)</f>
        <v>-0.0137944066515495</v>
      </c>
      <c r="K330" s="0" t="n">
        <v>50.3</v>
      </c>
      <c r="M330" s="11" t="s">
        <v>43</v>
      </c>
      <c r="N330" s="12" t="n">
        <f aca="false">INT(E330)</f>
        <v>45730</v>
      </c>
      <c r="O330" s="12" t="str">
        <f aca="false">IF(F330="","",INT(F330))</f>
        <v/>
      </c>
    </row>
    <row r="331" customFormat="false" ht="15" hidden="false" customHeight="false" outlineLevel="0" collapsed="false">
      <c r="A331" s="0" t="s">
        <v>702</v>
      </c>
      <c r="B331" s="0" t="s">
        <v>703</v>
      </c>
      <c r="C331" s="0" t="s">
        <v>23</v>
      </c>
      <c r="D331" s="0" t="s">
        <v>42</v>
      </c>
      <c r="E331" s="10" t="n">
        <v>45730.7694444444</v>
      </c>
      <c r="F331" s="10" t="n">
        <v>45732.2652777778</v>
      </c>
      <c r="G331" s="0" t="n">
        <v>789.82</v>
      </c>
      <c r="H331" s="0" t="n">
        <v>785.13</v>
      </c>
      <c r="I331" s="11" t="n">
        <f aca="false">H331-G331</f>
        <v>-4.69000000000006</v>
      </c>
      <c r="J331" s="5" t="n">
        <f aca="false">IF(G331=0,"",I331/G331)</f>
        <v>-0.00593806183687429</v>
      </c>
      <c r="K331" s="0" t="n">
        <v>322.5</v>
      </c>
      <c r="L331" s="0" t="n">
        <v>5.53</v>
      </c>
      <c r="M331" s="11" t="s">
        <v>43</v>
      </c>
      <c r="N331" s="12" t="n">
        <f aca="false">INT(E331)</f>
        <v>45730</v>
      </c>
      <c r="O331" s="12" t="n">
        <f aca="false">IF(F331="","",INT(F331))</f>
        <v>45732</v>
      </c>
    </row>
    <row r="332" customFormat="false" ht="15" hidden="false" customHeight="false" outlineLevel="0" collapsed="false">
      <c r="A332" s="0" t="s">
        <v>704</v>
      </c>
      <c r="B332" s="0" t="s">
        <v>705</v>
      </c>
      <c r="C332" s="0" t="s">
        <v>21</v>
      </c>
      <c r="D332" s="0" t="s">
        <v>42</v>
      </c>
      <c r="E332" s="10" t="n">
        <v>45730.7694444444</v>
      </c>
      <c r="F332" s="10" t="n">
        <v>45730.91875</v>
      </c>
      <c r="G332" s="0" t="n">
        <v>105</v>
      </c>
      <c r="H332" s="0" t="n">
        <v>104.28</v>
      </c>
      <c r="I332" s="11" t="n">
        <f aca="false">H332-G332</f>
        <v>-0.719999999999999</v>
      </c>
      <c r="J332" s="5" t="n">
        <f aca="false">IF(G332=0,"",I332/G332)</f>
        <v>-0.00685714285714285</v>
      </c>
      <c r="K332" s="0" t="n">
        <v>26.4</v>
      </c>
      <c r="L332" s="0" t="n">
        <v>3.58</v>
      </c>
      <c r="M332" s="11" t="s">
        <v>43</v>
      </c>
      <c r="N332" s="12" t="n">
        <f aca="false">INT(E332)</f>
        <v>45730</v>
      </c>
      <c r="O332" s="12" t="n">
        <f aca="false">IF(F332="","",INT(F332))</f>
        <v>45730</v>
      </c>
    </row>
    <row r="333" customFormat="false" ht="15" hidden="false" customHeight="false" outlineLevel="0" collapsed="false">
      <c r="A333" s="0" t="s">
        <v>706</v>
      </c>
      <c r="B333" s="0" t="s">
        <v>707</v>
      </c>
      <c r="C333" s="0" t="s">
        <v>22</v>
      </c>
      <c r="D333" s="0" t="s">
        <v>42</v>
      </c>
      <c r="E333" s="10" t="n">
        <v>45733.30625</v>
      </c>
      <c r="F333" s="10" t="n">
        <v>45733.9515740741</v>
      </c>
      <c r="G333" s="0" t="n">
        <v>196.48</v>
      </c>
      <c r="H333" s="0" t="n">
        <v>198.01</v>
      </c>
      <c r="I333" s="11" t="n">
        <f aca="false">H333-G333</f>
        <v>1.53</v>
      </c>
      <c r="J333" s="5" t="n">
        <f aca="false">IF(G333=0,"",I333/G333)</f>
        <v>0.00778705211726385</v>
      </c>
      <c r="K333" s="0" t="n">
        <v>31.7</v>
      </c>
      <c r="L333" s="0" t="n">
        <v>15.49</v>
      </c>
      <c r="M333" s="11" t="s">
        <v>43</v>
      </c>
      <c r="N333" s="12" t="n">
        <f aca="false">INT(E333)</f>
        <v>45733</v>
      </c>
      <c r="O333" s="12" t="n">
        <f aca="false">IF(F333="","",INT(F333))</f>
        <v>45733</v>
      </c>
    </row>
    <row r="334" customFormat="false" ht="15" hidden="false" customHeight="false" outlineLevel="0" collapsed="false">
      <c r="A334" s="0" t="s">
        <v>708</v>
      </c>
      <c r="B334" s="0" t="s">
        <v>709</v>
      </c>
      <c r="C334" s="0" t="s">
        <v>19</v>
      </c>
      <c r="D334" s="0" t="s">
        <v>42</v>
      </c>
      <c r="E334" s="10" t="n">
        <v>45733.3277777778</v>
      </c>
      <c r="F334" s="10" t="n">
        <v>45733.8319444444</v>
      </c>
      <c r="G334" s="0" t="n">
        <v>270.18</v>
      </c>
      <c r="H334" s="0" t="n">
        <v>273.91</v>
      </c>
      <c r="I334" s="11" t="n">
        <f aca="false">H334-G334</f>
        <v>3.73000000000002</v>
      </c>
      <c r="J334" s="5" t="n">
        <f aca="false">IF(G334=0,"",I334/G334)</f>
        <v>0.0138056110740988</v>
      </c>
      <c r="K334" s="0" t="n">
        <v>30.2</v>
      </c>
      <c r="L334" s="0" t="n">
        <v>12.1</v>
      </c>
      <c r="M334" s="11" t="s">
        <v>43</v>
      </c>
      <c r="N334" s="12" t="n">
        <f aca="false">INT(E334)</f>
        <v>45733</v>
      </c>
      <c r="O334" s="12" t="n">
        <f aca="false">IF(F334="","",INT(F334))</f>
        <v>45733</v>
      </c>
    </row>
    <row r="335" customFormat="false" ht="15" hidden="false" customHeight="false" outlineLevel="0" collapsed="false">
      <c r="A335" s="0" t="s">
        <v>710</v>
      </c>
      <c r="B335" s="0" t="s">
        <v>711</v>
      </c>
      <c r="C335" s="0" t="s">
        <v>23</v>
      </c>
      <c r="D335" s="0" t="s">
        <v>42</v>
      </c>
      <c r="E335" s="10" t="n">
        <v>45733.3368055556</v>
      </c>
      <c r="F335" s="10" t="n">
        <v>45734.7444444444</v>
      </c>
      <c r="G335" s="0" t="n">
        <v>973.16</v>
      </c>
      <c r="H335" s="0" t="n">
        <v>964.52</v>
      </c>
      <c r="I335" s="11" t="n">
        <f aca="false">H335-G335</f>
        <v>-8.63999999999999</v>
      </c>
      <c r="J335" s="5" t="n">
        <f aca="false">IF(G335=0,"",I335/G335)</f>
        <v>-0.00887829339471411</v>
      </c>
      <c r="K335" s="0" t="n">
        <v>434.3</v>
      </c>
      <c r="L335" s="0" t="n">
        <v>33.78</v>
      </c>
      <c r="M335" s="11" t="s">
        <v>43</v>
      </c>
      <c r="N335" s="12" t="n">
        <f aca="false">INT(E335)</f>
        <v>45733</v>
      </c>
      <c r="O335" s="12" t="n">
        <f aca="false">IF(F335="","",INT(F335))</f>
        <v>45734</v>
      </c>
    </row>
    <row r="336" customFormat="false" ht="15" hidden="false" customHeight="false" outlineLevel="0" collapsed="false">
      <c r="A336" s="0" t="s">
        <v>712</v>
      </c>
      <c r="B336" s="0" t="s">
        <v>713</v>
      </c>
      <c r="C336" s="0" t="s">
        <v>23</v>
      </c>
      <c r="D336" s="0" t="s">
        <v>42</v>
      </c>
      <c r="E336" s="10" t="n">
        <v>45733.3368055556</v>
      </c>
      <c r="F336" s="10" t="n">
        <v>45734.027974537</v>
      </c>
      <c r="G336" s="0" t="n">
        <v>154.8</v>
      </c>
      <c r="H336" s="0" t="n">
        <v>125.99</v>
      </c>
      <c r="I336" s="11" t="n">
        <f aca="false">H336-G336</f>
        <v>-28.81</v>
      </c>
      <c r="J336" s="5" t="n">
        <f aca="false">IF(G336=0,"",I336/G336)</f>
        <v>-0.186111111111111</v>
      </c>
      <c r="K336" s="0" t="n">
        <v>57.7</v>
      </c>
      <c r="L336" s="0" t="n">
        <v>16.59</v>
      </c>
      <c r="M336" s="11" t="s">
        <v>43</v>
      </c>
      <c r="N336" s="12" t="n">
        <f aca="false">INT(E336)</f>
        <v>45733</v>
      </c>
      <c r="O336" s="12" t="n">
        <f aca="false">IF(F336="","",INT(F336))</f>
        <v>45734</v>
      </c>
    </row>
    <row r="337" customFormat="false" ht="15" hidden="false" customHeight="false" outlineLevel="0" collapsed="false">
      <c r="A337" s="0" t="s">
        <v>714</v>
      </c>
      <c r="B337" s="0" t="s">
        <v>715</v>
      </c>
      <c r="C337" s="0" t="s">
        <v>24</v>
      </c>
      <c r="D337" s="0" t="s">
        <v>42</v>
      </c>
      <c r="E337" s="10" t="n">
        <v>45733.3958333333</v>
      </c>
      <c r="F337" s="10" t="n">
        <v>45734.7284722222</v>
      </c>
      <c r="G337" s="0" t="n">
        <v>382.37</v>
      </c>
      <c r="H337" s="0" t="n">
        <v>392.49</v>
      </c>
      <c r="I337" s="11" t="n">
        <f aca="false">H337-G337</f>
        <v>10.12</v>
      </c>
      <c r="J337" s="5" t="n">
        <f aca="false">IF(G337=0,"",I337/G337)</f>
        <v>0.0264665114941026</v>
      </c>
      <c r="K337" s="0" t="n">
        <v>121.8</v>
      </c>
      <c r="L337" s="0" t="n">
        <v>31.98</v>
      </c>
      <c r="M337" s="11" t="s">
        <v>43</v>
      </c>
      <c r="N337" s="12" t="n">
        <f aca="false">INT(E337)</f>
        <v>45733</v>
      </c>
      <c r="O337" s="12" t="n">
        <f aca="false">IF(F337="","",INT(F337))</f>
        <v>45734</v>
      </c>
    </row>
    <row r="338" customFormat="false" ht="15" hidden="false" customHeight="false" outlineLevel="0" collapsed="false">
      <c r="A338" s="0" t="s">
        <v>716</v>
      </c>
      <c r="B338" s="0" t="s">
        <v>717</v>
      </c>
      <c r="C338" s="0" t="s">
        <v>23</v>
      </c>
      <c r="D338" s="0" t="s">
        <v>42</v>
      </c>
      <c r="E338" s="10" t="n">
        <v>45733.4041666667</v>
      </c>
      <c r="F338" s="10" t="n">
        <v>45733.7965277778</v>
      </c>
      <c r="G338" s="0" t="n">
        <v>836.51</v>
      </c>
      <c r="H338" s="0" t="n">
        <v>877.95</v>
      </c>
      <c r="I338" s="11" t="n">
        <f aca="false">H338-G338</f>
        <v>41.4400000000001</v>
      </c>
      <c r="J338" s="5" t="n">
        <f aca="false">IF(G338=0,"",I338/G338)</f>
        <v>0.049539156734528</v>
      </c>
      <c r="K338" s="0" t="n">
        <v>304.9</v>
      </c>
      <c r="L338" s="0" t="n">
        <v>9.42</v>
      </c>
      <c r="M338" s="11" t="s">
        <v>43</v>
      </c>
      <c r="N338" s="12" t="n">
        <f aca="false">INT(E338)</f>
        <v>45733</v>
      </c>
      <c r="O338" s="12" t="n">
        <f aca="false">IF(F338="","",INT(F338))</f>
        <v>45733</v>
      </c>
    </row>
    <row r="339" customFormat="false" ht="15" hidden="false" customHeight="false" outlineLevel="0" collapsed="false">
      <c r="A339" s="0" t="s">
        <v>718</v>
      </c>
      <c r="B339" s="0" t="s">
        <v>719</v>
      </c>
      <c r="C339" s="0" t="s">
        <v>21</v>
      </c>
      <c r="D339" s="0" t="s">
        <v>42</v>
      </c>
      <c r="E339" s="10" t="n">
        <v>45733.4138888889</v>
      </c>
      <c r="F339" s="10" t="n">
        <v>45733.7785300926</v>
      </c>
      <c r="G339" s="0" t="n">
        <v>430.94</v>
      </c>
      <c r="H339" s="0" t="n">
        <v>426.08</v>
      </c>
      <c r="I339" s="11" t="n">
        <f aca="false">H339-G339</f>
        <v>-4.86000000000001</v>
      </c>
      <c r="J339" s="5" t="n">
        <f aca="false">IF(G339=0,"",I339/G339)</f>
        <v>-0.0112776720657168</v>
      </c>
      <c r="K339" s="0" t="n">
        <v>103.2</v>
      </c>
      <c r="L339" s="0" t="n">
        <v>8.75</v>
      </c>
      <c r="M339" s="11" t="s">
        <v>43</v>
      </c>
      <c r="N339" s="12" t="n">
        <f aca="false">INT(E339)</f>
        <v>45733</v>
      </c>
      <c r="O339" s="12" t="n">
        <f aca="false">IF(F339="","",INT(F339))</f>
        <v>45733</v>
      </c>
    </row>
    <row r="340" customFormat="false" ht="15" hidden="false" customHeight="false" outlineLevel="0" collapsed="false">
      <c r="A340" s="0" t="s">
        <v>720</v>
      </c>
      <c r="B340" s="0" t="s">
        <v>721</v>
      </c>
      <c r="C340" s="0" t="s">
        <v>21</v>
      </c>
      <c r="D340" s="0" t="s">
        <v>42</v>
      </c>
      <c r="E340" s="10" t="n">
        <v>45733.4611111111</v>
      </c>
      <c r="F340" s="10" t="n">
        <v>45735.1777777778</v>
      </c>
      <c r="G340" s="0" t="n">
        <v>2429.35</v>
      </c>
      <c r="H340" s="0" t="n">
        <v>2493.93</v>
      </c>
      <c r="I340" s="11" t="n">
        <f aca="false">H340-G340</f>
        <v>64.5799999999999</v>
      </c>
      <c r="J340" s="5" t="n">
        <f aca="false">IF(G340=0,"",I340/G340)</f>
        <v>0.0265832424311029</v>
      </c>
      <c r="K340" s="0" t="n">
        <v>345.3</v>
      </c>
      <c r="L340" s="0" t="n">
        <v>41.2</v>
      </c>
      <c r="M340" s="11" t="s">
        <v>43</v>
      </c>
      <c r="N340" s="12" t="n">
        <f aca="false">INT(E340)</f>
        <v>45733</v>
      </c>
      <c r="O340" s="12" t="n">
        <f aca="false">IF(F340="","",INT(F340))</f>
        <v>45735</v>
      </c>
    </row>
    <row r="341" customFormat="false" ht="15" hidden="false" customHeight="false" outlineLevel="0" collapsed="false">
      <c r="A341" s="0" t="s">
        <v>722</v>
      </c>
      <c r="B341" s="0" t="s">
        <v>723</v>
      </c>
      <c r="C341" s="0" t="s">
        <v>21</v>
      </c>
      <c r="D341" s="0" t="s">
        <v>42</v>
      </c>
      <c r="E341" s="10" t="n">
        <v>45733.4895833333</v>
      </c>
      <c r="F341" s="10" t="n">
        <v>45734.3277777778</v>
      </c>
      <c r="G341" s="0" t="n">
        <v>199.5</v>
      </c>
      <c r="H341" s="0" t="n">
        <v>206.84</v>
      </c>
      <c r="I341" s="11" t="n">
        <f aca="false">H341-G341</f>
        <v>7.34</v>
      </c>
      <c r="J341" s="5" t="n">
        <f aca="false">IF(G341=0,"",I341/G341)</f>
        <v>0.0367919799498747</v>
      </c>
      <c r="K341" s="0" t="n">
        <v>36.2</v>
      </c>
      <c r="L341" s="0" t="n">
        <v>20.12</v>
      </c>
      <c r="M341" s="11" t="s">
        <v>43</v>
      </c>
      <c r="N341" s="12" t="n">
        <f aca="false">INT(E341)</f>
        <v>45733</v>
      </c>
      <c r="O341" s="12" t="n">
        <f aca="false">IF(F341="","",INT(F341))</f>
        <v>45734</v>
      </c>
    </row>
    <row r="342" customFormat="false" ht="15" hidden="false" customHeight="false" outlineLevel="0" collapsed="false">
      <c r="A342" s="0" t="s">
        <v>724</v>
      </c>
      <c r="B342" s="0" t="s">
        <v>725</v>
      </c>
      <c r="C342" s="0" t="s">
        <v>20</v>
      </c>
      <c r="D342" s="0" t="s">
        <v>42</v>
      </c>
      <c r="E342" s="10" t="n">
        <v>45733.5048611111</v>
      </c>
      <c r="F342" s="10" t="n">
        <v>45733.8236111111</v>
      </c>
      <c r="G342" s="0" t="n">
        <v>361.81</v>
      </c>
      <c r="H342" s="0" t="n">
        <v>362.97</v>
      </c>
      <c r="I342" s="11" t="n">
        <f aca="false">H342-G342</f>
        <v>1.16000000000003</v>
      </c>
      <c r="J342" s="5" t="n">
        <f aca="false">IF(G342=0,"",I342/G342)</f>
        <v>0.00320610265056252</v>
      </c>
      <c r="K342" s="0" t="n">
        <v>79.9</v>
      </c>
      <c r="L342" s="0" t="n">
        <v>7.65</v>
      </c>
      <c r="M342" s="11" t="s">
        <v>43</v>
      </c>
      <c r="N342" s="12" t="n">
        <f aca="false">INT(E342)</f>
        <v>45733</v>
      </c>
      <c r="O342" s="12" t="n">
        <f aca="false">IF(F342="","",INT(F342))</f>
        <v>45733</v>
      </c>
    </row>
    <row r="343" customFormat="false" ht="15" hidden="false" customHeight="false" outlineLevel="0" collapsed="false">
      <c r="A343" s="0" t="s">
        <v>726</v>
      </c>
      <c r="B343" s="0" t="s">
        <v>727</v>
      </c>
      <c r="C343" s="0" t="s">
        <v>21</v>
      </c>
      <c r="D343" s="0" t="s">
        <v>42</v>
      </c>
      <c r="E343" s="10" t="n">
        <v>45733.5298611111</v>
      </c>
      <c r="F343" s="10" t="n">
        <v>45733.9506944444</v>
      </c>
      <c r="G343" s="0" t="n">
        <v>363.63</v>
      </c>
      <c r="H343" s="0" t="n">
        <v>356</v>
      </c>
      <c r="I343" s="11" t="n">
        <f aca="false">H343-G343</f>
        <v>-7.63</v>
      </c>
      <c r="J343" s="5" t="n">
        <f aca="false">IF(G343=0,"",I343/G343)</f>
        <v>-0.020982867200176</v>
      </c>
      <c r="K343" s="0" t="n">
        <v>54</v>
      </c>
      <c r="L343" s="0" t="n">
        <v>10.1</v>
      </c>
      <c r="M343" s="11" t="s">
        <v>43</v>
      </c>
      <c r="N343" s="12" t="n">
        <f aca="false">INT(E343)</f>
        <v>45733</v>
      </c>
      <c r="O343" s="12" t="n">
        <f aca="false">IF(F343="","",INT(F343))</f>
        <v>45733</v>
      </c>
    </row>
    <row r="344" customFormat="false" ht="15" hidden="false" customHeight="false" outlineLevel="0" collapsed="false">
      <c r="A344" s="0" t="s">
        <v>728</v>
      </c>
      <c r="B344" s="0" t="s">
        <v>729</v>
      </c>
      <c r="C344" s="0" t="s">
        <v>19</v>
      </c>
      <c r="D344" s="0" t="s">
        <v>42</v>
      </c>
      <c r="E344" s="10" t="n">
        <v>45733.5381944445</v>
      </c>
      <c r="F344" s="10" t="n">
        <v>45734.2934143519</v>
      </c>
      <c r="G344" s="0" t="n">
        <v>440.96</v>
      </c>
      <c r="H344" s="0" t="n">
        <v>454.34</v>
      </c>
      <c r="I344" s="11" t="n">
        <f aca="false">H344-G344</f>
        <v>13.38</v>
      </c>
      <c r="J344" s="5" t="n">
        <f aca="false">IF(G344=0,"",I344/G344)</f>
        <v>0.0303428882438316</v>
      </c>
      <c r="K344" s="0" t="n">
        <v>84.9</v>
      </c>
      <c r="L344" s="0" t="n">
        <v>18.13</v>
      </c>
      <c r="M344" s="11" t="s">
        <v>43</v>
      </c>
      <c r="N344" s="12" t="n">
        <f aca="false">INT(E344)</f>
        <v>45733</v>
      </c>
      <c r="O344" s="12" t="n">
        <f aca="false">IF(F344="","",INT(F344))</f>
        <v>45734</v>
      </c>
    </row>
    <row r="345" customFormat="false" ht="15" hidden="false" customHeight="false" outlineLevel="0" collapsed="false">
      <c r="A345" s="0" t="s">
        <v>730</v>
      </c>
      <c r="B345" s="0" t="s">
        <v>731</v>
      </c>
      <c r="C345" s="0" t="s">
        <v>19</v>
      </c>
      <c r="D345" s="0" t="s">
        <v>42</v>
      </c>
      <c r="E345" s="10" t="n">
        <v>45733.5423611111</v>
      </c>
      <c r="F345" s="10" t="n">
        <v>45734.7542708333</v>
      </c>
      <c r="G345" s="0" t="n">
        <v>764.45</v>
      </c>
      <c r="H345" s="0" t="n">
        <v>757.85</v>
      </c>
      <c r="I345" s="11" t="n">
        <f aca="false">H345-G345</f>
        <v>-6.60000000000002</v>
      </c>
      <c r="J345" s="5" t="n">
        <f aca="false">IF(G345=0,"",I345/G345)</f>
        <v>-0.00863365818562368</v>
      </c>
      <c r="K345" s="0" t="n">
        <v>136.6</v>
      </c>
      <c r="L345" s="0" t="n">
        <v>29.09</v>
      </c>
      <c r="M345" s="11" t="s">
        <v>43</v>
      </c>
      <c r="N345" s="12" t="n">
        <f aca="false">INT(E345)</f>
        <v>45733</v>
      </c>
      <c r="O345" s="12" t="n">
        <f aca="false">IF(F345="","",INT(F345))</f>
        <v>45734</v>
      </c>
    </row>
    <row r="346" customFormat="false" ht="15" hidden="false" customHeight="false" outlineLevel="0" collapsed="false">
      <c r="A346" s="0" t="s">
        <v>732</v>
      </c>
      <c r="B346" s="0" t="s">
        <v>733</v>
      </c>
      <c r="C346" s="0" t="s">
        <v>20</v>
      </c>
      <c r="D346" s="0" t="s">
        <v>42</v>
      </c>
      <c r="E346" s="10" t="n">
        <v>45733.5458333333</v>
      </c>
      <c r="F346" s="10" t="n">
        <v>45734.4125</v>
      </c>
      <c r="G346" s="0" t="n">
        <v>403.64</v>
      </c>
      <c r="H346" s="0" t="n">
        <v>398.94</v>
      </c>
      <c r="I346" s="11" t="n">
        <f aca="false">H346-G346</f>
        <v>-4.69999999999999</v>
      </c>
      <c r="J346" s="5" t="n">
        <f aca="false">IF(G346=0,"",I346/G346)</f>
        <v>-0.0116440392428897</v>
      </c>
      <c r="K346" s="0" t="n">
        <v>48.9</v>
      </c>
      <c r="L346" s="0" t="n">
        <v>20.8</v>
      </c>
      <c r="M346" s="11" t="s">
        <v>43</v>
      </c>
      <c r="N346" s="12" t="n">
        <f aca="false">INT(E346)</f>
        <v>45733</v>
      </c>
      <c r="O346" s="12" t="n">
        <f aca="false">IF(F346="","",INT(F346))</f>
        <v>45734</v>
      </c>
    </row>
    <row r="347" customFormat="false" ht="15" hidden="false" customHeight="false" outlineLevel="0" collapsed="false">
      <c r="A347" s="0" t="s">
        <v>734</v>
      </c>
      <c r="B347" s="0" t="s">
        <v>735</v>
      </c>
      <c r="C347" s="0" t="s">
        <v>21</v>
      </c>
      <c r="D347" s="0" t="s">
        <v>42</v>
      </c>
      <c r="E347" s="10" t="n">
        <v>45733.5715277778</v>
      </c>
      <c r="F347" s="10" t="n">
        <v>45734.3368055556</v>
      </c>
      <c r="G347" s="0" t="n">
        <v>564.04</v>
      </c>
      <c r="H347" s="0" t="n">
        <v>575.7</v>
      </c>
      <c r="I347" s="11" t="n">
        <f aca="false">H347-G347</f>
        <v>11.6600000000001</v>
      </c>
      <c r="J347" s="5" t="n">
        <f aca="false">IF(G347=0,"",I347/G347)</f>
        <v>0.0206722927451955</v>
      </c>
      <c r="K347" s="0" t="n">
        <v>98.9</v>
      </c>
      <c r="L347" s="0" t="n">
        <v>18.37</v>
      </c>
      <c r="M347" s="11" t="s">
        <v>43</v>
      </c>
      <c r="N347" s="12" t="n">
        <f aca="false">INT(E347)</f>
        <v>45733</v>
      </c>
      <c r="O347" s="12" t="n">
        <f aca="false">IF(F347="","",INT(F347))</f>
        <v>45734</v>
      </c>
    </row>
    <row r="348" customFormat="false" ht="15" hidden="false" customHeight="false" outlineLevel="0" collapsed="false">
      <c r="A348" s="0" t="s">
        <v>736</v>
      </c>
      <c r="B348" s="0" t="s">
        <v>737</v>
      </c>
      <c r="C348" s="0" t="s">
        <v>21</v>
      </c>
      <c r="D348" s="0" t="s">
        <v>42</v>
      </c>
      <c r="E348" s="10" t="n">
        <v>45733.5777777778</v>
      </c>
      <c r="F348" s="10" t="n">
        <v>45734.1265046296</v>
      </c>
      <c r="G348" s="0" t="n">
        <v>219.98</v>
      </c>
      <c r="H348" s="0" t="n">
        <v>218.65</v>
      </c>
      <c r="I348" s="11" t="n">
        <f aca="false">H348-G348</f>
        <v>-1.32999999999998</v>
      </c>
      <c r="J348" s="5" t="n">
        <f aca="false">IF(G348=0,"",I348/G348)</f>
        <v>-0.00604600418219831</v>
      </c>
      <c r="K348" s="0" t="n">
        <v>41.6</v>
      </c>
      <c r="L348" s="0" t="n">
        <v>13.17</v>
      </c>
      <c r="M348" s="11" t="s">
        <v>43</v>
      </c>
      <c r="N348" s="12" t="n">
        <f aca="false">INT(E348)</f>
        <v>45733</v>
      </c>
      <c r="O348" s="12" t="n">
        <f aca="false">IF(F348="","",INT(F348))</f>
        <v>45734</v>
      </c>
    </row>
    <row r="349" customFormat="false" ht="15" hidden="false" customHeight="false" outlineLevel="0" collapsed="false">
      <c r="A349" s="0" t="s">
        <v>738</v>
      </c>
      <c r="B349" s="0" t="s">
        <v>739</v>
      </c>
      <c r="C349" s="0" t="s">
        <v>23</v>
      </c>
      <c r="D349" s="0" t="s">
        <v>42</v>
      </c>
      <c r="E349" s="10" t="n">
        <v>45733.59375</v>
      </c>
      <c r="F349" s="10" t="n">
        <v>45734.5225</v>
      </c>
      <c r="G349" s="0" t="n">
        <v>231.4</v>
      </c>
      <c r="H349" s="0" t="n">
        <v>233.16</v>
      </c>
      <c r="I349" s="11" t="n">
        <f aca="false">H349-G349</f>
        <v>1.75999999999999</v>
      </c>
      <c r="J349" s="5" t="n">
        <f aca="false">IF(G349=0,"",I349/G349)</f>
        <v>0.00760587726879858</v>
      </c>
      <c r="K349" s="0" t="n">
        <v>72.9</v>
      </c>
      <c r="L349" s="0" t="n">
        <v>22.29</v>
      </c>
      <c r="M349" s="11" t="s">
        <v>43</v>
      </c>
      <c r="N349" s="12" t="n">
        <f aca="false">INT(E349)</f>
        <v>45733</v>
      </c>
      <c r="O349" s="12" t="n">
        <f aca="false">IF(F349="","",INT(F349))</f>
        <v>45734</v>
      </c>
    </row>
    <row r="350" customFormat="false" ht="15" hidden="false" customHeight="false" outlineLevel="0" collapsed="false">
      <c r="A350" s="0" t="s">
        <v>740</v>
      </c>
      <c r="B350" s="0" t="s">
        <v>741</v>
      </c>
      <c r="C350" s="0" t="s">
        <v>19</v>
      </c>
      <c r="D350" s="0" t="s">
        <v>42</v>
      </c>
      <c r="E350" s="10" t="n">
        <v>45733.5951388889</v>
      </c>
      <c r="F350" s="10" t="n">
        <v>45734.33125</v>
      </c>
      <c r="G350" s="0" t="n">
        <v>431.52</v>
      </c>
      <c r="H350" s="0" t="n">
        <v>426.37</v>
      </c>
      <c r="I350" s="11" t="n">
        <f aca="false">H350-G350</f>
        <v>-5.14999999999998</v>
      </c>
      <c r="J350" s="5" t="n">
        <f aca="false">IF(G350=0,"",I350/G350)</f>
        <v>-0.0119345569150908</v>
      </c>
      <c r="K350" s="0" t="n">
        <v>49.2</v>
      </c>
      <c r="L350" s="0" t="n">
        <v>17.67</v>
      </c>
      <c r="M350" s="11" t="s">
        <v>43</v>
      </c>
      <c r="N350" s="12" t="n">
        <f aca="false">INT(E350)</f>
        <v>45733</v>
      </c>
      <c r="O350" s="12" t="n">
        <f aca="false">IF(F350="","",INT(F350))</f>
        <v>45734</v>
      </c>
    </row>
    <row r="351" customFormat="false" ht="15" hidden="false" customHeight="false" outlineLevel="0" collapsed="false">
      <c r="A351" s="0" t="s">
        <v>742</v>
      </c>
      <c r="B351" s="0" t="s">
        <v>743</v>
      </c>
      <c r="C351" s="0" t="s">
        <v>21</v>
      </c>
      <c r="D351" s="0" t="s">
        <v>42</v>
      </c>
      <c r="E351" s="10" t="n">
        <v>45733.6111111111</v>
      </c>
      <c r="F351" s="10" t="n">
        <v>45734.0770833333</v>
      </c>
      <c r="G351" s="0" t="n">
        <v>471.98</v>
      </c>
      <c r="H351" s="0" t="n">
        <v>469.57</v>
      </c>
      <c r="I351" s="11" t="n">
        <f aca="false">H351-G351</f>
        <v>-2.41000000000003</v>
      </c>
      <c r="J351" s="5" t="n">
        <f aca="false">IF(G351=0,"",I351/G351)</f>
        <v>-0.00510614856561724</v>
      </c>
      <c r="K351" s="0" t="n">
        <v>58.8</v>
      </c>
      <c r="L351" s="0" t="n">
        <v>11.18</v>
      </c>
      <c r="M351" s="11" t="s">
        <v>43</v>
      </c>
      <c r="N351" s="12" t="n">
        <f aca="false">INT(E351)</f>
        <v>45733</v>
      </c>
      <c r="O351" s="12" t="n">
        <f aca="false">IF(F351="","",INT(F351))</f>
        <v>45734</v>
      </c>
    </row>
    <row r="352" customFormat="false" ht="15" hidden="false" customHeight="false" outlineLevel="0" collapsed="false">
      <c r="A352" s="0" t="s">
        <v>744</v>
      </c>
      <c r="B352" s="0" t="s">
        <v>745</v>
      </c>
      <c r="C352" s="0" t="s">
        <v>21</v>
      </c>
      <c r="D352" s="0" t="s">
        <v>42</v>
      </c>
      <c r="E352" s="10" t="n">
        <v>45733.6125</v>
      </c>
      <c r="F352" s="10" t="n">
        <v>45734.9343402778</v>
      </c>
      <c r="G352" s="0" t="n">
        <v>761.19</v>
      </c>
      <c r="H352" s="0" t="n">
        <v>768.87</v>
      </c>
      <c r="I352" s="11" t="n">
        <f aca="false">H352-G352</f>
        <v>7.67999999999995</v>
      </c>
      <c r="J352" s="5" t="n">
        <f aca="false">IF(G352=0,"",I352/G352)</f>
        <v>0.0100894651795215</v>
      </c>
      <c r="K352" s="0" t="n">
        <v>156.6</v>
      </c>
      <c r="L352" s="0" t="n">
        <v>31.72</v>
      </c>
      <c r="M352" s="11" t="s">
        <v>43</v>
      </c>
      <c r="N352" s="12" t="n">
        <f aca="false">INT(E352)</f>
        <v>45733</v>
      </c>
      <c r="O352" s="12" t="n">
        <f aca="false">IF(F352="","",INT(F352))</f>
        <v>45734</v>
      </c>
    </row>
    <row r="353" customFormat="false" ht="15" hidden="false" customHeight="false" outlineLevel="0" collapsed="false">
      <c r="A353" s="0" t="s">
        <v>746</v>
      </c>
      <c r="B353" s="0" t="s">
        <v>747</v>
      </c>
      <c r="C353" s="0" t="s">
        <v>21</v>
      </c>
      <c r="D353" s="0" t="s">
        <v>42</v>
      </c>
      <c r="E353" s="10" t="n">
        <v>45733.6388888889</v>
      </c>
      <c r="F353" s="10" t="n">
        <v>45734.7895833333</v>
      </c>
      <c r="G353" s="0" t="n">
        <v>639.89</v>
      </c>
      <c r="H353" s="0" t="n">
        <v>645.99</v>
      </c>
      <c r="I353" s="11" t="n">
        <f aca="false">H353-G353</f>
        <v>6.10000000000002</v>
      </c>
      <c r="J353" s="5" t="n">
        <f aca="false">IF(G353=0,"",I353/G353)</f>
        <v>0.00953288846520499</v>
      </c>
      <c r="K353" s="0" t="n">
        <v>133.8</v>
      </c>
      <c r="L353" s="0" t="n">
        <v>27.62</v>
      </c>
      <c r="M353" s="11" t="s">
        <v>43</v>
      </c>
      <c r="N353" s="12" t="n">
        <f aca="false">INT(E353)</f>
        <v>45733</v>
      </c>
      <c r="O353" s="12" t="n">
        <f aca="false">IF(F353="","",INT(F353))</f>
        <v>45734</v>
      </c>
    </row>
    <row r="354" customFormat="false" ht="15" hidden="false" customHeight="false" outlineLevel="0" collapsed="false">
      <c r="A354" s="0" t="s">
        <v>748</v>
      </c>
      <c r="B354" s="0" t="s">
        <v>749</v>
      </c>
      <c r="C354" s="0" t="s">
        <v>23</v>
      </c>
      <c r="D354" s="0" t="s">
        <v>42</v>
      </c>
      <c r="E354" s="10" t="n">
        <v>45733.6472222222</v>
      </c>
      <c r="F354" s="10" t="n">
        <v>45735.019837963</v>
      </c>
      <c r="G354" s="0" t="n">
        <v>762.57</v>
      </c>
      <c r="H354" s="0" t="n">
        <v>743.47</v>
      </c>
      <c r="I354" s="11" t="n">
        <f aca="false">H354-G354</f>
        <v>-19.1</v>
      </c>
      <c r="J354" s="5" t="n">
        <f aca="false">IF(G354=0,"",I354/G354)</f>
        <v>-0.0250468809420775</v>
      </c>
      <c r="K354" s="0" t="n">
        <v>281.8</v>
      </c>
      <c r="L354" s="0" t="n">
        <v>32.94</v>
      </c>
      <c r="M354" s="11" t="s">
        <v>43</v>
      </c>
      <c r="N354" s="12" t="n">
        <f aca="false">INT(E354)</f>
        <v>45733</v>
      </c>
      <c r="O354" s="12" t="n">
        <f aca="false">IF(F354="","",INT(F354))</f>
        <v>45735</v>
      </c>
    </row>
    <row r="355" customFormat="false" ht="15" hidden="false" customHeight="false" outlineLevel="0" collapsed="false">
      <c r="A355" s="0" t="s">
        <v>750</v>
      </c>
      <c r="B355" s="0" t="s">
        <v>751</v>
      </c>
      <c r="C355" s="0" t="s">
        <v>24</v>
      </c>
      <c r="D355" s="0" t="s">
        <v>42</v>
      </c>
      <c r="E355" s="10" t="n">
        <v>45733.6652777778</v>
      </c>
      <c r="F355" s="10" t="n">
        <v>45734.26875</v>
      </c>
      <c r="G355" s="0" t="n">
        <v>1118.71</v>
      </c>
      <c r="H355" s="0" t="n">
        <v>1140.02</v>
      </c>
      <c r="I355" s="11" t="n">
        <f aca="false">H355-G355</f>
        <v>21.3099999999999</v>
      </c>
      <c r="J355" s="5" t="n">
        <f aca="false">IF(G355=0,"",I355/G355)</f>
        <v>0.0190487257644966</v>
      </c>
      <c r="K355" s="0" t="n">
        <v>415.6</v>
      </c>
      <c r="L355" s="0" t="n">
        <v>14.48</v>
      </c>
      <c r="M355" s="11" t="s">
        <v>43</v>
      </c>
      <c r="N355" s="12" t="n">
        <f aca="false">INT(E355)</f>
        <v>45733</v>
      </c>
      <c r="O355" s="12" t="n">
        <f aca="false">IF(F355="","",INT(F355))</f>
        <v>45734</v>
      </c>
    </row>
    <row r="356" customFormat="false" ht="15" hidden="false" customHeight="false" outlineLevel="0" collapsed="false">
      <c r="A356" s="0" t="s">
        <v>752</v>
      </c>
      <c r="B356" s="0" t="s">
        <v>753</v>
      </c>
      <c r="C356" s="0" t="s">
        <v>21</v>
      </c>
      <c r="D356" s="0" t="s">
        <v>42</v>
      </c>
      <c r="E356" s="10" t="n">
        <v>45733.7430555556</v>
      </c>
      <c r="F356" s="10" t="n">
        <v>45734.2076388889</v>
      </c>
      <c r="G356" s="0" t="n">
        <v>457.22</v>
      </c>
      <c r="H356" s="0" t="n">
        <v>456.59</v>
      </c>
      <c r="I356" s="11" t="n">
        <f aca="false">H356-G356</f>
        <v>-0.630000000000052</v>
      </c>
      <c r="J356" s="5" t="n">
        <f aca="false">IF(G356=0,"",I356/G356)</f>
        <v>-0.00137789248064401</v>
      </c>
      <c r="K356" s="0" t="n">
        <v>69.9</v>
      </c>
      <c r="L356" s="0" t="n">
        <v>11.15</v>
      </c>
      <c r="M356" s="11" t="s">
        <v>43</v>
      </c>
      <c r="N356" s="12" t="n">
        <f aca="false">INT(E356)</f>
        <v>45733</v>
      </c>
      <c r="O356" s="12" t="n">
        <f aca="false">IF(F356="","",INT(F356))</f>
        <v>45734</v>
      </c>
    </row>
    <row r="357" customFormat="false" ht="15" hidden="false" customHeight="false" outlineLevel="0" collapsed="false">
      <c r="A357" s="0" t="s">
        <v>754</v>
      </c>
      <c r="B357" s="0" t="s">
        <v>755</v>
      </c>
      <c r="C357" s="0" t="s">
        <v>22</v>
      </c>
      <c r="D357" s="0" t="s">
        <v>42</v>
      </c>
      <c r="E357" s="10" t="n">
        <v>45733.7472222222</v>
      </c>
      <c r="F357" s="10" t="n">
        <v>45734.3361111111</v>
      </c>
      <c r="G357" s="0" t="n">
        <v>2248.55</v>
      </c>
      <c r="H357" s="0" t="n">
        <v>2308.02</v>
      </c>
      <c r="I357" s="11" t="n">
        <f aca="false">H357-G357</f>
        <v>59.4699999999998</v>
      </c>
      <c r="J357" s="5" t="n">
        <f aca="false">IF(G357=0,"",I357/G357)</f>
        <v>0.0264481554779746</v>
      </c>
      <c r="K357" s="0" t="n">
        <v>368.3</v>
      </c>
      <c r="L357" s="0" t="n">
        <v>14.13</v>
      </c>
      <c r="M357" s="11" t="s">
        <v>43</v>
      </c>
      <c r="N357" s="12" t="n">
        <f aca="false">INT(E357)</f>
        <v>45733</v>
      </c>
      <c r="O357" s="12" t="n">
        <f aca="false">IF(F357="","",INT(F357))</f>
        <v>45734</v>
      </c>
    </row>
    <row r="358" customFormat="false" ht="15" hidden="false" customHeight="false" outlineLevel="0" collapsed="false">
      <c r="A358" s="0" t="s">
        <v>756</v>
      </c>
      <c r="B358" s="0" t="s">
        <v>757</v>
      </c>
      <c r="C358" s="0" t="s">
        <v>21</v>
      </c>
      <c r="D358" s="0" t="s">
        <v>42</v>
      </c>
      <c r="E358" s="10" t="n">
        <v>45733.7555555556</v>
      </c>
      <c r="F358" s="10" t="n">
        <v>45735.9611111111</v>
      </c>
      <c r="G358" s="0" t="n">
        <v>120.17</v>
      </c>
      <c r="H358" s="0" t="n">
        <v>121.7</v>
      </c>
      <c r="I358" s="11" t="n">
        <f aca="false">H358-G358</f>
        <v>1.53</v>
      </c>
      <c r="J358" s="5" t="n">
        <f aca="false">IF(G358=0,"",I358/G358)</f>
        <v>0.0127319630523425</v>
      </c>
      <c r="K358" s="0" t="n">
        <v>21.5</v>
      </c>
      <c r="L358" s="0" t="n">
        <v>52.93</v>
      </c>
      <c r="M358" s="11" t="s">
        <v>43</v>
      </c>
      <c r="N358" s="12" t="n">
        <f aca="false">INT(E358)</f>
        <v>45733</v>
      </c>
      <c r="O358" s="12" t="n">
        <f aca="false">IF(F358="","",INT(F358))</f>
        <v>45735</v>
      </c>
    </row>
    <row r="359" customFormat="false" ht="15" hidden="false" customHeight="false" outlineLevel="0" collapsed="false">
      <c r="A359" s="0" t="s">
        <v>758</v>
      </c>
      <c r="B359" s="0" t="s">
        <v>759</v>
      </c>
      <c r="C359" s="0" t="s">
        <v>21</v>
      </c>
      <c r="D359" s="0" t="s">
        <v>42</v>
      </c>
      <c r="E359" s="10" t="n">
        <v>45733.7583333333</v>
      </c>
      <c r="F359" s="10" t="n">
        <v>45734.1319444445</v>
      </c>
      <c r="G359" s="0" t="n">
        <v>358.18</v>
      </c>
      <c r="H359" s="0" t="n">
        <v>349.2</v>
      </c>
      <c r="I359" s="11" t="n">
        <f aca="false">H359-G359</f>
        <v>-8.98000000000002</v>
      </c>
      <c r="J359" s="5" t="n">
        <f aca="false">IF(G359=0,"",I359/G359)</f>
        <v>-0.0250711932547881</v>
      </c>
      <c r="K359" s="0" t="n">
        <v>95.2</v>
      </c>
      <c r="L359" s="0" t="n">
        <v>8.97</v>
      </c>
      <c r="M359" s="11" t="s">
        <v>43</v>
      </c>
      <c r="N359" s="12" t="n">
        <f aca="false">INT(E359)</f>
        <v>45733</v>
      </c>
      <c r="O359" s="12" t="n">
        <f aca="false">IF(F359="","",INT(F359))</f>
        <v>45734</v>
      </c>
    </row>
    <row r="360" customFormat="false" ht="15" hidden="false" customHeight="false" outlineLevel="0" collapsed="false">
      <c r="A360" s="0" t="s">
        <v>760</v>
      </c>
      <c r="B360" s="0" t="s">
        <v>761</v>
      </c>
      <c r="C360" s="0" t="s">
        <v>21</v>
      </c>
      <c r="D360" s="0" t="s">
        <v>42</v>
      </c>
      <c r="E360" s="10" t="n">
        <v>45733.7708333333</v>
      </c>
      <c r="F360" s="10" t="n">
        <v>45734.1909722222</v>
      </c>
      <c r="G360" s="0" t="n">
        <v>1281</v>
      </c>
      <c r="H360" s="0" t="n">
        <v>1277.07</v>
      </c>
      <c r="I360" s="11" t="n">
        <f aca="false">H360-G360</f>
        <v>-3.93000000000006</v>
      </c>
      <c r="J360" s="5" t="n">
        <f aca="false">IF(G360=0,"",I360/G360)</f>
        <v>-0.00306791569086656</v>
      </c>
      <c r="K360" s="0" t="n">
        <v>237.7</v>
      </c>
      <c r="L360" s="0" t="n">
        <v>10.08</v>
      </c>
      <c r="M360" s="11" t="s">
        <v>43</v>
      </c>
      <c r="N360" s="12" t="n">
        <f aca="false">INT(E360)</f>
        <v>45733</v>
      </c>
      <c r="O360" s="12" t="n">
        <f aca="false">IF(F360="","",INT(F360))</f>
        <v>45734</v>
      </c>
    </row>
    <row r="361" customFormat="false" ht="15" hidden="false" customHeight="false" outlineLevel="0" collapsed="false">
      <c r="A361" s="0" t="s">
        <v>762</v>
      </c>
      <c r="B361" s="0" t="s">
        <v>763</v>
      </c>
      <c r="C361" s="0" t="s">
        <v>21</v>
      </c>
      <c r="D361" s="0" t="s">
        <v>42</v>
      </c>
      <c r="E361" s="10" t="n">
        <v>45734.2993055556</v>
      </c>
      <c r="F361" s="10" t="n">
        <v>45735.0534722222</v>
      </c>
      <c r="G361" s="0" t="n">
        <v>1209.53</v>
      </c>
      <c r="H361" s="0" t="n">
        <v>1227.35</v>
      </c>
      <c r="I361" s="11" t="n">
        <f aca="false">H361-G361</f>
        <v>17.8199999999999</v>
      </c>
      <c r="J361" s="5" t="n">
        <f aca="false">IF(G361=0,"",I361/G361)</f>
        <v>0.0147329954610468</v>
      </c>
      <c r="K361" s="0" t="n">
        <v>216.8</v>
      </c>
      <c r="L361" s="0" t="n">
        <v>18.1</v>
      </c>
      <c r="M361" s="11" t="s">
        <v>43</v>
      </c>
      <c r="N361" s="12" t="n">
        <f aca="false">INT(E361)</f>
        <v>45734</v>
      </c>
      <c r="O361" s="12" t="n">
        <f aca="false">IF(F361="","",INT(F361))</f>
        <v>45735</v>
      </c>
    </row>
    <row r="362" customFormat="false" ht="15" hidden="false" customHeight="false" outlineLevel="0" collapsed="false">
      <c r="A362" s="0" t="s">
        <v>764</v>
      </c>
      <c r="B362" s="0" t="s">
        <v>765</v>
      </c>
      <c r="C362" s="0" t="s">
        <v>20</v>
      </c>
      <c r="D362" s="0" t="s">
        <v>42</v>
      </c>
      <c r="E362" s="10" t="n">
        <v>45734.3006944444</v>
      </c>
      <c r="F362" s="10" t="n">
        <v>45734.5965277778</v>
      </c>
      <c r="G362" s="0" t="n">
        <v>744.62</v>
      </c>
      <c r="H362" s="0" t="n">
        <v>748.37</v>
      </c>
      <c r="I362" s="11" t="n">
        <f aca="false">H362-G362</f>
        <v>3.75</v>
      </c>
      <c r="J362" s="5" t="n">
        <f aca="false">IF(G362=0,"",I362/G362)</f>
        <v>0.00503612580913755</v>
      </c>
      <c r="K362" s="0" t="n">
        <v>98.1</v>
      </c>
      <c r="L362" s="0" t="n">
        <v>7.1</v>
      </c>
      <c r="M362" s="11" t="s">
        <v>43</v>
      </c>
      <c r="N362" s="12" t="n">
        <f aca="false">INT(E362)</f>
        <v>45734</v>
      </c>
      <c r="O362" s="12" t="n">
        <f aca="false">IF(F362="","",INT(F362))</f>
        <v>45734</v>
      </c>
    </row>
    <row r="363" customFormat="false" ht="15" hidden="false" customHeight="false" outlineLevel="0" collapsed="false">
      <c r="A363" s="0" t="s">
        <v>766</v>
      </c>
      <c r="B363" s="0" t="s">
        <v>767</v>
      </c>
      <c r="C363" s="0" t="s">
        <v>21</v>
      </c>
      <c r="D363" s="0" t="s">
        <v>42</v>
      </c>
      <c r="E363" s="10" t="n">
        <v>45734.3006944444</v>
      </c>
      <c r="F363" s="10" t="n">
        <v>45734.9231597222</v>
      </c>
      <c r="G363" s="0" t="n">
        <v>1079.64</v>
      </c>
      <c r="H363" s="0" t="n">
        <v>1059.51</v>
      </c>
      <c r="I363" s="11" t="n">
        <f aca="false">H363-G363</f>
        <v>-20.1300000000001</v>
      </c>
      <c r="J363" s="5" t="n">
        <f aca="false">IF(G363=0,"",I363/G363)</f>
        <v>-0.0186451039235302</v>
      </c>
      <c r="K363" s="0" t="n">
        <v>158</v>
      </c>
      <c r="L363" s="0" t="n">
        <v>14.94</v>
      </c>
      <c r="M363" s="11" t="s">
        <v>43</v>
      </c>
      <c r="N363" s="12" t="n">
        <f aca="false">INT(E363)</f>
        <v>45734</v>
      </c>
      <c r="O363" s="12" t="n">
        <f aca="false">IF(F363="","",INT(F363))</f>
        <v>45734</v>
      </c>
    </row>
    <row r="364" customFormat="false" ht="15" hidden="false" customHeight="false" outlineLevel="0" collapsed="false">
      <c r="A364" s="0" t="s">
        <v>768</v>
      </c>
      <c r="B364" s="0" t="s">
        <v>769</v>
      </c>
      <c r="C364" s="0" t="s">
        <v>23</v>
      </c>
      <c r="D364" s="0" t="s">
        <v>42</v>
      </c>
      <c r="E364" s="10" t="n">
        <v>45734.3083333333</v>
      </c>
      <c r="F364" s="10" t="n">
        <v>45736.46875</v>
      </c>
      <c r="G364" s="0" t="n">
        <v>327.5</v>
      </c>
      <c r="H364" s="0" t="n">
        <v>330.78</v>
      </c>
      <c r="I364" s="11" t="n">
        <f aca="false">H364-G364</f>
        <v>3.27999999999997</v>
      </c>
      <c r="J364" s="5" t="n">
        <f aca="false">IF(G364=0,"",I364/G364)</f>
        <v>0.0100152671755724</v>
      </c>
      <c r="K364" s="0" t="n">
        <v>79</v>
      </c>
      <c r="L364" s="0" t="n">
        <v>51.85</v>
      </c>
      <c r="M364" s="11" t="s">
        <v>43</v>
      </c>
      <c r="N364" s="12" t="n">
        <f aca="false">INT(E364)</f>
        <v>45734</v>
      </c>
      <c r="O364" s="12" t="n">
        <f aca="false">IF(F364="","",INT(F364))</f>
        <v>45736</v>
      </c>
    </row>
    <row r="365" customFormat="false" ht="15" hidden="false" customHeight="false" outlineLevel="0" collapsed="false">
      <c r="A365" s="0" t="s">
        <v>770</v>
      </c>
      <c r="B365" s="0" t="s">
        <v>771</v>
      </c>
      <c r="C365" s="0" t="s">
        <v>23</v>
      </c>
      <c r="D365" s="0" t="s">
        <v>42</v>
      </c>
      <c r="E365" s="10" t="n">
        <v>45734.3236111111</v>
      </c>
      <c r="F365" s="10" t="n">
        <v>45735.3395833333</v>
      </c>
      <c r="G365" s="0" t="n">
        <v>691.97</v>
      </c>
      <c r="H365" s="0" t="n">
        <v>638.72</v>
      </c>
      <c r="I365" s="11" t="n">
        <f aca="false">H365-G365</f>
        <v>-53.25</v>
      </c>
      <c r="J365" s="5" t="n">
        <f aca="false">IF(G365=0,"",I365/G365)</f>
        <v>-0.0769542032169025</v>
      </c>
      <c r="K365" s="0" t="n">
        <v>302.9</v>
      </c>
      <c r="L365" s="0" t="n">
        <v>24.38</v>
      </c>
      <c r="M365" s="11" t="s">
        <v>43</v>
      </c>
      <c r="N365" s="12" t="n">
        <f aca="false">INT(E365)</f>
        <v>45734</v>
      </c>
      <c r="O365" s="12" t="n">
        <f aca="false">IF(F365="","",INT(F365))</f>
        <v>45735</v>
      </c>
    </row>
    <row r="366" customFormat="false" ht="15" hidden="false" customHeight="false" outlineLevel="0" collapsed="false">
      <c r="A366" s="0" t="s">
        <v>772</v>
      </c>
      <c r="B366" s="0" t="s">
        <v>773</v>
      </c>
      <c r="C366" s="0" t="s">
        <v>23</v>
      </c>
      <c r="D366" s="0" t="s">
        <v>42</v>
      </c>
      <c r="E366" s="10" t="n">
        <v>45734.3284722222</v>
      </c>
      <c r="F366" s="10" t="n">
        <v>45736.9177314815</v>
      </c>
      <c r="G366" s="0" t="n">
        <v>374.54</v>
      </c>
      <c r="H366" s="0" t="n">
        <v>376.34</v>
      </c>
      <c r="I366" s="11" t="n">
        <f aca="false">H366-G366</f>
        <v>1.79999999999995</v>
      </c>
      <c r="J366" s="5" t="n">
        <f aca="false">IF(G366=0,"",I366/G366)</f>
        <v>0.00480589523148383</v>
      </c>
      <c r="K366" s="0" t="n">
        <v>137.9</v>
      </c>
      <c r="L366" s="0" t="n">
        <v>62.14</v>
      </c>
      <c r="M366" s="11" t="s">
        <v>43</v>
      </c>
      <c r="N366" s="12" t="n">
        <f aca="false">INT(E366)</f>
        <v>45734</v>
      </c>
      <c r="O366" s="12" t="n">
        <f aca="false">IF(F366="","",INT(F366))</f>
        <v>45736</v>
      </c>
    </row>
    <row r="367" customFormat="false" ht="15" hidden="false" customHeight="false" outlineLevel="0" collapsed="false">
      <c r="A367" s="0" t="s">
        <v>774</v>
      </c>
      <c r="B367" s="0" t="s">
        <v>775</v>
      </c>
      <c r="C367" s="0" t="s">
        <v>22</v>
      </c>
      <c r="D367" s="0" t="s">
        <v>42</v>
      </c>
      <c r="E367" s="10" t="n">
        <v>45734.3659722222</v>
      </c>
      <c r="F367" s="10" t="n">
        <v>45734.6773148148</v>
      </c>
      <c r="G367" s="0" t="n">
        <v>365.28</v>
      </c>
      <c r="H367" s="0" t="n">
        <v>366.07</v>
      </c>
      <c r="I367" s="11" t="n">
        <f aca="false">H367-G367</f>
        <v>0.790000000000021</v>
      </c>
      <c r="J367" s="5" t="n">
        <f aca="false">IF(G367=0,"",I367/G367)</f>
        <v>0.00216272448532638</v>
      </c>
      <c r="K367" s="0" t="n">
        <v>43.4</v>
      </c>
      <c r="L367" s="0" t="n">
        <v>7.47</v>
      </c>
      <c r="M367" s="11" t="s">
        <v>43</v>
      </c>
      <c r="N367" s="12" t="n">
        <f aca="false">INT(E367)</f>
        <v>45734</v>
      </c>
      <c r="O367" s="12" t="n">
        <f aca="false">IF(F367="","",INT(F367))</f>
        <v>45734</v>
      </c>
    </row>
    <row r="368" customFormat="false" ht="15" hidden="false" customHeight="false" outlineLevel="0" collapsed="false">
      <c r="A368" s="0" t="s">
        <v>776</v>
      </c>
      <c r="B368" s="0" t="s">
        <v>777</v>
      </c>
      <c r="C368" s="0" t="s">
        <v>20</v>
      </c>
      <c r="D368" s="0" t="s">
        <v>42</v>
      </c>
      <c r="E368" s="10" t="n">
        <v>45734.3722222222</v>
      </c>
      <c r="F368" s="10" t="n">
        <v>45735.2286226852</v>
      </c>
      <c r="G368" s="0" t="n">
        <v>224.08</v>
      </c>
      <c r="H368" s="0" t="n">
        <v>218.81</v>
      </c>
      <c r="I368" s="11" t="n">
        <f aca="false">H368-G368</f>
        <v>-5.27000000000001</v>
      </c>
      <c r="J368" s="5" t="n">
        <f aca="false">IF(G368=0,"",I368/G368)</f>
        <v>-0.0235183862906105</v>
      </c>
      <c r="K368" s="0" t="n">
        <v>43.3</v>
      </c>
      <c r="L368" s="0" t="n">
        <v>20.55</v>
      </c>
      <c r="M368" s="11" t="s">
        <v>43</v>
      </c>
      <c r="N368" s="12" t="n">
        <f aca="false">INT(E368)</f>
        <v>45734</v>
      </c>
      <c r="O368" s="12" t="n">
        <f aca="false">IF(F368="","",INT(F368))</f>
        <v>45735</v>
      </c>
    </row>
    <row r="369" customFormat="false" ht="15" hidden="false" customHeight="false" outlineLevel="0" collapsed="false">
      <c r="A369" s="0" t="s">
        <v>778</v>
      </c>
      <c r="B369" s="0" t="s">
        <v>779</v>
      </c>
      <c r="C369" s="0" t="s">
        <v>20</v>
      </c>
      <c r="D369" s="0" t="s">
        <v>42</v>
      </c>
      <c r="E369" s="10" t="n">
        <v>45734.43125</v>
      </c>
      <c r="F369" s="10" t="n">
        <v>45735.6652777778</v>
      </c>
      <c r="G369" s="0" t="n">
        <v>932.42</v>
      </c>
      <c r="H369" s="0" t="n">
        <v>943.92</v>
      </c>
      <c r="I369" s="11" t="n">
        <f aca="false">H369-G369</f>
        <v>11.5</v>
      </c>
      <c r="J369" s="5" t="n">
        <f aca="false">IF(G369=0,"",I369/G369)</f>
        <v>0.0123334977799704</v>
      </c>
      <c r="K369" s="0" t="n">
        <v>185.1</v>
      </c>
      <c r="L369" s="0" t="n">
        <v>29.62</v>
      </c>
      <c r="M369" s="11" t="s">
        <v>43</v>
      </c>
      <c r="N369" s="12" t="n">
        <f aca="false">INT(E369)</f>
        <v>45734</v>
      </c>
      <c r="O369" s="12" t="n">
        <f aca="false">IF(F369="","",INT(F369))</f>
        <v>45735</v>
      </c>
    </row>
    <row r="370" customFormat="false" ht="15" hidden="false" customHeight="false" outlineLevel="0" collapsed="false">
      <c r="A370" s="0" t="s">
        <v>780</v>
      </c>
      <c r="B370" s="0" t="s">
        <v>781</v>
      </c>
      <c r="C370" s="0" t="s">
        <v>20</v>
      </c>
      <c r="D370" s="0" t="s">
        <v>42</v>
      </c>
      <c r="E370" s="10" t="n">
        <v>45734.4368055556</v>
      </c>
      <c r="F370" s="10" t="n">
        <v>45734.9784722222</v>
      </c>
      <c r="G370" s="0" t="n">
        <v>413.64</v>
      </c>
      <c r="H370" s="0" t="n">
        <v>422.41</v>
      </c>
      <c r="I370" s="11" t="n">
        <f aca="false">H370-G370</f>
        <v>8.77000000000004</v>
      </c>
      <c r="J370" s="5" t="n">
        <f aca="false">IF(G370=0,"",I370/G370)</f>
        <v>0.0212020114108888</v>
      </c>
      <c r="K370" s="0" t="n">
        <v>61.1</v>
      </c>
      <c r="L370" s="0" t="n">
        <v>13</v>
      </c>
      <c r="M370" s="11" t="s">
        <v>43</v>
      </c>
      <c r="N370" s="12" t="n">
        <f aca="false">INT(E370)</f>
        <v>45734</v>
      </c>
      <c r="O370" s="12" t="n">
        <f aca="false">IF(F370="","",INT(F370))</f>
        <v>45734</v>
      </c>
    </row>
    <row r="371" customFormat="false" ht="15" hidden="false" customHeight="false" outlineLevel="0" collapsed="false">
      <c r="A371" s="0" t="s">
        <v>782</v>
      </c>
      <c r="B371" s="0" t="s">
        <v>783</v>
      </c>
      <c r="C371" s="0" t="s">
        <v>21</v>
      </c>
      <c r="D371" s="0" t="s">
        <v>48</v>
      </c>
      <c r="E371" s="10" t="n">
        <v>45734.4541666667</v>
      </c>
      <c r="F371" s="10"/>
      <c r="G371" s="0" t="n">
        <v>927.29</v>
      </c>
      <c r="H371" s="0" t="n">
        <v>922.44</v>
      </c>
      <c r="I371" s="11" t="n">
        <f aca="false">H371-G371</f>
        <v>-4.84999999999991</v>
      </c>
      <c r="J371" s="5" t="n">
        <f aca="false">IF(G371=0,"",I371/G371)</f>
        <v>-0.00523029472980396</v>
      </c>
      <c r="K371" s="0" t="n">
        <v>172.1</v>
      </c>
      <c r="M371" s="11" t="s">
        <v>43</v>
      </c>
      <c r="N371" s="12" t="n">
        <f aca="false">INT(E371)</f>
        <v>45734</v>
      </c>
      <c r="O371" s="12" t="str">
        <f aca="false">IF(F371="","",INT(F371))</f>
        <v/>
      </c>
    </row>
    <row r="372" customFormat="false" ht="15" hidden="false" customHeight="false" outlineLevel="0" collapsed="false">
      <c r="A372" s="0" t="s">
        <v>784</v>
      </c>
      <c r="B372" s="0" t="s">
        <v>785</v>
      </c>
      <c r="C372" s="0" t="s">
        <v>19</v>
      </c>
      <c r="D372" s="0" t="s">
        <v>42</v>
      </c>
      <c r="E372" s="10" t="n">
        <v>45734.46875</v>
      </c>
      <c r="F372" s="10" t="n">
        <v>45735.2550462963</v>
      </c>
      <c r="G372" s="0" t="n">
        <v>798.43</v>
      </c>
      <c r="H372" s="0" t="n">
        <v>808.47</v>
      </c>
      <c r="I372" s="11" t="n">
        <f aca="false">H372-G372</f>
        <v>10.0400000000001</v>
      </c>
      <c r="J372" s="5" t="n">
        <f aca="false">IF(G372=0,"",I372/G372)</f>
        <v>0.0125746778051928</v>
      </c>
      <c r="K372" s="0" t="n">
        <v>138.5</v>
      </c>
      <c r="L372" s="0" t="n">
        <v>18.87</v>
      </c>
      <c r="M372" s="11" t="s">
        <v>43</v>
      </c>
      <c r="N372" s="12" t="n">
        <f aca="false">INT(E372)</f>
        <v>45734</v>
      </c>
      <c r="O372" s="12" t="n">
        <f aca="false">IF(F372="","",INT(F372))</f>
        <v>45735</v>
      </c>
    </row>
    <row r="373" customFormat="false" ht="15" hidden="false" customHeight="false" outlineLevel="0" collapsed="false">
      <c r="A373" s="0" t="s">
        <v>786</v>
      </c>
      <c r="B373" s="0" t="s">
        <v>787</v>
      </c>
      <c r="C373" s="0" t="s">
        <v>23</v>
      </c>
      <c r="D373" s="0" t="s">
        <v>42</v>
      </c>
      <c r="E373" s="10" t="n">
        <v>45734.4694444445</v>
      </c>
      <c r="F373" s="10" t="n">
        <v>45735.4013888889</v>
      </c>
      <c r="G373" s="0" t="n">
        <v>427.73</v>
      </c>
      <c r="H373" s="0" t="n">
        <v>435.11</v>
      </c>
      <c r="I373" s="11" t="n">
        <f aca="false">H373-G373</f>
        <v>7.38</v>
      </c>
      <c r="J373" s="5" t="n">
        <f aca="false">IF(G373=0,"",I373/G373)</f>
        <v>0.017253875108129</v>
      </c>
      <c r="K373" s="0" t="n">
        <v>171.8</v>
      </c>
      <c r="L373" s="0" t="n">
        <v>22.37</v>
      </c>
      <c r="M373" s="11" t="s">
        <v>43</v>
      </c>
      <c r="N373" s="12" t="n">
        <f aca="false">INT(E373)</f>
        <v>45734</v>
      </c>
      <c r="O373" s="12" t="n">
        <f aca="false">IF(F373="","",INT(F373))</f>
        <v>45735</v>
      </c>
    </row>
    <row r="374" customFormat="false" ht="15" hidden="false" customHeight="false" outlineLevel="0" collapsed="false">
      <c r="A374" s="0" t="s">
        <v>788</v>
      </c>
      <c r="B374" s="0" t="s">
        <v>789</v>
      </c>
      <c r="C374" s="0" t="s">
        <v>24</v>
      </c>
      <c r="D374" s="0" t="s">
        <v>48</v>
      </c>
      <c r="E374" s="10" t="n">
        <v>45734.4965277778</v>
      </c>
      <c r="F374" s="10"/>
      <c r="G374" s="0" t="n">
        <v>1139.07</v>
      </c>
      <c r="H374" s="0" t="n">
        <v>1146.21</v>
      </c>
      <c r="I374" s="11" t="n">
        <f aca="false">H374-G374</f>
        <v>7.1400000000001</v>
      </c>
      <c r="J374" s="5" t="n">
        <f aca="false">IF(G374=0,"",I374/G374)</f>
        <v>0.00626827148463229</v>
      </c>
      <c r="K374" s="0" t="n">
        <v>257.2</v>
      </c>
      <c r="M374" s="11" t="s">
        <v>43</v>
      </c>
      <c r="N374" s="12" t="n">
        <f aca="false">INT(E374)</f>
        <v>45734</v>
      </c>
      <c r="O374" s="12" t="str">
        <f aca="false">IF(F374="","",INT(F374))</f>
        <v/>
      </c>
    </row>
    <row r="375" customFormat="false" ht="15" hidden="false" customHeight="false" outlineLevel="0" collapsed="false">
      <c r="A375" s="0" t="s">
        <v>790</v>
      </c>
      <c r="B375" s="0" t="s">
        <v>791</v>
      </c>
      <c r="C375" s="0" t="s">
        <v>23</v>
      </c>
      <c r="D375" s="0" t="s">
        <v>42</v>
      </c>
      <c r="E375" s="10" t="n">
        <v>45734.4986111111</v>
      </c>
      <c r="F375" s="10" t="n">
        <v>45736.4817476852</v>
      </c>
      <c r="G375" s="0" t="n">
        <v>579.61</v>
      </c>
      <c r="H375" s="0" t="n">
        <v>579.19</v>
      </c>
      <c r="I375" s="11" t="n">
        <f aca="false">H375-G375</f>
        <v>-0.419999999999959</v>
      </c>
      <c r="J375" s="5" t="n">
        <f aca="false">IF(G375=0,"",I375/G375)</f>
        <v>-0.000724625178999602</v>
      </c>
      <c r="K375" s="0" t="n">
        <v>137.8</v>
      </c>
      <c r="L375" s="0" t="n">
        <v>47.6</v>
      </c>
      <c r="M375" s="11" t="s">
        <v>43</v>
      </c>
      <c r="N375" s="12" t="n">
        <f aca="false">INT(E375)</f>
        <v>45734</v>
      </c>
      <c r="O375" s="12" t="n">
        <f aca="false">IF(F375="","",INT(F375))</f>
        <v>45736</v>
      </c>
    </row>
    <row r="376" customFormat="false" ht="15" hidden="false" customHeight="false" outlineLevel="0" collapsed="false">
      <c r="A376" s="0" t="s">
        <v>792</v>
      </c>
      <c r="B376" s="0" t="s">
        <v>793</v>
      </c>
      <c r="C376" s="0" t="s">
        <v>23</v>
      </c>
      <c r="D376" s="0" t="s">
        <v>42</v>
      </c>
      <c r="E376" s="10" t="n">
        <v>45734.5138888889</v>
      </c>
      <c r="F376" s="10" t="n">
        <v>45735.4576388889</v>
      </c>
      <c r="G376" s="0" t="n">
        <v>371.96</v>
      </c>
      <c r="H376" s="0" t="n">
        <v>368.01</v>
      </c>
      <c r="I376" s="11" t="n">
        <f aca="false">H376-G376</f>
        <v>-3.94999999999999</v>
      </c>
      <c r="J376" s="5" t="n">
        <f aca="false">IF(G376=0,"",I376/G376)</f>
        <v>-0.0106194214431659</v>
      </c>
      <c r="K376" s="0" t="n">
        <v>80.4</v>
      </c>
      <c r="L376" s="0" t="n">
        <v>22.65</v>
      </c>
      <c r="M376" s="11" t="s">
        <v>43</v>
      </c>
      <c r="N376" s="12" t="n">
        <f aca="false">INT(E376)</f>
        <v>45734</v>
      </c>
      <c r="O376" s="12" t="n">
        <f aca="false">IF(F376="","",INT(F376))</f>
        <v>45735</v>
      </c>
    </row>
    <row r="377" customFormat="false" ht="15" hidden="false" customHeight="false" outlineLevel="0" collapsed="false">
      <c r="A377" s="0" t="s">
        <v>794</v>
      </c>
      <c r="B377" s="0" t="s">
        <v>795</v>
      </c>
      <c r="C377" s="0" t="s">
        <v>19</v>
      </c>
      <c r="D377" s="0" t="s">
        <v>42</v>
      </c>
      <c r="E377" s="10" t="n">
        <v>45734.5173611111</v>
      </c>
      <c r="F377" s="10" t="n">
        <v>45735.6413773148</v>
      </c>
      <c r="G377" s="0" t="n">
        <v>156.31</v>
      </c>
      <c r="H377" s="0" t="n">
        <v>158.31</v>
      </c>
      <c r="I377" s="11" t="n">
        <f aca="false">H377-G377</f>
        <v>2</v>
      </c>
      <c r="J377" s="5" t="n">
        <f aca="false">IF(G377=0,"",I377/G377)</f>
        <v>0.0127950866867123</v>
      </c>
      <c r="K377" s="0" t="n">
        <v>17.3</v>
      </c>
      <c r="L377" s="0" t="n">
        <v>26.98</v>
      </c>
      <c r="M377" s="11" t="s">
        <v>43</v>
      </c>
      <c r="N377" s="12" t="n">
        <f aca="false">INT(E377)</f>
        <v>45734</v>
      </c>
      <c r="O377" s="12" t="n">
        <f aca="false">IF(F377="","",INT(F377))</f>
        <v>45735</v>
      </c>
    </row>
    <row r="378" customFormat="false" ht="15" hidden="false" customHeight="false" outlineLevel="0" collapsed="false">
      <c r="A378" s="0" t="s">
        <v>796</v>
      </c>
      <c r="B378" s="0" t="s">
        <v>797</v>
      </c>
      <c r="C378" s="0" t="s">
        <v>23</v>
      </c>
      <c r="D378" s="0" t="s">
        <v>42</v>
      </c>
      <c r="E378" s="10" t="n">
        <v>45734.5319444445</v>
      </c>
      <c r="F378" s="10" t="n">
        <v>45736.9799189815</v>
      </c>
      <c r="G378" s="0" t="n">
        <v>1147.96</v>
      </c>
      <c r="H378" s="0" t="n">
        <v>1139.61</v>
      </c>
      <c r="I378" s="11" t="n">
        <f aca="false">H378-G378</f>
        <v>-8.35000000000014</v>
      </c>
      <c r="J378" s="5" t="n">
        <f aca="false">IF(G378=0,"",I378/G378)</f>
        <v>-0.00727377260531738</v>
      </c>
      <c r="K378" s="0" t="n">
        <v>501</v>
      </c>
      <c r="L378" s="0" t="n">
        <v>58.75</v>
      </c>
      <c r="M378" s="11" t="s">
        <v>43</v>
      </c>
      <c r="N378" s="12" t="n">
        <f aca="false">INT(E378)</f>
        <v>45734</v>
      </c>
      <c r="O378" s="12" t="n">
        <f aca="false">IF(F378="","",INT(F378))</f>
        <v>45736</v>
      </c>
    </row>
    <row r="379" customFormat="false" ht="15" hidden="false" customHeight="false" outlineLevel="0" collapsed="false">
      <c r="A379" s="0" t="s">
        <v>798</v>
      </c>
      <c r="B379" s="0" t="s">
        <v>799</v>
      </c>
      <c r="C379" s="0" t="s">
        <v>22</v>
      </c>
      <c r="D379" s="0" t="s">
        <v>42</v>
      </c>
      <c r="E379" s="10" t="n">
        <v>45734.5361111111</v>
      </c>
      <c r="F379" s="10" t="n">
        <v>45736.7416666667</v>
      </c>
      <c r="G379" s="0" t="n">
        <v>160.54</v>
      </c>
      <c r="H379" s="0" t="n">
        <v>161.65</v>
      </c>
      <c r="I379" s="11" t="n">
        <f aca="false">H379-G379</f>
        <v>1.11000000000001</v>
      </c>
      <c r="J379" s="5" t="n">
        <f aca="false">IF(G379=0,"",I379/G379)</f>
        <v>0.00691416469415731</v>
      </c>
      <c r="K379" s="0" t="n">
        <v>27.9</v>
      </c>
      <c r="L379" s="0" t="n">
        <v>52.93</v>
      </c>
      <c r="M379" s="11" t="s">
        <v>43</v>
      </c>
      <c r="N379" s="12" t="n">
        <f aca="false">INT(E379)</f>
        <v>45734</v>
      </c>
      <c r="O379" s="12" t="n">
        <f aca="false">IF(F379="","",INT(F379))</f>
        <v>45736</v>
      </c>
    </row>
    <row r="380" customFormat="false" ht="15" hidden="false" customHeight="false" outlineLevel="0" collapsed="false">
      <c r="A380" s="0" t="s">
        <v>800</v>
      </c>
      <c r="B380" s="0" t="s">
        <v>801</v>
      </c>
      <c r="C380" s="0" t="s">
        <v>21</v>
      </c>
      <c r="D380" s="0" t="s">
        <v>42</v>
      </c>
      <c r="E380" s="10" t="n">
        <v>45734.5791666667</v>
      </c>
      <c r="F380" s="10" t="n">
        <v>45735.6721180556</v>
      </c>
      <c r="G380" s="0" t="n">
        <v>583.56</v>
      </c>
      <c r="H380" s="0" t="n">
        <v>567.65</v>
      </c>
      <c r="I380" s="11" t="n">
        <f aca="false">H380-G380</f>
        <v>-15.91</v>
      </c>
      <c r="J380" s="5" t="n">
        <f aca="false">IF(G380=0,"",I380/G380)</f>
        <v>-0.027263691822606</v>
      </c>
      <c r="K380" s="0" t="n">
        <v>105.4</v>
      </c>
      <c r="L380" s="0" t="n">
        <v>26.23</v>
      </c>
      <c r="M380" s="11" t="s">
        <v>43</v>
      </c>
      <c r="N380" s="12" t="n">
        <f aca="false">INT(E380)</f>
        <v>45734</v>
      </c>
      <c r="O380" s="12" t="n">
        <f aca="false">IF(F380="","",INT(F380))</f>
        <v>45735</v>
      </c>
    </row>
    <row r="381" customFormat="false" ht="15" hidden="false" customHeight="false" outlineLevel="0" collapsed="false">
      <c r="A381" s="0" t="s">
        <v>802</v>
      </c>
      <c r="B381" s="0" t="s">
        <v>803</v>
      </c>
      <c r="C381" s="0" t="s">
        <v>19</v>
      </c>
      <c r="D381" s="0" t="s">
        <v>42</v>
      </c>
      <c r="E381" s="10" t="n">
        <v>45734.6166666667</v>
      </c>
      <c r="F381" s="10" t="n">
        <v>45734.9340277778</v>
      </c>
      <c r="G381" s="0" t="n">
        <v>116.94</v>
      </c>
      <c r="H381" s="0" t="n">
        <v>119.61</v>
      </c>
      <c r="I381" s="11" t="n">
        <f aca="false">H381-G381</f>
        <v>2.67</v>
      </c>
      <c r="J381" s="5" t="n">
        <f aca="false">IF(G381=0,"",I381/G381)</f>
        <v>0.0228322216521293</v>
      </c>
      <c r="K381" s="0" t="n">
        <v>11.4</v>
      </c>
      <c r="L381" s="0" t="n">
        <v>7.62</v>
      </c>
      <c r="M381" s="11" t="s">
        <v>43</v>
      </c>
      <c r="N381" s="12" t="n">
        <f aca="false">INT(E381)</f>
        <v>45734</v>
      </c>
      <c r="O381" s="12" t="n">
        <f aca="false">IF(F381="","",INT(F381))</f>
        <v>45734</v>
      </c>
    </row>
    <row r="382" customFormat="false" ht="15" hidden="false" customHeight="false" outlineLevel="0" collapsed="false">
      <c r="A382" s="0" t="s">
        <v>804</v>
      </c>
      <c r="B382" s="0" t="s">
        <v>805</v>
      </c>
      <c r="C382" s="0" t="s">
        <v>24</v>
      </c>
      <c r="D382" s="0" t="s">
        <v>42</v>
      </c>
      <c r="E382" s="10" t="n">
        <v>45734.6208333333</v>
      </c>
      <c r="F382" s="10" t="n">
        <v>45736.9631944444</v>
      </c>
      <c r="G382" s="0" t="n">
        <v>308.47</v>
      </c>
      <c r="H382" s="0" t="n">
        <v>216.23</v>
      </c>
      <c r="I382" s="11" t="n">
        <f aca="false">H382-G382</f>
        <v>-92.24</v>
      </c>
      <c r="J382" s="5" t="n">
        <f aca="false">IF(G382=0,"",I382/G382)</f>
        <v>-0.299024216293319</v>
      </c>
      <c r="K382" s="0" t="n">
        <v>106.2</v>
      </c>
      <c r="L382" s="0" t="n">
        <v>56.22</v>
      </c>
      <c r="M382" s="11" t="s">
        <v>43</v>
      </c>
      <c r="N382" s="12" t="n">
        <f aca="false">INT(E382)</f>
        <v>45734</v>
      </c>
      <c r="O382" s="12" t="n">
        <f aca="false">IF(F382="","",INT(F382))</f>
        <v>45736</v>
      </c>
    </row>
    <row r="383" customFormat="false" ht="15" hidden="false" customHeight="false" outlineLevel="0" collapsed="false">
      <c r="A383" s="0" t="s">
        <v>806</v>
      </c>
      <c r="B383" s="0" t="s">
        <v>807</v>
      </c>
      <c r="C383" s="0" t="s">
        <v>21</v>
      </c>
      <c r="D383" s="0" t="s">
        <v>42</v>
      </c>
      <c r="E383" s="10" t="n">
        <v>45734.68125</v>
      </c>
      <c r="F383" s="10" t="n">
        <v>45735.6583333333</v>
      </c>
      <c r="G383" s="0" t="n">
        <v>378.17</v>
      </c>
      <c r="H383" s="0" t="n">
        <v>390.52</v>
      </c>
      <c r="I383" s="11" t="n">
        <f aca="false">H383-G383</f>
        <v>12.35</v>
      </c>
      <c r="J383" s="5" t="n">
        <f aca="false">IF(G383=0,"",I383/G383)</f>
        <v>0.0326572705397043</v>
      </c>
      <c r="K383" s="0" t="n">
        <v>105.7</v>
      </c>
      <c r="L383" s="0" t="n">
        <v>23.45</v>
      </c>
      <c r="M383" s="11" t="s">
        <v>43</v>
      </c>
      <c r="N383" s="12" t="n">
        <f aca="false">INT(E383)</f>
        <v>45734</v>
      </c>
      <c r="O383" s="12" t="n">
        <f aca="false">IF(F383="","",INT(F383))</f>
        <v>45735</v>
      </c>
    </row>
    <row r="384" customFormat="false" ht="15" hidden="false" customHeight="false" outlineLevel="0" collapsed="false">
      <c r="A384" s="0" t="s">
        <v>808</v>
      </c>
      <c r="B384" s="0" t="s">
        <v>809</v>
      </c>
      <c r="C384" s="0" t="s">
        <v>19</v>
      </c>
      <c r="D384" s="0" t="s">
        <v>42</v>
      </c>
      <c r="E384" s="10" t="n">
        <v>45734.725</v>
      </c>
      <c r="F384" s="10" t="n">
        <v>45736.1111111111</v>
      </c>
      <c r="G384" s="0" t="n">
        <v>690.34</v>
      </c>
      <c r="H384" s="0" t="n">
        <v>692.98</v>
      </c>
      <c r="I384" s="11" t="n">
        <f aca="false">H384-G384</f>
        <v>2.63999999999999</v>
      </c>
      <c r="J384" s="5" t="n">
        <f aca="false">IF(G384=0,"",I384/G384)</f>
        <v>0.0038242025668511</v>
      </c>
      <c r="K384" s="0" t="n">
        <v>82.2</v>
      </c>
      <c r="L384" s="0" t="n">
        <v>33.27</v>
      </c>
      <c r="M384" s="11" t="s">
        <v>43</v>
      </c>
      <c r="N384" s="12" t="n">
        <f aca="false">INT(E384)</f>
        <v>45734</v>
      </c>
      <c r="O384" s="12" t="n">
        <f aca="false">IF(F384="","",INT(F384))</f>
        <v>45736</v>
      </c>
    </row>
    <row r="385" customFormat="false" ht="15" hidden="false" customHeight="false" outlineLevel="0" collapsed="false">
      <c r="A385" s="0" t="s">
        <v>810</v>
      </c>
      <c r="B385" s="0" t="s">
        <v>811</v>
      </c>
      <c r="C385" s="0" t="s">
        <v>21</v>
      </c>
      <c r="D385" s="0" t="s">
        <v>42</v>
      </c>
      <c r="E385" s="10" t="n">
        <v>45734.7361111111</v>
      </c>
      <c r="F385" s="10" t="n">
        <v>45735.3159259259</v>
      </c>
      <c r="G385" s="0" t="n">
        <v>481.93</v>
      </c>
      <c r="H385" s="0" t="n">
        <v>479.47</v>
      </c>
      <c r="I385" s="11" t="n">
        <f aca="false">H385-G385</f>
        <v>-2.45999999999998</v>
      </c>
      <c r="J385" s="5" t="n">
        <f aca="false">IF(G385=0,"",I385/G385)</f>
        <v>-0.00510447575374013</v>
      </c>
      <c r="K385" s="0" t="n">
        <v>69.3</v>
      </c>
      <c r="L385" s="0" t="n">
        <v>13.92</v>
      </c>
      <c r="M385" s="11" t="s">
        <v>43</v>
      </c>
      <c r="N385" s="12" t="n">
        <f aca="false">INT(E385)</f>
        <v>45734</v>
      </c>
      <c r="O385" s="12" t="n">
        <f aca="false">IF(F385="","",INT(F385))</f>
        <v>45735</v>
      </c>
    </row>
    <row r="386" customFormat="false" ht="15" hidden="false" customHeight="false" outlineLevel="0" collapsed="false">
      <c r="A386" s="0" t="s">
        <v>812</v>
      </c>
      <c r="B386" s="0" t="s">
        <v>813</v>
      </c>
      <c r="C386" s="0" t="s">
        <v>20</v>
      </c>
      <c r="D386" s="0" t="s">
        <v>42</v>
      </c>
      <c r="E386" s="10" t="n">
        <v>45734.76875</v>
      </c>
      <c r="F386" s="10" t="n">
        <v>45735.6208333333</v>
      </c>
      <c r="G386" s="0" t="n">
        <v>321.27</v>
      </c>
      <c r="H386" s="0" t="n">
        <v>230.36</v>
      </c>
      <c r="I386" s="11" t="n">
        <f aca="false">H386-G386</f>
        <v>-90.91</v>
      </c>
      <c r="J386" s="5" t="n">
        <f aca="false">IF(G386=0,"",I386/G386)</f>
        <v>-0.282970709994708</v>
      </c>
      <c r="K386" s="0" t="n">
        <v>37.1</v>
      </c>
      <c r="L386" s="0" t="n">
        <v>20.45</v>
      </c>
      <c r="M386" s="11" t="s">
        <v>43</v>
      </c>
      <c r="N386" s="12" t="n">
        <f aca="false">INT(E386)</f>
        <v>45734</v>
      </c>
      <c r="O386" s="12" t="n">
        <f aca="false">IF(F386="","",INT(F386))</f>
        <v>45735</v>
      </c>
    </row>
    <row r="387" customFormat="false" ht="15" hidden="false" customHeight="false" outlineLevel="0" collapsed="false">
      <c r="A387" s="0" t="s">
        <v>814</v>
      </c>
      <c r="B387" s="0" t="s">
        <v>815</v>
      </c>
      <c r="C387" s="0" t="s">
        <v>21</v>
      </c>
      <c r="D387" s="0" t="s">
        <v>42</v>
      </c>
      <c r="E387" s="10" t="n">
        <v>45734.7743055556</v>
      </c>
      <c r="F387" s="10" t="n">
        <v>45735.1513888889</v>
      </c>
      <c r="G387" s="0" t="n">
        <v>955.82</v>
      </c>
      <c r="H387" s="0" t="n">
        <v>968.99</v>
      </c>
      <c r="I387" s="11" t="n">
        <f aca="false">H387-G387</f>
        <v>13.17</v>
      </c>
      <c r="J387" s="5" t="n">
        <f aca="false">IF(G387=0,"",I387/G387)</f>
        <v>0.0137787449519784</v>
      </c>
      <c r="K387" s="0" t="n">
        <v>141.5</v>
      </c>
      <c r="L387" s="0" t="n">
        <v>9.05</v>
      </c>
      <c r="M387" s="11" t="s">
        <v>43</v>
      </c>
      <c r="N387" s="12" t="n">
        <f aca="false">INT(E387)</f>
        <v>45734</v>
      </c>
      <c r="O387" s="12" t="n">
        <f aca="false">IF(F387="","",INT(F387))</f>
        <v>45735</v>
      </c>
    </row>
    <row r="388" customFormat="false" ht="15" hidden="false" customHeight="false" outlineLevel="0" collapsed="false">
      <c r="A388" s="0" t="s">
        <v>816</v>
      </c>
      <c r="B388" s="0" t="s">
        <v>817</v>
      </c>
      <c r="C388" s="0" t="s">
        <v>24</v>
      </c>
      <c r="D388" s="0" t="s">
        <v>42</v>
      </c>
      <c r="E388" s="10" t="n">
        <v>45735.2972222222</v>
      </c>
      <c r="F388" s="10" t="n">
        <v>45738.6480787037</v>
      </c>
      <c r="G388" s="0" t="n">
        <v>94.73</v>
      </c>
      <c r="H388" s="0" t="n">
        <v>96.71</v>
      </c>
      <c r="I388" s="11" t="n">
        <f aca="false">H388-G388</f>
        <v>1.97999999999999</v>
      </c>
      <c r="J388" s="5" t="n">
        <f aca="false">IF(G388=0,"",I388/G388)</f>
        <v>0.0209015095534676</v>
      </c>
      <c r="K388" s="0" t="n">
        <v>36.6</v>
      </c>
      <c r="L388" s="0" t="n">
        <v>64.87</v>
      </c>
      <c r="M388" s="11" t="s">
        <v>43</v>
      </c>
      <c r="N388" s="12" t="n">
        <f aca="false">INT(E388)</f>
        <v>45735</v>
      </c>
      <c r="O388" s="12" t="n">
        <f aca="false">IF(F388="","",INT(F388))</f>
        <v>45738</v>
      </c>
    </row>
    <row r="389" customFormat="false" ht="15" hidden="false" customHeight="false" outlineLevel="0" collapsed="false">
      <c r="A389" s="0" t="s">
        <v>818</v>
      </c>
      <c r="B389" s="0" t="s">
        <v>819</v>
      </c>
      <c r="C389" s="0" t="s">
        <v>23</v>
      </c>
      <c r="D389" s="0" t="s">
        <v>42</v>
      </c>
      <c r="E389" s="10" t="n">
        <v>45735.2979166667</v>
      </c>
      <c r="F389" s="10" t="n">
        <v>45736.1287731482</v>
      </c>
      <c r="G389" s="0" t="n">
        <v>98.3</v>
      </c>
      <c r="H389" s="0" t="n">
        <v>98.41</v>
      </c>
      <c r="I389" s="11" t="n">
        <f aca="false">H389-G389</f>
        <v>0.109999999999999</v>
      </c>
      <c r="J389" s="5" t="n">
        <f aca="false">IF(G389=0,"",I389/G389)</f>
        <v>0.00111902339776195</v>
      </c>
      <c r="K389" s="0" t="n">
        <v>28.3</v>
      </c>
      <c r="L389" s="0" t="n">
        <v>19.94</v>
      </c>
      <c r="M389" s="11" t="s">
        <v>43</v>
      </c>
      <c r="N389" s="12" t="n">
        <f aca="false">INT(E389)</f>
        <v>45735</v>
      </c>
      <c r="O389" s="12" t="n">
        <f aca="false">IF(F389="","",INT(F389))</f>
        <v>45736</v>
      </c>
    </row>
    <row r="390" customFormat="false" ht="15" hidden="false" customHeight="false" outlineLevel="0" collapsed="false">
      <c r="A390" s="0" t="s">
        <v>820</v>
      </c>
      <c r="B390" s="0" t="s">
        <v>821</v>
      </c>
      <c r="C390" s="0" t="s">
        <v>24</v>
      </c>
      <c r="D390" s="0" t="s">
        <v>42</v>
      </c>
      <c r="E390" s="10" t="n">
        <v>45735.3548611111</v>
      </c>
      <c r="F390" s="10" t="n">
        <v>45738.7284722222</v>
      </c>
      <c r="G390" s="0" t="n">
        <v>226.5</v>
      </c>
      <c r="H390" s="0" t="n">
        <v>228.14</v>
      </c>
      <c r="I390" s="11" t="n">
        <f aca="false">H390-G390</f>
        <v>1.63999999999999</v>
      </c>
      <c r="J390" s="5" t="n">
        <f aca="false">IF(G390=0,"",I390/G390)</f>
        <v>0.00724061810154519</v>
      </c>
      <c r="K390" s="0" t="n">
        <v>92</v>
      </c>
      <c r="L390" s="0" t="n">
        <v>63.48</v>
      </c>
      <c r="M390" s="11" t="s">
        <v>43</v>
      </c>
      <c r="N390" s="12" t="n">
        <f aca="false">INT(E390)</f>
        <v>45735</v>
      </c>
      <c r="O390" s="12" t="n">
        <f aca="false">IF(F390="","",INT(F390))</f>
        <v>45738</v>
      </c>
    </row>
    <row r="391" customFormat="false" ht="15" hidden="false" customHeight="false" outlineLevel="0" collapsed="false">
      <c r="A391" s="0" t="s">
        <v>822</v>
      </c>
      <c r="B391" s="0" t="s">
        <v>823</v>
      </c>
      <c r="C391" s="0" t="s">
        <v>23</v>
      </c>
      <c r="D391" s="0" t="s">
        <v>42</v>
      </c>
      <c r="E391" s="10" t="n">
        <v>45735.3701388889</v>
      </c>
      <c r="F391" s="10" t="n">
        <v>45738.5256134259</v>
      </c>
      <c r="G391" s="0" t="n">
        <v>370.98</v>
      </c>
      <c r="H391" s="0" t="n">
        <v>377</v>
      </c>
      <c r="I391" s="11" t="n">
        <f aca="false">H391-G391</f>
        <v>6.01999999999998</v>
      </c>
      <c r="J391" s="5" t="n">
        <f aca="false">IF(G391=0,"",I391/G391)</f>
        <v>0.0162272898808561</v>
      </c>
      <c r="K391" s="0" t="n">
        <v>76.1</v>
      </c>
      <c r="L391" s="0" t="n">
        <v>63.12</v>
      </c>
      <c r="M391" s="11" t="s">
        <v>43</v>
      </c>
      <c r="N391" s="12" t="n">
        <f aca="false">INT(E391)</f>
        <v>45735</v>
      </c>
      <c r="O391" s="12" t="n">
        <f aca="false">IF(F391="","",INT(F391))</f>
        <v>45738</v>
      </c>
    </row>
    <row r="392" customFormat="false" ht="15" hidden="false" customHeight="false" outlineLevel="0" collapsed="false">
      <c r="A392" s="0" t="s">
        <v>824</v>
      </c>
      <c r="B392" s="0" t="s">
        <v>825</v>
      </c>
      <c r="C392" s="0" t="s">
        <v>20</v>
      </c>
      <c r="D392" s="0" t="s">
        <v>42</v>
      </c>
      <c r="E392" s="10" t="n">
        <v>45735.3868055556</v>
      </c>
      <c r="F392" s="10" t="n">
        <v>45737.0708333333</v>
      </c>
      <c r="G392" s="0" t="n">
        <v>489.74</v>
      </c>
      <c r="H392" s="0" t="n">
        <v>500.8</v>
      </c>
      <c r="I392" s="11" t="n">
        <f aca="false">H392-G392</f>
        <v>11.06</v>
      </c>
      <c r="J392" s="5" t="n">
        <f aca="false">IF(G392=0,"",I392/G392)</f>
        <v>0.0225834116061584</v>
      </c>
      <c r="K392" s="0" t="n">
        <v>76.7</v>
      </c>
      <c r="L392" s="0" t="n">
        <v>40.42</v>
      </c>
      <c r="M392" s="11" t="s">
        <v>43</v>
      </c>
      <c r="N392" s="12" t="n">
        <f aca="false">INT(E392)</f>
        <v>45735</v>
      </c>
      <c r="O392" s="12" t="n">
        <f aca="false">IF(F392="","",INT(F392))</f>
        <v>45737</v>
      </c>
    </row>
    <row r="393" customFormat="false" ht="15" hidden="false" customHeight="false" outlineLevel="0" collapsed="false">
      <c r="A393" s="0" t="s">
        <v>826</v>
      </c>
      <c r="B393" s="0" t="s">
        <v>827</v>
      </c>
      <c r="C393" s="0" t="s">
        <v>20</v>
      </c>
      <c r="D393" s="0" t="s">
        <v>42</v>
      </c>
      <c r="E393" s="10" t="n">
        <v>45735.3881944444</v>
      </c>
      <c r="F393" s="10" t="n">
        <v>45736.0840277778</v>
      </c>
      <c r="G393" s="0" t="n">
        <v>147.7</v>
      </c>
      <c r="H393" s="0" t="n">
        <v>151.93</v>
      </c>
      <c r="I393" s="11" t="n">
        <f aca="false">H393-G393</f>
        <v>4.23000000000002</v>
      </c>
      <c r="J393" s="5" t="n">
        <f aca="false">IF(G393=0,"",I393/G393)</f>
        <v>0.02863913337847</v>
      </c>
      <c r="K393" s="0" t="n">
        <v>14.6</v>
      </c>
      <c r="L393" s="0" t="n">
        <v>16.7</v>
      </c>
      <c r="M393" s="11" t="s">
        <v>43</v>
      </c>
      <c r="N393" s="12" t="n">
        <f aca="false">INT(E393)</f>
        <v>45735</v>
      </c>
      <c r="O393" s="12" t="n">
        <f aca="false">IF(F393="","",INT(F393))</f>
        <v>45736</v>
      </c>
    </row>
    <row r="394" customFormat="false" ht="15" hidden="false" customHeight="false" outlineLevel="0" collapsed="false">
      <c r="A394" s="0" t="s">
        <v>828</v>
      </c>
      <c r="B394" s="0" t="s">
        <v>829</v>
      </c>
      <c r="C394" s="0" t="s">
        <v>19</v>
      </c>
      <c r="D394" s="0" t="s">
        <v>42</v>
      </c>
      <c r="E394" s="10" t="n">
        <v>45735.3979166667</v>
      </c>
      <c r="F394" s="10" t="n">
        <v>45735.7325</v>
      </c>
      <c r="G394" s="0" t="n">
        <v>277.59</v>
      </c>
      <c r="H394" s="0" t="n">
        <v>279.41</v>
      </c>
      <c r="I394" s="11" t="n">
        <f aca="false">H394-G394</f>
        <v>1.82000000000005</v>
      </c>
      <c r="J394" s="5" t="n">
        <f aca="false">IF(G394=0,"",I394/G394)</f>
        <v>0.00655643214813232</v>
      </c>
      <c r="K394" s="0" t="n">
        <v>42.9</v>
      </c>
      <c r="L394" s="0" t="n">
        <v>8.03</v>
      </c>
      <c r="M394" s="11" t="s">
        <v>43</v>
      </c>
      <c r="N394" s="12" t="n">
        <f aca="false">INT(E394)</f>
        <v>45735</v>
      </c>
      <c r="O394" s="12" t="n">
        <f aca="false">IF(F394="","",INT(F394))</f>
        <v>45735</v>
      </c>
    </row>
    <row r="395" customFormat="false" ht="15" hidden="false" customHeight="false" outlineLevel="0" collapsed="false">
      <c r="A395" s="0" t="s">
        <v>830</v>
      </c>
      <c r="B395" s="0" t="s">
        <v>831</v>
      </c>
      <c r="C395" s="0" t="s">
        <v>23</v>
      </c>
      <c r="D395" s="0" t="s">
        <v>42</v>
      </c>
      <c r="E395" s="10" t="n">
        <v>45735.4034722222</v>
      </c>
      <c r="F395" s="10" t="n">
        <v>45735.6097222222</v>
      </c>
      <c r="G395" s="0" t="n">
        <v>2607.06</v>
      </c>
      <c r="H395" s="0" t="n">
        <v>2589.51</v>
      </c>
      <c r="I395" s="11" t="n">
        <f aca="false">H395-G395</f>
        <v>-17.5499999999997</v>
      </c>
      <c r="J395" s="5" t="n">
        <f aca="false">IF(G395=0,"",I395/G395)</f>
        <v>-0.00673172078893456</v>
      </c>
      <c r="K395" s="0" t="n">
        <v>585.9</v>
      </c>
      <c r="L395" s="0" t="n">
        <v>4.95</v>
      </c>
      <c r="M395" s="11" t="s">
        <v>43</v>
      </c>
      <c r="N395" s="12" t="n">
        <f aca="false">INT(E395)</f>
        <v>45735</v>
      </c>
      <c r="O395" s="12" t="n">
        <f aca="false">IF(F395="","",INT(F395))</f>
        <v>45735</v>
      </c>
    </row>
    <row r="396" customFormat="false" ht="15" hidden="false" customHeight="false" outlineLevel="0" collapsed="false">
      <c r="A396" s="0" t="s">
        <v>832</v>
      </c>
      <c r="B396" s="0" t="s">
        <v>833</v>
      </c>
      <c r="C396" s="0" t="s">
        <v>20</v>
      </c>
      <c r="D396" s="0" t="s">
        <v>42</v>
      </c>
      <c r="E396" s="10" t="n">
        <v>45735.4138888889</v>
      </c>
      <c r="F396" s="10" t="n">
        <v>45736.0784722222</v>
      </c>
      <c r="G396" s="0" t="n">
        <v>811.59</v>
      </c>
      <c r="H396" s="0" t="n">
        <v>700.03</v>
      </c>
      <c r="I396" s="11" t="n">
        <f aca="false">H396-G396</f>
        <v>-111.56</v>
      </c>
      <c r="J396" s="5" t="n">
        <f aca="false">IF(G396=0,"",I396/G396)</f>
        <v>-0.137458568981875</v>
      </c>
      <c r="K396" s="0" t="n">
        <v>137.3</v>
      </c>
      <c r="L396" s="0" t="n">
        <v>15.95</v>
      </c>
      <c r="M396" s="11" t="s">
        <v>43</v>
      </c>
      <c r="N396" s="12" t="n">
        <f aca="false">INT(E396)</f>
        <v>45735</v>
      </c>
      <c r="O396" s="12" t="n">
        <f aca="false">IF(F396="","",INT(F396))</f>
        <v>45736</v>
      </c>
    </row>
    <row r="397" customFormat="false" ht="15" hidden="false" customHeight="false" outlineLevel="0" collapsed="false">
      <c r="A397" s="0" t="s">
        <v>834</v>
      </c>
      <c r="B397" s="0" t="s">
        <v>835</v>
      </c>
      <c r="C397" s="0" t="s">
        <v>22</v>
      </c>
      <c r="D397" s="0" t="s">
        <v>42</v>
      </c>
      <c r="E397" s="10" t="n">
        <v>45735.4222222222</v>
      </c>
      <c r="F397" s="10" t="n">
        <v>45736.426412037</v>
      </c>
      <c r="G397" s="0" t="n">
        <v>160.34</v>
      </c>
      <c r="H397" s="0" t="n">
        <v>157.25</v>
      </c>
      <c r="I397" s="11" t="n">
        <f aca="false">H397-G397</f>
        <v>-3.09</v>
      </c>
      <c r="J397" s="5" t="n">
        <f aca="false">IF(G397=0,"",I397/G397)</f>
        <v>-0.0192715479605838</v>
      </c>
      <c r="K397" s="0" t="n">
        <v>18.1</v>
      </c>
      <c r="L397" s="0" t="n">
        <v>24.1</v>
      </c>
      <c r="M397" s="11" t="s">
        <v>43</v>
      </c>
      <c r="N397" s="12" t="n">
        <f aca="false">INT(E397)</f>
        <v>45735</v>
      </c>
      <c r="O397" s="12" t="n">
        <f aca="false">IF(F397="","",INT(F397))</f>
        <v>45736</v>
      </c>
    </row>
    <row r="398" customFormat="false" ht="15" hidden="false" customHeight="false" outlineLevel="0" collapsed="false">
      <c r="A398" s="0" t="s">
        <v>836</v>
      </c>
      <c r="B398" s="0" t="s">
        <v>837</v>
      </c>
      <c r="C398" s="0" t="s">
        <v>23</v>
      </c>
      <c r="D398" s="0" t="s">
        <v>42</v>
      </c>
      <c r="E398" s="10" t="n">
        <v>45735.4340277778</v>
      </c>
      <c r="F398" s="10" t="n">
        <v>45737.1847222222</v>
      </c>
      <c r="G398" s="0" t="n">
        <v>250.71</v>
      </c>
      <c r="H398" s="0" t="n">
        <v>253.81</v>
      </c>
      <c r="I398" s="11" t="n">
        <f aca="false">H398-G398</f>
        <v>3.09999999999999</v>
      </c>
      <c r="J398" s="5" t="n">
        <f aca="false">IF(G398=0,"",I398/G398)</f>
        <v>0.0123648837302062</v>
      </c>
      <c r="K398" s="0" t="n">
        <v>111.8</v>
      </c>
      <c r="L398" s="0" t="n">
        <v>42.02</v>
      </c>
      <c r="M398" s="11" t="s">
        <v>43</v>
      </c>
      <c r="N398" s="12" t="n">
        <f aca="false">INT(E398)</f>
        <v>45735</v>
      </c>
      <c r="O398" s="12" t="n">
        <f aca="false">IF(F398="","",INT(F398))</f>
        <v>45737</v>
      </c>
    </row>
    <row r="399" customFormat="false" ht="15" hidden="false" customHeight="false" outlineLevel="0" collapsed="false">
      <c r="A399" s="0" t="s">
        <v>838</v>
      </c>
      <c r="B399" s="0" t="s">
        <v>839</v>
      </c>
      <c r="C399" s="0" t="s">
        <v>23</v>
      </c>
      <c r="D399" s="0" t="s">
        <v>48</v>
      </c>
      <c r="E399" s="10" t="n">
        <v>45735.4416666667</v>
      </c>
      <c r="F399" s="10"/>
      <c r="G399" s="0" t="n">
        <v>1009.67</v>
      </c>
      <c r="H399" s="0" t="n">
        <v>908.27</v>
      </c>
      <c r="I399" s="11" t="n">
        <f aca="false">H399-G399</f>
        <v>-101.4</v>
      </c>
      <c r="J399" s="5" t="n">
        <f aca="false">IF(G399=0,"",I399/G399)</f>
        <v>-0.100428852991571</v>
      </c>
      <c r="K399" s="0" t="n">
        <v>428.9</v>
      </c>
      <c r="M399" s="11" t="s">
        <v>43</v>
      </c>
      <c r="N399" s="12" t="n">
        <f aca="false">INT(E399)</f>
        <v>45735</v>
      </c>
      <c r="O399" s="12" t="str">
        <f aca="false">IF(F399="","",INT(F399))</f>
        <v/>
      </c>
    </row>
    <row r="400" customFormat="false" ht="15" hidden="false" customHeight="false" outlineLevel="0" collapsed="false">
      <c r="A400" s="0" t="s">
        <v>840</v>
      </c>
      <c r="B400" s="0" t="s">
        <v>841</v>
      </c>
      <c r="C400" s="0" t="s">
        <v>20</v>
      </c>
      <c r="D400" s="0" t="s">
        <v>48</v>
      </c>
      <c r="E400" s="10" t="n">
        <v>45735.4555555556</v>
      </c>
      <c r="F400" s="10"/>
      <c r="G400" s="0" t="n">
        <v>685.3</v>
      </c>
      <c r="H400" s="0" t="n">
        <v>600.78</v>
      </c>
      <c r="I400" s="11" t="n">
        <f aca="false">H400-G400</f>
        <v>-84.52</v>
      </c>
      <c r="J400" s="5" t="n">
        <f aca="false">IF(G400=0,"",I400/G400)</f>
        <v>-0.123332846928353</v>
      </c>
      <c r="K400" s="0" t="n">
        <v>145</v>
      </c>
      <c r="M400" s="11" t="s">
        <v>43</v>
      </c>
      <c r="N400" s="12" t="n">
        <f aca="false">INT(E400)</f>
        <v>45735</v>
      </c>
      <c r="O400" s="12" t="str">
        <f aca="false">IF(F400="","",INT(F400))</f>
        <v/>
      </c>
    </row>
    <row r="401" customFormat="false" ht="15" hidden="false" customHeight="false" outlineLevel="0" collapsed="false">
      <c r="A401" s="0" t="s">
        <v>842</v>
      </c>
      <c r="B401" s="0" t="s">
        <v>843</v>
      </c>
      <c r="C401" s="0" t="s">
        <v>21</v>
      </c>
      <c r="D401" s="0" t="s">
        <v>42</v>
      </c>
      <c r="E401" s="10" t="n">
        <v>45735.4576388889</v>
      </c>
      <c r="F401" s="10" t="n">
        <v>45735.8131944445</v>
      </c>
      <c r="G401" s="0" t="n">
        <v>367.07</v>
      </c>
      <c r="H401" s="0" t="n">
        <v>371.85</v>
      </c>
      <c r="I401" s="11" t="n">
        <f aca="false">H401-G401</f>
        <v>4.78000000000003</v>
      </c>
      <c r="J401" s="5" t="n">
        <f aca="false">IF(G401=0,"",I401/G401)</f>
        <v>0.0130220393930314</v>
      </c>
      <c r="K401" s="0" t="n">
        <v>72.5</v>
      </c>
      <c r="L401" s="0" t="n">
        <v>8.53</v>
      </c>
      <c r="M401" s="11" t="s">
        <v>43</v>
      </c>
      <c r="N401" s="12" t="n">
        <f aca="false">INT(E401)</f>
        <v>45735</v>
      </c>
      <c r="O401" s="12" t="n">
        <f aca="false">IF(F401="","",INT(F401))</f>
        <v>45735</v>
      </c>
    </row>
    <row r="402" customFormat="false" ht="15" hidden="false" customHeight="false" outlineLevel="0" collapsed="false">
      <c r="A402" s="0" t="s">
        <v>844</v>
      </c>
      <c r="B402" s="0" t="s">
        <v>845</v>
      </c>
      <c r="C402" s="0" t="s">
        <v>22</v>
      </c>
      <c r="D402" s="0" t="s">
        <v>42</v>
      </c>
      <c r="E402" s="10" t="n">
        <v>45735.4576388889</v>
      </c>
      <c r="F402" s="10" t="n">
        <v>45735.9104166667</v>
      </c>
      <c r="G402" s="0" t="n">
        <v>636.81</v>
      </c>
      <c r="H402" s="0" t="n">
        <v>642.89</v>
      </c>
      <c r="I402" s="11" t="n">
        <f aca="false">H402-G402</f>
        <v>6.08000000000004</v>
      </c>
      <c r="J402" s="5" t="n">
        <f aca="false">IF(G402=0,"",I402/G402)</f>
        <v>0.00954758876273934</v>
      </c>
      <c r="K402" s="0" t="n">
        <v>105.3</v>
      </c>
      <c r="L402" s="0" t="n">
        <v>10.87</v>
      </c>
      <c r="M402" s="11" t="s">
        <v>43</v>
      </c>
      <c r="N402" s="12" t="n">
        <f aca="false">INT(E402)</f>
        <v>45735</v>
      </c>
      <c r="O402" s="12" t="n">
        <f aca="false">IF(F402="","",INT(F402))</f>
        <v>45735</v>
      </c>
    </row>
    <row r="403" customFormat="false" ht="15" hidden="false" customHeight="false" outlineLevel="0" collapsed="false">
      <c r="A403" s="0" t="s">
        <v>846</v>
      </c>
      <c r="B403" s="0" t="s">
        <v>847</v>
      </c>
      <c r="C403" s="0" t="s">
        <v>21</v>
      </c>
      <c r="D403" s="0" t="s">
        <v>42</v>
      </c>
      <c r="E403" s="10" t="n">
        <v>45735.4756944445</v>
      </c>
      <c r="F403" s="10" t="n">
        <v>45735.9930555556</v>
      </c>
      <c r="G403" s="0" t="n">
        <v>1577.88</v>
      </c>
      <c r="H403" s="0" t="n">
        <v>1573.13</v>
      </c>
      <c r="I403" s="11" t="n">
        <f aca="false">H403-G403</f>
        <v>-4.75</v>
      </c>
      <c r="J403" s="5" t="n">
        <f aca="false">IF(G403=0,"",I403/G403)</f>
        <v>-0.00301036834233275</v>
      </c>
      <c r="K403" s="0" t="n">
        <v>413.1</v>
      </c>
      <c r="L403" s="0" t="n">
        <v>12.42</v>
      </c>
      <c r="M403" s="11" t="s">
        <v>43</v>
      </c>
      <c r="N403" s="12" t="n">
        <f aca="false">INT(E403)</f>
        <v>45735</v>
      </c>
      <c r="O403" s="12" t="n">
        <f aca="false">IF(F403="","",INT(F403))</f>
        <v>45735</v>
      </c>
    </row>
    <row r="404" customFormat="false" ht="15" hidden="false" customHeight="false" outlineLevel="0" collapsed="false">
      <c r="A404" s="0" t="s">
        <v>848</v>
      </c>
      <c r="B404" s="0" t="s">
        <v>849</v>
      </c>
      <c r="C404" s="0" t="s">
        <v>22</v>
      </c>
      <c r="D404" s="0" t="s">
        <v>42</v>
      </c>
      <c r="E404" s="10" t="n">
        <v>45735.4826388889</v>
      </c>
      <c r="F404" s="10" t="n">
        <v>45735.8159722222</v>
      </c>
      <c r="G404" s="0" t="n">
        <v>177.34</v>
      </c>
      <c r="H404" s="0" t="n">
        <v>173.98</v>
      </c>
      <c r="I404" s="11" t="n">
        <f aca="false">H404-G404</f>
        <v>-3.36000000000001</v>
      </c>
      <c r="J404" s="5" t="n">
        <f aca="false">IF(G404=0,"",I404/G404)</f>
        <v>-0.0189466561407467</v>
      </c>
      <c r="K404" s="0" t="n">
        <v>37.1</v>
      </c>
      <c r="L404" s="0" t="n">
        <v>8</v>
      </c>
      <c r="M404" s="11" t="s">
        <v>43</v>
      </c>
      <c r="N404" s="12" t="n">
        <f aca="false">INT(E404)</f>
        <v>45735</v>
      </c>
      <c r="O404" s="12" t="n">
        <f aca="false">IF(F404="","",INT(F404))</f>
        <v>45735</v>
      </c>
    </row>
    <row r="405" customFormat="false" ht="15" hidden="false" customHeight="false" outlineLevel="0" collapsed="false">
      <c r="A405" s="0" t="s">
        <v>850</v>
      </c>
      <c r="B405" s="0" t="s">
        <v>851</v>
      </c>
      <c r="C405" s="0" t="s">
        <v>19</v>
      </c>
      <c r="D405" s="0" t="s">
        <v>42</v>
      </c>
      <c r="E405" s="10" t="n">
        <v>45735.5215277778</v>
      </c>
      <c r="F405" s="10" t="n">
        <v>45736.2737384259</v>
      </c>
      <c r="G405" s="0" t="n">
        <v>154.91</v>
      </c>
      <c r="H405" s="0" t="n">
        <v>156.27</v>
      </c>
      <c r="I405" s="11" t="n">
        <f aca="false">H405-G405</f>
        <v>1.36000000000001</v>
      </c>
      <c r="J405" s="5" t="n">
        <f aca="false">IF(G405=0,"",I405/G405)</f>
        <v>0.0087792912013428</v>
      </c>
      <c r="K405" s="0" t="n">
        <v>21.1</v>
      </c>
      <c r="L405" s="0" t="n">
        <v>18.05</v>
      </c>
      <c r="M405" s="11" t="s">
        <v>43</v>
      </c>
      <c r="N405" s="12" t="n">
        <f aca="false">INT(E405)</f>
        <v>45735</v>
      </c>
      <c r="O405" s="12" t="n">
        <f aca="false">IF(F405="","",INT(F405))</f>
        <v>45736</v>
      </c>
    </row>
    <row r="406" customFormat="false" ht="15" hidden="false" customHeight="false" outlineLevel="0" collapsed="false">
      <c r="A406" s="0" t="s">
        <v>852</v>
      </c>
      <c r="B406" s="0" t="s">
        <v>853</v>
      </c>
      <c r="C406" s="0" t="s">
        <v>24</v>
      </c>
      <c r="D406" s="0" t="s">
        <v>42</v>
      </c>
      <c r="E406" s="10" t="n">
        <v>45735.5277777778</v>
      </c>
      <c r="F406" s="10" t="n">
        <v>45739.3340277778</v>
      </c>
      <c r="G406" s="0" t="n">
        <v>352.66</v>
      </c>
      <c r="H406" s="0" t="n">
        <v>367.86</v>
      </c>
      <c r="I406" s="11" t="n">
        <f aca="false">H406-G406</f>
        <v>15.2</v>
      </c>
      <c r="J406" s="5" t="n">
        <f aca="false">IF(G406=0,"",I406/G406)</f>
        <v>0.0431010037996937</v>
      </c>
      <c r="K406" s="0" t="n">
        <v>118.6</v>
      </c>
      <c r="L406" s="0" t="n">
        <v>59.33</v>
      </c>
      <c r="M406" s="11" t="s">
        <v>43</v>
      </c>
      <c r="N406" s="12" t="n">
        <f aca="false">INT(E406)</f>
        <v>45735</v>
      </c>
      <c r="O406" s="12" t="n">
        <f aca="false">IF(F406="","",INT(F406))</f>
        <v>45739</v>
      </c>
    </row>
    <row r="407" customFormat="false" ht="15" hidden="false" customHeight="false" outlineLevel="0" collapsed="false">
      <c r="A407" s="0" t="s">
        <v>854</v>
      </c>
      <c r="B407" s="0" t="s">
        <v>855</v>
      </c>
      <c r="C407" s="0" t="s">
        <v>23</v>
      </c>
      <c r="D407" s="0" t="s">
        <v>42</v>
      </c>
      <c r="E407" s="10" t="n">
        <v>45735.5298611111</v>
      </c>
      <c r="F407" s="10" t="n">
        <v>45736.0652777778</v>
      </c>
      <c r="G407" s="0" t="n">
        <v>245.95</v>
      </c>
      <c r="H407" s="0" t="n">
        <v>244.05</v>
      </c>
      <c r="I407" s="11" t="n">
        <f aca="false">H407-G407</f>
        <v>-1.89999999999998</v>
      </c>
      <c r="J407" s="5" t="n">
        <f aca="false">IF(G407=0,"",I407/G407)</f>
        <v>-0.00772514738768033</v>
      </c>
      <c r="K407" s="0" t="n">
        <v>58.7</v>
      </c>
      <c r="L407" s="0" t="n">
        <v>12.85</v>
      </c>
      <c r="M407" s="11" t="s">
        <v>43</v>
      </c>
      <c r="N407" s="12" t="n">
        <f aca="false">INT(E407)</f>
        <v>45735</v>
      </c>
      <c r="O407" s="12" t="n">
        <f aca="false">IF(F407="","",INT(F407))</f>
        <v>45736</v>
      </c>
    </row>
    <row r="408" customFormat="false" ht="15" hidden="false" customHeight="false" outlineLevel="0" collapsed="false">
      <c r="A408" s="0" t="s">
        <v>856</v>
      </c>
      <c r="B408" s="0" t="s">
        <v>857</v>
      </c>
      <c r="C408" s="0" t="s">
        <v>23</v>
      </c>
      <c r="D408" s="0" t="s">
        <v>303</v>
      </c>
      <c r="E408" s="10" t="n">
        <v>45735.5423611111</v>
      </c>
      <c r="F408" s="10"/>
      <c r="G408" s="0" t="n">
        <v>102.7</v>
      </c>
      <c r="H408" s="0" t="n">
        <v>100.4</v>
      </c>
      <c r="I408" s="11" t="n">
        <f aca="false">H408-G408</f>
        <v>-2.3</v>
      </c>
      <c r="J408" s="5" t="n">
        <f aca="false">IF(G408=0,"",I408/G408)</f>
        <v>-0.0223953261927945</v>
      </c>
      <c r="K408" s="0" t="n">
        <v>45.2</v>
      </c>
      <c r="M408" s="11" t="s">
        <v>43</v>
      </c>
      <c r="N408" s="12" t="n">
        <f aca="false">INT(E408)</f>
        <v>45735</v>
      </c>
      <c r="O408" s="12" t="str">
        <f aca="false">IF(F408="","",INT(F408))</f>
        <v/>
      </c>
    </row>
    <row r="409" customFormat="false" ht="15" hidden="false" customHeight="false" outlineLevel="0" collapsed="false">
      <c r="A409" s="0" t="s">
        <v>858</v>
      </c>
      <c r="B409" s="0" t="s">
        <v>859</v>
      </c>
      <c r="C409" s="0" t="s">
        <v>19</v>
      </c>
      <c r="D409" s="0" t="s">
        <v>42</v>
      </c>
      <c r="E409" s="10" t="n">
        <v>45735.5680555556</v>
      </c>
      <c r="F409" s="10" t="n">
        <v>45736.6333333333</v>
      </c>
      <c r="G409" s="0" t="n">
        <v>582.01</v>
      </c>
      <c r="H409" s="0" t="n">
        <v>573.96</v>
      </c>
      <c r="I409" s="11" t="n">
        <f aca="false">H409-G409</f>
        <v>-8.04999999999996</v>
      </c>
      <c r="J409" s="5" t="n">
        <f aca="false">IF(G409=0,"",I409/G409)</f>
        <v>-0.013831377467741</v>
      </c>
      <c r="K409" s="0" t="n">
        <v>77.2</v>
      </c>
      <c r="L409" s="0" t="n">
        <v>25.57</v>
      </c>
      <c r="M409" s="11" t="s">
        <v>43</v>
      </c>
      <c r="N409" s="12" t="n">
        <f aca="false">INT(E409)</f>
        <v>45735</v>
      </c>
      <c r="O409" s="12" t="n">
        <f aca="false">IF(F409="","",INT(F409))</f>
        <v>45736</v>
      </c>
    </row>
    <row r="410" customFormat="false" ht="15" hidden="false" customHeight="false" outlineLevel="0" collapsed="false">
      <c r="A410" s="0" t="s">
        <v>860</v>
      </c>
      <c r="B410" s="0" t="s">
        <v>861</v>
      </c>
      <c r="C410" s="0" t="s">
        <v>20</v>
      </c>
      <c r="D410" s="0" t="s">
        <v>42</v>
      </c>
      <c r="E410" s="10" t="n">
        <v>45735.5743055556</v>
      </c>
      <c r="F410" s="10" t="n">
        <v>45736.6297800926</v>
      </c>
      <c r="G410" s="0" t="n">
        <v>237.7</v>
      </c>
      <c r="H410" s="0" t="n">
        <v>236.38</v>
      </c>
      <c r="I410" s="11" t="n">
        <f aca="false">H410-G410</f>
        <v>-1.31999999999999</v>
      </c>
      <c r="J410" s="5" t="n">
        <f aca="false">IF(G410=0,"",I410/G410)</f>
        <v>-0.00555321834244844</v>
      </c>
      <c r="K410" s="0" t="n">
        <v>24.8</v>
      </c>
      <c r="L410" s="0" t="n">
        <v>25.33</v>
      </c>
      <c r="M410" s="11" t="s">
        <v>43</v>
      </c>
      <c r="N410" s="12" t="n">
        <f aca="false">INT(E410)</f>
        <v>45735</v>
      </c>
      <c r="O410" s="12" t="n">
        <f aca="false">IF(F410="","",INT(F410))</f>
        <v>45736</v>
      </c>
    </row>
    <row r="411" customFormat="false" ht="15" hidden="false" customHeight="false" outlineLevel="0" collapsed="false">
      <c r="A411" s="0" t="s">
        <v>862</v>
      </c>
      <c r="B411" s="0" t="s">
        <v>863</v>
      </c>
      <c r="C411" s="0" t="s">
        <v>23</v>
      </c>
      <c r="D411" s="0" t="s">
        <v>42</v>
      </c>
      <c r="E411" s="10" t="n">
        <v>45735.5791666667</v>
      </c>
      <c r="F411" s="10" t="n">
        <v>45735.8673611111</v>
      </c>
      <c r="G411" s="0" t="n">
        <v>444.37</v>
      </c>
      <c r="H411" s="0" t="n">
        <v>456.18</v>
      </c>
      <c r="I411" s="11" t="n">
        <f aca="false">H411-G411</f>
        <v>11.81</v>
      </c>
      <c r="J411" s="5" t="n">
        <f aca="false">IF(G411=0,"",I411/G411)</f>
        <v>0.0265769516393996</v>
      </c>
      <c r="K411" s="0" t="n">
        <v>101.6</v>
      </c>
      <c r="L411" s="0" t="n">
        <v>6.92</v>
      </c>
      <c r="M411" s="11" t="s">
        <v>43</v>
      </c>
      <c r="N411" s="12" t="n">
        <f aca="false">INT(E411)</f>
        <v>45735</v>
      </c>
      <c r="O411" s="12" t="n">
        <f aca="false">IF(F411="","",INT(F411))</f>
        <v>45735</v>
      </c>
    </row>
    <row r="412" customFormat="false" ht="15" hidden="false" customHeight="false" outlineLevel="0" collapsed="false">
      <c r="A412" s="0" t="s">
        <v>864</v>
      </c>
      <c r="B412" s="0" t="s">
        <v>865</v>
      </c>
      <c r="C412" s="0" t="s">
        <v>20</v>
      </c>
      <c r="D412" s="0" t="s">
        <v>42</v>
      </c>
      <c r="E412" s="10" t="n">
        <v>45735.6020833333</v>
      </c>
      <c r="F412" s="10" t="n">
        <v>45736.1655092593</v>
      </c>
      <c r="G412" s="0" t="n">
        <v>459.61</v>
      </c>
      <c r="H412" s="0" t="n">
        <v>465.6</v>
      </c>
      <c r="I412" s="11" t="n">
        <f aca="false">H412-G412</f>
        <v>5.99000000000001</v>
      </c>
      <c r="J412" s="5" t="n">
        <f aca="false">IF(G412=0,"",I412/G412)</f>
        <v>0.0130327886686539</v>
      </c>
      <c r="K412" s="0" t="n">
        <v>81</v>
      </c>
      <c r="L412" s="0" t="n">
        <v>13.52</v>
      </c>
      <c r="M412" s="11" t="s">
        <v>43</v>
      </c>
      <c r="N412" s="12" t="n">
        <f aca="false">INT(E412)</f>
        <v>45735</v>
      </c>
      <c r="O412" s="12" t="n">
        <f aca="false">IF(F412="","",INT(F412))</f>
        <v>45736</v>
      </c>
    </row>
    <row r="413" customFormat="false" ht="15" hidden="false" customHeight="false" outlineLevel="0" collapsed="false">
      <c r="A413" s="0" t="s">
        <v>866</v>
      </c>
      <c r="B413" s="0" t="s">
        <v>867</v>
      </c>
      <c r="C413" s="0" t="s">
        <v>20</v>
      </c>
      <c r="D413" s="0" t="s">
        <v>42</v>
      </c>
      <c r="E413" s="10" t="n">
        <v>45735.6243055556</v>
      </c>
      <c r="F413" s="10" t="n">
        <v>45736.9354166667</v>
      </c>
      <c r="G413" s="0" t="n">
        <v>785.99</v>
      </c>
      <c r="H413" s="0" t="n">
        <v>781.52</v>
      </c>
      <c r="I413" s="11" t="n">
        <f aca="false">H413-G413</f>
        <v>-4.47000000000003</v>
      </c>
      <c r="J413" s="5" t="n">
        <f aca="false">IF(G413=0,"",I413/G413)</f>
        <v>-0.00568709525566487</v>
      </c>
      <c r="K413" s="0" t="n">
        <v>104.7</v>
      </c>
      <c r="L413" s="0" t="n">
        <v>31.47</v>
      </c>
      <c r="M413" s="11" t="s">
        <v>43</v>
      </c>
      <c r="N413" s="12" t="n">
        <f aca="false">INT(E413)</f>
        <v>45735</v>
      </c>
      <c r="O413" s="12" t="n">
        <f aca="false">IF(F413="","",INT(F413))</f>
        <v>45736</v>
      </c>
    </row>
    <row r="414" customFormat="false" ht="15" hidden="false" customHeight="false" outlineLevel="0" collapsed="false">
      <c r="A414" s="0" t="s">
        <v>868</v>
      </c>
      <c r="B414" s="0" t="s">
        <v>869</v>
      </c>
      <c r="C414" s="0" t="s">
        <v>21</v>
      </c>
      <c r="D414" s="0" t="s">
        <v>42</v>
      </c>
      <c r="E414" s="10" t="n">
        <v>45735.625</v>
      </c>
      <c r="F414" s="10" t="n">
        <v>45735.9014699074</v>
      </c>
      <c r="G414" s="0" t="n">
        <v>400.76</v>
      </c>
      <c r="H414" s="0" t="n">
        <v>401.19</v>
      </c>
      <c r="I414" s="11" t="n">
        <f aca="false">H414-G414</f>
        <v>0.430000000000007</v>
      </c>
      <c r="J414" s="5" t="n">
        <f aca="false">IF(G414=0,"",I414/G414)</f>
        <v>0.00107296137339058</v>
      </c>
      <c r="K414" s="0" t="n">
        <v>66.3</v>
      </c>
      <c r="L414" s="0" t="n">
        <v>6.64</v>
      </c>
      <c r="M414" s="11" t="s">
        <v>43</v>
      </c>
      <c r="N414" s="12" t="n">
        <f aca="false">INT(E414)</f>
        <v>45735</v>
      </c>
      <c r="O414" s="12" t="n">
        <f aca="false">IF(F414="","",INT(F414))</f>
        <v>45735</v>
      </c>
    </row>
    <row r="415" customFormat="false" ht="15" hidden="false" customHeight="false" outlineLevel="0" collapsed="false">
      <c r="A415" s="0" t="s">
        <v>870</v>
      </c>
      <c r="B415" s="0" t="s">
        <v>871</v>
      </c>
      <c r="C415" s="0" t="s">
        <v>23</v>
      </c>
      <c r="D415" s="0" t="s">
        <v>42</v>
      </c>
      <c r="E415" s="10" t="n">
        <v>45735.6270833333</v>
      </c>
      <c r="F415" s="10" t="n">
        <v>45736.7402777778</v>
      </c>
      <c r="G415" s="0" t="n">
        <v>222.44</v>
      </c>
      <c r="H415" s="0" t="n">
        <v>217.64</v>
      </c>
      <c r="I415" s="11" t="n">
        <f aca="false">H415-G415</f>
        <v>-4.80000000000001</v>
      </c>
      <c r="J415" s="5" t="n">
        <f aca="false">IF(G415=0,"",I415/G415)</f>
        <v>-0.0215788527243302</v>
      </c>
      <c r="K415" s="0" t="n">
        <v>56.3</v>
      </c>
      <c r="L415" s="0" t="n">
        <v>26.72</v>
      </c>
      <c r="M415" s="11" t="s">
        <v>43</v>
      </c>
      <c r="N415" s="12" t="n">
        <f aca="false">INT(E415)</f>
        <v>45735</v>
      </c>
      <c r="O415" s="12" t="n">
        <f aca="false">IF(F415="","",INT(F415))</f>
        <v>45736</v>
      </c>
    </row>
    <row r="416" customFormat="false" ht="15" hidden="false" customHeight="false" outlineLevel="0" collapsed="false">
      <c r="A416" s="0" t="s">
        <v>872</v>
      </c>
      <c r="B416" s="0" t="s">
        <v>873</v>
      </c>
      <c r="C416" s="0" t="s">
        <v>23</v>
      </c>
      <c r="D416" s="0" t="s">
        <v>42</v>
      </c>
      <c r="E416" s="10" t="n">
        <v>45735.6416666667</v>
      </c>
      <c r="F416" s="10" t="n">
        <v>45736.5645833333</v>
      </c>
      <c r="G416" s="0" t="n">
        <v>1333.32</v>
      </c>
      <c r="H416" s="0" t="n">
        <v>1336.37</v>
      </c>
      <c r="I416" s="11" t="n">
        <f aca="false">H416-G416</f>
        <v>3.04999999999995</v>
      </c>
      <c r="J416" s="5" t="n">
        <f aca="false">IF(G416=0,"",I416/G416)</f>
        <v>0.00228752287522872</v>
      </c>
      <c r="K416" s="0" t="n">
        <v>428.7</v>
      </c>
      <c r="L416" s="0" t="n">
        <v>22.15</v>
      </c>
      <c r="M416" s="11" t="s">
        <v>43</v>
      </c>
      <c r="N416" s="12" t="n">
        <f aca="false">INT(E416)</f>
        <v>45735</v>
      </c>
      <c r="O416" s="12" t="n">
        <f aca="false">IF(F416="","",INT(F416))</f>
        <v>45736</v>
      </c>
    </row>
    <row r="417" customFormat="false" ht="15" hidden="false" customHeight="false" outlineLevel="0" collapsed="false">
      <c r="A417" s="0" t="s">
        <v>874</v>
      </c>
      <c r="B417" s="0" t="s">
        <v>875</v>
      </c>
      <c r="C417" s="0" t="s">
        <v>24</v>
      </c>
      <c r="D417" s="0" t="s">
        <v>42</v>
      </c>
      <c r="E417" s="10" t="n">
        <v>45735.6465277778</v>
      </c>
      <c r="F417" s="10" t="n">
        <v>45736.8826388889</v>
      </c>
      <c r="G417" s="0" t="n">
        <v>165.55</v>
      </c>
      <c r="H417" s="0" t="n">
        <v>173.8</v>
      </c>
      <c r="I417" s="11" t="n">
        <f aca="false">H417-G417</f>
        <v>8.25</v>
      </c>
      <c r="J417" s="5" t="n">
        <f aca="false">IF(G417=0,"",I417/G417)</f>
        <v>0.0498338870431894</v>
      </c>
      <c r="K417" s="0" t="n">
        <v>55.6</v>
      </c>
      <c r="L417" s="0" t="n">
        <v>29.67</v>
      </c>
      <c r="M417" s="11" t="s">
        <v>43</v>
      </c>
      <c r="N417" s="12" t="n">
        <f aca="false">INT(E417)</f>
        <v>45735</v>
      </c>
      <c r="O417" s="12" t="n">
        <f aca="false">IF(F417="","",INT(F417))</f>
        <v>45736</v>
      </c>
    </row>
    <row r="418" customFormat="false" ht="15" hidden="false" customHeight="false" outlineLevel="0" collapsed="false">
      <c r="A418" s="0" t="s">
        <v>876</v>
      </c>
      <c r="B418" s="0" t="s">
        <v>877</v>
      </c>
      <c r="C418" s="0" t="s">
        <v>19</v>
      </c>
      <c r="D418" s="0" t="s">
        <v>42</v>
      </c>
      <c r="E418" s="10" t="n">
        <v>45735.6638888889</v>
      </c>
      <c r="F418" s="10" t="n">
        <v>45736.2986111111</v>
      </c>
      <c r="G418" s="0" t="n">
        <v>1182.42</v>
      </c>
      <c r="H418" s="0" t="n">
        <v>1178.51</v>
      </c>
      <c r="I418" s="11" t="n">
        <f aca="false">H418-G418</f>
        <v>-3.91000000000008</v>
      </c>
      <c r="J418" s="5" t="n">
        <f aca="false">IF(G418=0,"",I418/G418)</f>
        <v>-0.00330677762554767</v>
      </c>
      <c r="K418" s="0" t="n">
        <v>217.7</v>
      </c>
      <c r="L418" s="0" t="n">
        <v>15.23</v>
      </c>
      <c r="M418" s="11" t="s">
        <v>43</v>
      </c>
      <c r="N418" s="12" t="n">
        <f aca="false">INT(E418)</f>
        <v>45735</v>
      </c>
      <c r="O418" s="12" t="n">
        <f aca="false">IF(F418="","",INT(F418))</f>
        <v>45736</v>
      </c>
    </row>
    <row r="419" customFormat="false" ht="15" hidden="false" customHeight="false" outlineLevel="0" collapsed="false">
      <c r="A419" s="0" t="s">
        <v>878</v>
      </c>
      <c r="B419" s="0" t="s">
        <v>879</v>
      </c>
      <c r="C419" s="0" t="s">
        <v>23</v>
      </c>
      <c r="D419" s="0" t="s">
        <v>42</v>
      </c>
      <c r="E419" s="10" t="n">
        <v>45735.66875</v>
      </c>
      <c r="F419" s="10" t="n">
        <v>45737.6585763889</v>
      </c>
      <c r="G419" s="0" t="n">
        <v>412.37</v>
      </c>
      <c r="H419" s="0" t="n">
        <v>413.57</v>
      </c>
      <c r="I419" s="11" t="n">
        <f aca="false">H419-G419</f>
        <v>1.19999999999999</v>
      </c>
      <c r="J419" s="5" t="n">
        <f aca="false">IF(G419=0,"",I419/G419)</f>
        <v>0.00291000800252198</v>
      </c>
      <c r="K419" s="0" t="n">
        <v>119.6</v>
      </c>
      <c r="L419" s="0" t="n">
        <v>47.76</v>
      </c>
      <c r="M419" s="11" t="s">
        <v>43</v>
      </c>
      <c r="N419" s="12" t="n">
        <f aca="false">INT(E419)</f>
        <v>45735</v>
      </c>
      <c r="O419" s="12" t="n">
        <f aca="false">IF(F419="","",INT(F419))</f>
        <v>45737</v>
      </c>
    </row>
    <row r="420" customFormat="false" ht="15" hidden="false" customHeight="false" outlineLevel="0" collapsed="false">
      <c r="A420" s="0" t="s">
        <v>880</v>
      </c>
      <c r="B420" s="0" t="s">
        <v>881</v>
      </c>
      <c r="C420" s="0" t="s">
        <v>20</v>
      </c>
      <c r="D420" s="0" t="s">
        <v>42</v>
      </c>
      <c r="E420" s="10" t="n">
        <v>45735.675</v>
      </c>
      <c r="F420" s="10" t="n">
        <v>45736.1763888889</v>
      </c>
      <c r="G420" s="0" t="n">
        <v>434.45</v>
      </c>
      <c r="H420" s="0" t="n">
        <v>413.86</v>
      </c>
      <c r="I420" s="11" t="n">
        <f aca="false">H420-G420</f>
        <v>-20.59</v>
      </c>
      <c r="J420" s="5" t="n">
        <f aca="false">IF(G420=0,"",I420/G420)</f>
        <v>-0.0473932558407181</v>
      </c>
      <c r="K420" s="0" t="n">
        <v>92.5</v>
      </c>
      <c r="L420" s="0" t="n">
        <v>12.03</v>
      </c>
      <c r="M420" s="11" t="s">
        <v>43</v>
      </c>
      <c r="N420" s="12" t="n">
        <f aca="false">INT(E420)</f>
        <v>45735</v>
      </c>
      <c r="O420" s="12" t="n">
        <f aca="false">IF(F420="","",INT(F420))</f>
        <v>45736</v>
      </c>
    </row>
    <row r="421" customFormat="false" ht="15" hidden="false" customHeight="false" outlineLevel="0" collapsed="false">
      <c r="A421" s="0" t="s">
        <v>882</v>
      </c>
      <c r="B421" s="0" t="s">
        <v>883</v>
      </c>
      <c r="C421" s="0" t="s">
        <v>21</v>
      </c>
      <c r="D421" s="0" t="s">
        <v>42</v>
      </c>
      <c r="E421" s="10" t="n">
        <v>45735.6826388889</v>
      </c>
      <c r="F421" s="10" t="n">
        <v>45736.1186458333</v>
      </c>
      <c r="G421" s="0" t="n">
        <v>1328.11</v>
      </c>
      <c r="H421" s="0" t="n">
        <v>1375.93</v>
      </c>
      <c r="I421" s="11" t="n">
        <f aca="false">H421-G421</f>
        <v>47.8200000000002</v>
      </c>
      <c r="J421" s="5" t="n">
        <f aca="false">IF(G421=0,"",I421/G421)</f>
        <v>0.0360060537154303</v>
      </c>
      <c r="K421" s="0" t="n">
        <v>326.6</v>
      </c>
      <c r="L421" s="0" t="n">
        <v>10.46</v>
      </c>
      <c r="M421" s="11" t="s">
        <v>43</v>
      </c>
      <c r="N421" s="12" t="n">
        <f aca="false">INT(E421)</f>
        <v>45735</v>
      </c>
      <c r="O421" s="12" t="n">
        <f aca="false">IF(F421="","",INT(F421))</f>
        <v>45736</v>
      </c>
    </row>
    <row r="422" customFormat="false" ht="15" hidden="false" customHeight="false" outlineLevel="0" collapsed="false">
      <c r="A422" s="0" t="s">
        <v>884</v>
      </c>
      <c r="B422" s="0" t="s">
        <v>885</v>
      </c>
      <c r="C422" s="0" t="s">
        <v>23</v>
      </c>
      <c r="D422" s="0" t="s">
        <v>42</v>
      </c>
      <c r="E422" s="10" t="n">
        <v>45735.6958333333</v>
      </c>
      <c r="F422" s="10" t="n">
        <v>45736.3654513889</v>
      </c>
      <c r="G422" s="0" t="n">
        <v>155.35</v>
      </c>
      <c r="H422" s="0" t="n">
        <v>151.51</v>
      </c>
      <c r="I422" s="11" t="n">
        <f aca="false">H422-G422</f>
        <v>-3.84</v>
      </c>
      <c r="J422" s="5" t="n">
        <f aca="false">IF(G422=0,"",I422/G422)</f>
        <v>-0.0247183778564532</v>
      </c>
      <c r="K422" s="0" t="n">
        <v>36.1</v>
      </c>
      <c r="L422" s="0" t="n">
        <v>16.07</v>
      </c>
      <c r="M422" s="11" t="s">
        <v>43</v>
      </c>
      <c r="N422" s="12" t="n">
        <f aca="false">INT(E422)</f>
        <v>45735</v>
      </c>
      <c r="O422" s="12" t="n">
        <f aca="false">IF(F422="","",INT(F422))</f>
        <v>45736</v>
      </c>
    </row>
    <row r="423" customFormat="false" ht="15" hidden="false" customHeight="false" outlineLevel="0" collapsed="false">
      <c r="A423" s="0" t="s">
        <v>886</v>
      </c>
      <c r="B423" s="0" t="s">
        <v>887</v>
      </c>
      <c r="C423" s="0" t="s">
        <v>21</v>
      </c>
      <c r="D423" s="0" t="s">
        <v>42</v>
      </c>
      <c r="E423" s="10" t="n">
        <v>45735.7034722222</v>
      </c>
      <c r="F423" s="10" t="n">
        <v>45736.700625</v>
      </c>
      <c r="G423" s="0" t="n">
        <v>992.71</v>
      </c>
      <c r="H423" s="0" t="n">
        <v>973.9</v>
      </c>
      <c r="I423" s="11" t="n">
        <f aca="false">H423-G423</f>
        <v>-18.8100000000001</v>
      </c>
      <c r="J423" s="5" t="n">
        <f aca="false">IF(G423=0,"",I423/G423)</f>
        <v>-0.0189481318814156</v>
      </c>
      <c r="K423" s="0" t="n">
        <v>161.7</v>
      </c>
      <c r="L423" s="0" t="n">
        <v>23.93</v>
      </c>
      <c r="M423" s="11" t="s">
        <v>43</v>
      </c>
      <c r="N423" s="12" t="n">
        <f aca="false">INT(E423)</f>
        <v>45735</v>
      </c>
      <c r="O423" s="12" t="n">
        <f aca="false">IF(F423="","",INT(F423))</f>
        <v>45736</v>
      </c>
    </row>
    <row r="424" customFormat="false" ht="15" hidden="false" customHeight="false" outlineLevel="0" collapsed="false">
      <c r="A424" s="0" t="s">
        <v>888</v>
      </c>
      <c r="B424" s="0" t="s">
        <v>889</v>
      </c>
      <c r="C424" s="0" t="s">
        <v>24</v>
      </c>
      <c r="D424" s="0" t="s">
        <v>42</v>
      </c>
      <c r="E424" s="10" t="n">
        <v>45735.7048611111</v>
      </c>
      <c r="F424" s="10" t="n">
        <v>45737.3236111111</v>
      </c>
      <c r="G424" s="0" t="n">
        <v>370.69</v>
      </c>
      <c r="H424" s="0" t="n">
        <v>368.82</v>
      </c>
      <c r="I424" s="11" t="n">
        <f aca="false">H424-G424</f>
        <v>-1.87</v>
      </c>
      <c r="J424" s="5" t="n">
        <f aca="false">IF(G424=0,"",I424/G424)</f>
        <v>-0.00504464647009632</v>
      </c>
      <c r="K424" s="0" t="n">
        <v>127.8</v>
      </c>
      <c r="L424" s="0" t="n">
        <v>38.85</v>
      </c>
      <c r="M424" s="11" t="s">
        <v>43</v>
      </c>
      <c r="N424" s="12" t="n">
        <f aca="false">INT(E424)</f>
        <v>45735</v>
      </c>
      <c r="O424" s="12" t="n">
        <f aca="false">IF(F424="","",INT(F424))</f>
        <v>45737</v>
      </c>
    </row>
    <row r="425" customFormat="false" ht="15" hidden="false" customHeight="false" outlineLevel="0" collapsed="false">
      <c r="A425" s="0" t="s">
        <v>890</v>
      </c>
      <c r="B425" s="0" t="s">
        <v>891</v>
      </c>
      <c r="C425" s="0" t="s">
        <v>20</v>
      </c>
      <c r="D425" s="0" t="s">
        <v>42</v>
      </c>
      <c r="E425" s="10" t="n">
        <v>45735.7104166667</v>
      </c>
      <c r="F425" s="10" t="n">
        <v>45736.7167939815</v>
      </c>
      <c r="G425" s="0" t="n">
        <v>171.51</v>
      </c>
      <c r="H425" s="0" t="n">
        <v>172.36</v>
      </c>
      <c r="I425" s="11" t="n">
        <f aca="false">H425-G425</f>
        <v>0.850000000000023</v>
      </c>
      <c r="J425" s="5" t="n">
        <f aca="false">IF(G425=0,"",I425/G425)</f>
        <v>0.00495597924319295</v>
      </c>
      <c r="K425" s="0" t="n">
        <v>27.5</v>
      </c>
      <c r="L425" s="0" t="n">
        <v>24.15</v>
      </c>
      <c r="M425" s="11" t="s">
        <v>43</v>
      </c>
      <c r="N425" s="12" t="n">
        <f aca="false">INT(E425)</f>
        <v>45735</v>
      </c>
      <c r="O425" s="12" t="n">
        <f aca="false">IF(F425="","",INT(F425))</f>
        <v>45736</v>
      </c>
    </row>
    <row r="426" customFormat="false" ht="15" hidden="false" customHeight="false" outlineLevel="0" collapsed="false">
      <c r="A426" s="0" t="s">
        <v>892</v>
      </c>
      <c r="B426" s="0" t="s">
        <v>893</v>
      </c>
      <c r="C426" s="0" t="s">
        <v>24</v>
      </c>
      <c r="D426" s="0" t="s">
        <v>42</v>
      </c>
      <c r="E426" s="10" t="n">
        <v>45735.7131944444</v>
      </c>
      <c r="F426" s="10" t="n">
        <v>45738.166724537</v>
      </c>
      <c r="G426" s="0" t="n">
        <v>153.21</v>
      </c>
      <c r="H426" s="0" t="n">
        <v>155.16</v>
      </c>
      <c r="I426" s="11" t="n">
        <f aca="false">H426-G426</f>
        <v>1.94999999999999</v>
      </c>
      <c r="J426" s="5" t="n">
        <f aca="false">IF(G426=0,"",I426/G426)</f>
        <v>0.0127276287448599</v>
      </c>
      <c r="K426" s="0" t="n">
        <v>60.8</v>
      </c>
      <c r="L426" s="0" t="n">
        <v>54.88</v>
      </c>
      <c r="M426" s="11" t="s">
        <v>43</v>
      </c>
      <c r="N426" s="12" t="n">
        <f aca="false">INT(E426)</f>
        <v>45735</v>
      </c>
      <c r="O426" s="12" t="n">
        <f aca="false">IF(F426="","",INT(F426))</f>
        <v>45738</v>
      </c>
    </row>
    <row r="427" customFormat="false" ht="15" hidden="false" customHeight="false" outlineLevel="0" collapsed="false">
      <c r="A427" s="0" t="s">
        <v>894</v>
      </c>
      <c r="B427" s="0" t="s">
        <v>895</v>
      </c>
      <c r="C427" s="0" t="s">
        <v>22</v>
      </c>
      <c r="D427" s="0" t="s">
        <v>42</v>
      </c>
      <c r="E427" s="10" t="n">
        <v>45735.7145833333</v>
      </c>
      <c r="F427" s="10" t="n">
        <v>45736.4708333333</v>
      </c>
      <c r="G427" s="0" t="n">
        <v>343.33</v>
      </c>
      <c r="H427" s="0" t="n">
        <v>335.79</v>
      </c>
      <c r="I427" s="11" t="n">
        <f aca="false">H427-G427</f>
        <v>-7.53999999999996</v>
      </c>
      <c r="J427" s="5" t="n">
        <f aca="false">IF(G427=0,"",I427/G427)</f>
        <v>-0.0219613782658083</v>
      </c>
      <c r="K427" s="0" t="n">
        <v>36.7</v>
      </c>
      <c r="L427" s="0" t="n">
        <v>18.15</v>
      </c>
      <c r="M427" s="11" t="s">
        <v>43</v>
      </c>
      <c r="N427" s="12" t="n">
        <f aca="false">INT(E427)</f>
        <v>45735</v>
      </c>
      <c r="O427" s="12" t="n">
        <f aca="false">IF(F427="","",INT(F427))</f>
        <v>45736</v>
      </c>
    </row>
    <row r="428" customFormat="false" ht="15" hidden="false" customHeight="false" outlineLevel="0" collapsed="false">
      <c r="A428" s="0" t="s">
        <v>896</v>
      </c>
      <c r="B428" s="0" t="s">
        <v>897</v>
      </c>
      <c r="C428" s="0" t="s">
        <v>23</v>
      </c>
      <c r="D428" s="0" t="s">
        <v>42</v>
      </c>
      <c r="E428" s="10" t="n">
        <v>45735.7375</v>
      </c>
      <c r="F428" s="10" t="n">
        <v>45736.95625</v>
      </c>
      <c r="G428" s="0" t="n">
        <v>351.46</v>
      </c>
      <c r="H428" s="0" t="n">
        <v>349.88</v>
      </c>
      <c r="I428" s="11" t="n">
        <f aca="false">H428-G428</f>
        <v>-1.57999999999998</v>
      </c>
      <c r="J428" s="5" t="n">
        <f aca="false">IF(G428=0,"",I428/G428)</f>
        <v>-0.00449553291982013</v>
      </c>
      <c r="K428" s="0" t="n">
        <v>80.5</v>
      </c>
      <c r="L428" s="0" t="n">
        <v>29.25</v>
      </c>
      <c r="M428" s="11" t="s">
        <v>43</v>
      </c>
      <c r="N428" s="12" t="n">
        <f aca="false">INT(E428)</f>
        <v>45735</v>
      </c>
      <c r="O428" s="12" t="n">
        <f aca="false">IF(F428="","",INT(F428))</f>
        <v>45736</v>
      </c>
    </row>
    <row r="429" customFormat="false" ht="15" hidden="false" customHeight="false" outlineLevel="0" collapsed="false">
      <c r="A429" s="0" t="s">
        <v>898</v>
      </c>
      <c r="B429" s="0" t="s">
        <v>899</v>
      </c>
      <c r="C429" s="0" t="s">
        <v>23</v>
      </c>
      <c r="D429" s="0" t="s">
        <v>42</v>
      </c>
      <c r="E429" s="10" t="n">
        <v>45735.7388888889</v>
      </c>
      <c r="F429" s="10" t="n">
        <v>45737.3805555556</v>
      </c>
      <c r="G429" s="0" t="n">
        <v>210.21</v>
      </c>
      <c r="H429" s="0" t="n">
        <v>231.86</v>
      </c>
      <c r="I429" s="11" t="n">
        <f aca="false">H429-G429</f>
        <v>21.65</v>
      </c>
      <c r="J429" s="5" t="n">
        <f aca="false">IF(G429=0,"",I429/G429)</f>
        <v>0.102992245849389</v>
      </c>
      <c r="K429" s="0" t="n">
        <v>45</v>
      </c>
      <c r="L429" s="0" t="n">
        <v>39.4</v>
      </c>
      <c r="M429" s="11" t="s">
        <v>43</v>
      </c>
      <c r="N429" s="12" t="n">
        <f aca="false">INT(E429)</f>
        <v>45735</v>
      </c>
      <c r="O429" s="12" t="n">
        <f aca="false">IF(F429="","",INT(F429))</f>
        <v>45737</v>
      </c>
    </row>
    <row r="430" customFormat="false" ht="15" hidden="false" customHeight="false" outlineLevel="0" collapsed="false">
      <c r="A430" s="0" t="s">
        <v>900</v>
      </c>
      <c r="B430" s="0" t="s">
        <v>901</v>
      </c>
      <c r="C430" s="0" t="s">
        <v>21</v>
      </c>
      <c r="D430" s="0" t="s">
        <v>42</v>
      </c>
      <c r="E430" s="10" t="n">
        <v>45735.7541666667</v>
      </c>
      <c r="F430" s="10" t="n">
        <v>45737.7465277778</v>
      </c>
      <c r="G430" s="0" t="n">
        <v>465.2</v>
      </c>
      <c r="H430" s="0" t="n">
        <v>477.61</v>
      </c>
      <c r="I430" s="11" t="n">
        <f aca="false">H430-G430</f>
        <v>12.41</v>
      </c>
      <c r="J430" s="5" t="n">
        <f aca="false">IF(G430=0,"",I430/G430)</f>
        <v>0.0266766981943251</v>
      </c>
      <c r="K430" s="0" t="n">
        <v>58</v>
      </c>
      <c r="L430" s="0" t="n">
        <v>47.82</v>
      </c>
      <c r="M430" s="11" t="s">
        <v>43</v>
      </c>
      <c r="N430" s="12" t="n">
        <f aca="false">INT(E430)</f>
        <v>45735</v>
      </c>
      <c r="O430" s="12" t="n">
        <f aca="false">IF(F430="","",INT(F430))</f>
        <v>45737</v>
      </c>
    </row>
    <row r="431" customFormat="false" ht="15" hidden="false" customHeight="false" outlineLevel="0" collapsed="false">
      <c r="A431" s="0" t="s">
        <v>902</v>
      </c>
      <c r="B431" s="0" t="s">
        <v>903</v>
      </c>
      <c r="C431" s="0" t="s">
        <v>22</v>
      </c>
      <c r="D431" s="0" t="s">
        <v>42</v>
      </c>
      <c r="E431" s="10" t="n">
        <v>45735.7840277778</v>
      </c>
      <c r="F431" s="10" t="n">
        <v>45736.3305555556</v>
      </c>
      <c r="G431" s="0" t="n">
        <v>594.38</v>
      </c>
      <c r="H431" s="0" t="n">
        <v>595.25</v>
      </c>
      <c r="I431" s="11" t="n">
        <f aca="false">H431-G431</f>
        <v>0.870000000000005</v>
      </c>
      <c r="J431" s="5" t="n">
        <f aca="false">IF(G431=0,"",I431/G431)</f>
        <v>0.00146371008445776</v>
      </c>
      <c r="K431" s="0" t="n">
        <v>62.6</v>
      </c>
      <c r="L431" s="0" t="n">
        <v>13.12</v>
      </c>
      <c r="M431" s="11" t="s">
        <v>43</v>
      </c>
      <c r="N431" s="12" t="n">
        <f aca="false">INT(E431)</f>
        <v>45735</v>
      </c>
      <c r="O431" s="12" t="n">
        <f aca="false">IF(F431="","",INT(F431))</f>
        <v>45736</v>
      </c>
    </row>
    <row r="432" customFormat="false" ht="15" hidden="false" customHeight="false" outlineLevel="0" collapsed="false">
      <c r="A432" s="0" t="s">
        <v>904</v>
      </c>
      <c r="B432" s="0" t="s">
        <v>905</v>
      </c>
      <c r="C432" s="0" t="s">
        <v>23</v>
      </c>
      <c r="D432" s="0" t="s">
        <v>42</v>
      </c>
      <c r="E432" s="10" t="n">
        <v>45735.7875</v>
      </c>
      <c r="F432" s="10" t="n">
        <v>45736.8719328704</v>
      </c>
      <c r="G432" s="0" t="n">
        <v>144.7</v>
      </c>
      <c r="H432" s="0" t="n">
        <v>150.76</v>
      </c>
      <c r="I432" s="11" t="n">
        <f aca="false">H432-G432</f>
        <v>6.06</v>
      </c>
      <c r="J432" s="5" t="n">
        <f aca="false">IF(G432=0,"",I432/G432)</f>
        <v>0.0418797512093988</v>
      </c>
      <c r="K432" s="0" t="n">
        <v>55.3</v>
      </c>
      <c r="L432" s="0" t="n">
        <v>26.03</v>
      </c>
      <c r="M432" s="11" t="s">
        <v>43</v>
      </c>
      <c r="N432" s="12" t="n">
        <f aca="false">INT(E432)</f>
        <v>45735</v>
      </c>
      <c r="O432" s="12" t="n">
        <f aca="false">IF(F432="","",INT(F432))</f>
        <v>45736</v>
      </c>
    </row>
    <row r="433" customFormat="false" ht="15" hidden="false" customHeight="false" outlineLevel="0" collapsed="false">
      <c r="A433" s="0" t="s">
        <v>906</v>
      </c>
      <c r="B433" s="0" t="s">
        <v>907</v>
      </c>
      <c r="C433" s="0" t="s">
        <v>19</v>
      </c>
      <c r="D433" s="0" t="s">
        <v>42</v>
      </c>
      <c r="E433" s="10" t="n">
        <v>45735.7881944445</v>
      </c>
      <c r="F433" s="10" t="n">
        <v>45736.1861111111</v>
      </c>
      <c r="G433" s="0" t="n">
        <v>119.28</v>
      </c>
      <c r="H433" s="0" t="n">
        <v>119.69</v>
      </c>
      <c r="I433" s="11" t="n">
        <f aca="false">H433-G433</f>
        <v>0.409999999999997</v>
      </c>
      <c r="J433" s="5" t="n">
        <f aca="false">IF(G433=0,"",I433/G433)</f>
        <v>0.00343729040912137</v>
      </c>
      <c r="K433" s="0" t="n">
        <v>19.7</v>
      </c>
      <c r="L433" s="0" t="n">
        <v>9.55</v>
      </c>
      <c r="M433" s="11" t="s">
        <v>43</v>
      </c>
      <c r="N433" s="12" t="n">
        <f aca="false">INT(E433)</f>
        <v>45735</v>
      </c>
      <c r="O433" s="12" t="n">
        <f aca="false">IF(F433="","",INT(F433))</f>
        <v>45736</v>
      </c>
    </row>
    <row r="434" customFormat="false" ht="15" hidden="false" customHeight="false" outlineLevel="0" collapsed="false">
      <c r="A434" s="0" t="s">
        <v>908</v>
      </c>
      <c r="B434" s="0" t="s">
        <v>909</v>
      </c>
      <c r="C434" s="0" t="s">
        <v>23</v>
      </c>
      <c r="D434" s="0" t="s">
        <v>42</v>
      </c>
      <c r="E434" s="10" t="n">
        <v>45736.3201388889</v>
      </c>
      <c r="F434" s="10" t="n">
        <v>45736.84375</v>
      </c>
      <c r="G434" s="0" t="n">
        <v>174.37</v>
      </c>
      <c r="H434" s="0" t="n">
        <v>174.65</v>
      </c>
      <c r="I434" s="11" t="n">
        <f aca="false">H434-G434</f>
        <v>0.280000000000001</v>
      </c>
      <c r="J434" s="5" t="n">
        <f aca="false">IF(G434=0,"",I434/G434)</f>
        <v>0.00160578081091932</v>
      </c>
      <c r="K434" s="0" t="n">
        <v>34.6</v>
      </c>
      <c r="L434" s="0" t="n">
        <v>12.57</v>
      </c>
      <c r="M434" s="11" t="s">
        <v>43</v>
      </c>
      <c r="N434" s="12" t="n">
        <f aca="false">INT(E434)</f>
        <v>45736</v>
      </c>
      <c r="O434" s="12" t="n">
        <f aca="false">IF(F434="","",INT(F434))</f>
        <v>45736</v>
      </c>
    </row>
    <row r="435" customFormat="false" ht="15" hidden="false" customHeight="false" outlineLevel="0" collapsed="false">
      <c r="A435" s="0" t="s">
        <v>910</v>
      </c>
      <c r="B435" s="0" t="s">
        <v>911</v>
      </c>
      <c r="C435" s="0" t="s">
        <v>23</v>
      </c>
      <c r="D435" s="0" t="s">
        <v>42</v>
      </c>
      <c r="E435" s="10" t="n">
        <v>45736.3284722222</v>
      </c>
      <c r="F435" s="10" t="n">
        <v>45736.7527777778</v>
      </c>
      <c r="G435" s="0" t="n">
        <v>494</v>
      </c>
      <c r="H435" s="0" t="n">
        <v>478.05</v>
      </c>
      <c r="I435" s="11" t="n">
        <f aca="false">H435-G435</f>
        <v>-15.95</v>
      </c>
      <c r="J435" s="5" t="n">
        <f aca="false">IF(G435=0,"",I435/G435)</f>
        <v>-0.0322874493927125</v>
      </c>
      <c r="K435" s="0" t="n">
        <v>157</v>
      </c>
      <c r="L435" s="0" t="n">
        <v>10.18</v>
      </c>
      <c r="M435" s="11" t="s">
        <v>43</v>
      </c>
      <c r="N435" s="12" t="n">
        <f aca="false">INT(E435)</f>
        <v>45736</v>
      </c>
      <c r="O435" s="12" t="n">
        <f aca="false">IF(F435="","",INT(F435))</f>
        <v>45736</v>
      </c>
    </row>
    <row r="436" customFormat="false" ht="15" hidden="false" customHeight="false" outlineLevel="0" collapsed="false">
      <c r="A436" s="0" t="s">
        <v>912</v>
      </c>
      <c r="B436" s="0" t="s">
        <v>913</v>
      </c>
      <c r="C436" s="0" t="s">
        <v>23</v>
      </c>
      <c r="D436" s="0" t="s">
        <v>42</v>
      </c>
      <c r="E436" s="10" t="n">
        <v>45736.3326388889</v>
      </c>
      <c r="F436" s="10" t="n">
        <v>45737.9611111111</v>
      </c>
      <c r="G436" s="0" t="n">
        <v>402.9</v>
      </c>
      <c r="H436" s="0" t="n">
        <v>410.21</v>
      </c>
      <c r="I436" s="11" t="n">
        <f aca="false">H436-G436</f>
        <v>7.31</v>
      </c>
      <c r="J436" s="5" t="n">
        <f aca="false">IF(G436=0,"",I436/G436)</f>
        <v>0.0181434599156118</v>
      </c>
      <c r="K436" s="0" t="n">
        <v>161.4</v>
      </c>
      <c r="L436" s="0" t="n">
        <v>39.08</v>
      </c>
      <c r="M436" s="11" t="s">
        <v>43</v>
      </c>
      <c r="N436" s="12" t="n">
        <f aca="false">INT(E436)</f>
        <v>45736</v>
      </c>
      <c r="O436" s="12" t="n">
        <f aca="false">IF(F436="","",INT(F436))</f>
        <v>45737</v>
      </c>
    </row>
    <row r="437" customFormat="false" ht="15" hidden="false" customHeight="false" outlineLevel="0" collapsed="false">
      <c r="A437" s="0" t="s">
        <v>914</v>
      </c>
      <c r="B437" s="0" t="s">
        <v>915</v>
      </c>
      <c r="C437" s="0" t="s">
        <v>20</v>
      </c>
      <c r="D437" s="0" t="s">
        <v>303</v>
      </c>
      <c r="E437" s="10" t="n">
        <v>45736.3881944444</v>
      </c>
      <c r="F437" s="10"/>
      <c r="G437" s="0" t="n">
        <v>206.02</v>
      </c>
      <c r="H437" s="0" t="n">
        <v>196.15</v>
      </c>
      <c r="I437" s="11" t="n">
        <f aca="false">H437-G437</f>
        <v>-9.87000000000001</v>
      </c>
      <c r="J437" s="5" t="n">
        <f aca="false">IF(G437=0,"",I437/G437)</f>
        <v>-0.0479079700999903</v>
      </c>
      <c r="K437" s="0" t="n">
        <v>45.9</v>
      </c>
      <c r="M437" s="11" t="s">
        <v>43</v>
      </c>
      <c r="N437" s="12" t="n">
        <f aca="false">INT(E437)</f>
        <v>45736</v>
      </c>
      <c r="O437" s="12" t="str">
        <f aca="false">IF(F437="","",INT(F437))</f>
        <v/>
      </c>
    </row>
    <row r="438" customFormat="false" ht="15" hidden="false" customHeight="false" outlineLevel="0" collapsed="false">
      <c r="A438" s="0" t="s">
        <v>916</v>
      </c>
      <c r="B438" s="0" t="s">
        <v>917</v>
      </c>
      <c r="C438" s="0" t="s">
        <v>23</v>
      </c>
      <c r="D438" s="0" t="s">
        <v>42</v>
      </c>
      <c r="E438" s="10" t="n">
        <v>45736.3923611111</v>
      </c>
      <c r="F438" s="10" t="n">
        <v>45738.2330324074</v>
      </c>
      <c r="G438" s="0" t="n">
        <v>286.33</v>
      </c>
      <c r="H438" s="0" t="n">
        <v>272.21</v>
      </c>
      <c r="I438" s="11" t="n">
        <f aca="false">H438-G438</f>
        <v>-14.12</v>
      </c>
      <c r="J438" s="5" t="n">
        <f aca="false">IF(G438=0,"",I438/G438)</f>
        <v>-0.0493137289141899</v>
      </c>
      <c r="K438" s="0" t="n">
        <v>126.4</v>
      </c>
      <c r="L438" s="0" t="n">
        <v>38.58</v>
      </c>
      <c r="M438" s="11" t="s">
        <v>43</v>
      </c>
      <c r="N438" s="12" t="n">
        <f aca="false">INT(E438)</f>
        <v>45736</v>
      </c>
      <c r="O438" s="12" t="n">
        <f aca="false">IF(F438="","",INT(F438))</f>
        <v>45738</v>
      </c>
    </row>
    <row r="439" customFormat="false" ht="15" hidden="false" customHeight="false" outlineLevel="0" collapsed="false">
      <c r="A439" s="0" t="s">
        <v>918</v>
      </c>
      <c r="B439" s="0" t="s">
        <v>919</v>
      </c>
      <c r="C439" s="0" t="s">
        <v>23</v>
      </c>
      <c r="D439" s="0" t="s">
        <v>42</v>
      </c>
      <c r="E439" s="10" t="n">
        <v>45736.3923611111</v>
      </c>
      <c r="F439" s="10" t="n">
        <v>45742.5243055556</v>
      </c>
      <c r="G439" s="0" t="n">
        <v>1203.82</v>
      </c>
      <c r="H439" s="0" t="n">
        <v>1202.87</v>
      </c>
      <c r="I439" s="11" t="n">
        <f aca="false">H439-G439</f>
        <v>-0.950000000000046</v>
      </c>
      <c r="J439" s="5" t="n">
        <f aca="false">IF(G439=0,"",I439/G439)</f>
        <v>-0.000789154524762876</v>
      </c>
      <c r="K439" s="0" t="n">
        <v>414.8</v>
      </c>
      <c r="L439" s="0" t="n">
        <v>99.17</v>
      </c>
      <c r="M439" s="11" t="s">
        <v>43</v>
      </c>
      <c r="N439" s="12" t="n">
        <f aca="false">INT(E439)</f>
        <v>45736</v>
      </c>
      <c r="O439" s="12" t="n">
        <f aca="false">IF(F439="","",INT(F439))</f>
        <v>45742</v>
      </c>
    </row>
    <row r="440" customFormat="false" ht="15" hidden="false" customHeight="false" outlineLevel="0" collapsed="false">
      <c r="A440" s="0" t="s">
        <v>920</v>
      </c>
      <c r="B440" s="0" t="s">
        <v>921</v>
      </c>
      <c r="C440" s="0" t="s">
        <v>24</v>
      </c>
      <c r="D440" s="0" t="s">
        <v>42</v>
      </c>
      <c r="E440" s="10" t="n">
        <v>45736.3944444444</v>
      </c>
      <c r="F440" s="10" t="n">
        <v>45738.2765046296</v>
      </c>
      <c r="G440" s="0" t="n">
        <v>563.13</v>
      </c>
      <c r="H440" s="0" t="n">
        <v>554.32</v>
      </c>
      <c r="I440" s="11" t="n">
        <f aca="false">H440-G440</f>
        <v>-8.80999999999995</v>
      </c>
      <c r="J440" s="5" t="n">
        <f aca="false">IF(G440=0,"",I440/G440)</f>
        <v>-0.0156447001580451</v>
      </c>
      <c r="K440" s="0" t="n">
        <v>203.7</v>
      </c>
      <c r="L440" s="0" t="n">
        <v>38.53</v>
      </c>
      <c r="M440" s="11" t="s">
        <v>43</v>
      </c>
      <c r="N440" s="12" t="n">
        <f aca="false">INT(E440)</f>
        <v>45736</v>
      </c>
      <c r="O440" s="12" t="n">
        <f aca="false">IF(F440="","",INT(F440))</f>
        <v>45738</v>
      </c>
    </row>
    <row r="441" customFormat="false" ht="15" hidden="false" customHeight="false" outlineLevel="0" collapsed="false">
      <c r="A441" s="0" t="s">
        <v>922</v>
      </c>
      <c r="B441" s="0" t="s">
        <v>923</v>
      </c>
      <c r="C441" s="0" t="s">
        <v>23</v>
      </c>
      <c r="D441" s="0" t="s">
        <v>42</v>
      </c>
      <c r="E441" s="10" t="n">
        <v>45736.4027777778</v>
      </c>
      <c r="F441" s="10" t="n">
        <v>45737.8569444444</v>
      </c>
      <c r="G441" s="0" t="n">
        <v>931.49</v>
      </c>
      <c r="H441" s="0" t="n">
        <v>920.15</v>
      </c>
      <c r="I441" s="11" t="n">
        <f aca="false">H441-G441</f>
        <v>-11.34</v>
      </c>
      <c r="J441" s="5" t="n">
        <f aca="false">IF(G441=0,"",I441/G441)</f>
        <v>-0.0121740437363794</v>
      </c>
      <c r="K441" s="0" t="n">
        <v>215.7</v>
      </c>
      <c r="L441" s="0" t="n">
        <v>34.9</v>
      </c>
      <c r="M441" s="11" t="s">
        <v>43</v>
      </c>
      <c r="N441" s="12" t="n">
        <f aca="false">INT(E441)</f>
        <v>45736</v>
      </c>
      <c r="O441" s="12" t="n">
        <f aca="false">IF(F441="","",INT(F441))</f>
        <v>45737</v>
      </c>
    </row>
    <row r="442" customFormat="false" ht="15" hidden="false" customHeight="false" outlineLevel="0" collapsed="false">
      <c r="A442" s="0" t="s">
        <v>924</v>
      </c>
      <c r="B442" s="0" t="s">
        <v>925</v>
      </c>
      <c r="C442" s="0" t="s">
        <v>20</v>
      </c>
      <c r="D442" s="0" t="s">
        <v>42</v>
      </c>
      <c r="E442" s="10" t="n">
        <v>45736.4118055556</v>
      </c>
      <c r="F442" s="10" t="n">
        <v>45737.3770833333</v>
      </c>
      <c r="G442" s="0" t="n">
        <v>695.82</v>
      </c>
      <c r="H442" s="0" t="n">
        <v>557.39</v>
      </c>
      <c r="I442" s="11" t="n">
        <f aca="false">H442-G442</f>
        <v>-138.43</v>
      </c>
      <c r="J442" s="5" t="n">
        <f aca="false">IF(G442=0,"",I442/G442)</f>
        <v>-0.198945129487511</v>
      </c>
      <c r="K442" s="0" t="n">
        <v>122.7</v>
      </c>
      <c r="L442" s="0" t="n">
        <v>23.17</v>
      </c>
      <c r="M442" s="11" t="s">
        <v>43</v>
      </c>
      <c r="N442" s="12" t="n">
        <f aca="false">INT(E442)</f>
        <v>45736</v>
      </c>
      <c r="O442" s="12" t="n">
        <f aca="false">IF(F442="","",INT(F442))</f>
        <v>45737</v>
      </c>
    </row>
    <row r="443" customFormat="false" ht="15" hidden="false" customHeight="false" outlineLevel="0" collapsed="false">
      <c r="A443" s="0" t="s">
        <v>926</v>
      </c>
      <c r="B443" s="0" t="s">
        <v>927</v>
      </c>
      <c r="C443" s="0" t="s">
        <v>19</v>
      </c>
      <c r="D443" s="0" t="s">
        <v>42</v>
      </c>
      <c r="E443" s="10" t="n">
        <v>45736.4652777778</v>
      </c>
      <c r="F443" s="10" t="n">
        <v>45737.678599537</v>
      </c>
      <c r="G443" s="0" t="n">
        <v>343.95</v>
      </c>
      <c r="H443" s="0" t="n">
        <v>341.17</v>
      </c>
      <c r="I443" s="11" t="n">
        <f aca="false">H443-G443</f>
        <v>-2.77999999999997</v>
      </c>
      <c r="J443" s="5" t="n">
        <f aca="false">IF(G443=0,"",I443/G443)</f>
        <v>-0.00808257014100879</v>
      </c>
      <c r="K443" s="0" t="n">
        <v>35.7</v>
      </c>
      <c r="L443" s="0" t="n">
        <v>29.12</v>
      </c>
      <c r="M443" s="11" t="s">
        <v>43</v>
      </c>
      <c r="N443" s="12" t="n">
        <f aca="false">INT(E443)</f>
        <v>45736</v>
      </c>
      <c r="O443" s="12" t="n">
        <f aca="false">IF(F443="","",INT(F443))</f>
        <v>45737</v>
      </c>
    </row>
    <row r="444" customFormat="false" ht="15" hidden="false" customHeight="false" outlineLevel="0" collapsed="false">
      <c r="A444" s="0" t="s">
        <v>928</v>
      </c>
      <c r="B444" s="0" t="s">
        <v>929</v>
      </c>
      <c r="C444" s="0" t="s">
        <v>21</v>
      </c>
      <c r="D444" s="0" t="s">
        <v>42</v>
      </c>
      <c r="E444" s="10" t="n">
        <v>45736.4770833333</v>
      </c>
      <c r="F444" s="10" t="n">
        <v>45737.2935648148</v>
      </c>
      <c r="G444" s="0" t="n">
        <v>1230.29</v>
      </c>
      <c r="H444" s="0" t="n">
        <v>1239.47</v>
      </c>
      <c r="I444" s="11" t="n">
        <f aca="false">H444-G444</f>
        <v>9.18000000000006</v>
      </c>
      <c r="J444" s="5" t="n">
        <f aca="false">IF(G444=0,"",I444/G444)</f>
        <v>0.00746165538206444</v>
      </c>
      <c r="K444" s="0" t="n">
        <v>221.2</v>
      </c>
      <c r="L444" s="0" t="n">
        <v>19.6</v>
      </c>
      <c r="M444" s="11" t="s">
        <v>43</v>
      </c>
      <c r="N444" s="12" t="n">
        <f aca="false">INT(E444)</f>
        <v>45736</v>
      </c>
      <c r="O444" s="12" t="n">
        <f aca="false">IF(F444="","",INT(F444))</f>
        <v>45737</v>
      </c>
    </row>
    <row r="445" customFormat="false" ht="15" hidden="false" customHeight="false" outlineLevel="0" collapsed="false">
      <c r="A445" s="0" t="s">
        <v>930</v>
      </c>
      <c r="B445" s="0" t="s">
        <v>931</v>
      </c>
      <c r="C445" s="0" t="s">
        <v>22</v>
      </c>
      <c r="D445" s="0" t="s">
        <v>42</v>
      </c>
      <c r="E445" s="10" t="n">
        <v>45736.4798611111</v>
      </c>
      <c r="F445" s="10" t="n">
        <v>45738.25625</v>
      </c>
      <c r="G445" s="0" t="n">
        <v>599.33</v>
      </c>
      <c r="H445" s="0" t="n">
        <v>755.62</v>
      </c>
      <c r="I445" s="11" t="n">
        <f aca="false">H445-G445</f>
        <v>156.29</v>
      </c>
      <c r="J445" s="5" t="n">
        <f aca="false">IF(G445=0,"",I445/G445)</f>
        <v>0.260774531560242</v>
      </c>
      <c r="K445" s="0" t="n">
        <v>64.3</v>
      </c>
      <c r="L445" s="0" t="n">
        <v>36.48</v>
      </c>
      <c r="M445" s="11" t="s">
        <v>43</v>
      </c>
      <c r="N445" s="12" t="n">
        <f aca="false">INT(E445)</f>
        <v>45736</v>
      </c>
      <c r="O445" s="12" t="n">
        <f aca="false">IF(F445="","",INT(F445))</f>
        <v>45738</v>
      </c>
    </row>
    <row r="446" customFormat="false" ht="15" hidden="false" customHeight="false" outlineLevel="0" collapsed="false">
      <c r="A446" s="0" t="s">
        <v>932</v>
      </c>
      <c r="B446" s="0" t="s">
        <v>933</v>
      </c>
      <c r="C446" s="0" t="s">
        <v>19</v>
      </c>
      <c r="D446" s="0" t="s">
        <v>42</v>
      </c>
      <c r="E446" s="10" t="n">
        <v>45736.5145833333</v>
      </c>
      <c r="F446" s="10" t="n">
        <v>45737.8656944444</v>
      </c>
      <c r="G446" s="0" t="n">
        <v>2293.1</v>
      </c>
      <c r="H446" s="0" t="n">
        <v>2316.23</v>
      </c>
      <c r="I446" s="11" t="n">
        <f aca="false">H446-G446</f>
        <v>23.1300000000001</v>
      </c>
      <c r="J446" s="5" t="n">
        <f aca="false">IF(G446=0,"",I446/G446)</f>
        <v>0.0100867820853866</v>
      </c>
      <c r="K446" s="0" t="n">
        <v>397.1</v>
      </c>
      <c r="L446" s="0" t="n">
        <v>32.43</v>
      </c>
      <c r="M446" s="11" t="s">
        <v>43</v>
      </c>
      <c r="N446" s="12" t="n">
        <f aca="false">INT(E446)</f>
        <v>45736</v>
      </c>
      <c r="O446" s="12" t="n">
        <f aca="false">IF(F446="","",INT(F446))</f>
        <v>45737</v>
      </c>
    </row>
    <row r="447" customFormat="false" ht="15" hidden="false" customHeight="false" outlineLevel="0" collapsed="false">
      <c r="A447" s="0" t="s">
        <v>934</v>
      </c>
      <c r="B447" s="0" t="s">
        <v>935</v>
      </c>
      <c r="C447" s="0" t="s">
        <v>23</v>
      </c>
      <c r="D447" s="0" t="s">
        <v>42</v>
      </c>
      <c r="E447" s="10" t="n">
        <v>45736.5256944444</v>
      </c>
      <c r="F447" s="10" t="n">
        <v>45738.1248842593</v>
      </c>
      <c r="G447" s="0" t="n">
        <v>230.5</v>
      </c>
      <c r="H447" s="0" t="n">
        <v>230.52</v>
      </c>
      <c r="I447" s="11" t="n">
        <f aca="false">H447-G447</f>
        <v>0.0200000000000102</v>
      </c>
      <c r="J447" s="5" t="n">
        <f aca="false">IF(G447=0,"",I447/G447)</f>
        <v>8.67678958785693E-005</v>
      </c>
      <c r="K447" s="0" t="n">
        <v>98.5</v>
      </c>
      <c r="L447" s="0" t="n">
        <v>35.38</v>
      </c>
      <c r="M447" s="11" t="s">
        <v>43</v>
      </c>
      <c r="N447" s="12" t="n">
        <f aca="false">INT(E447)</f>
        <v>45736</v>
      </c>
      <c r="O447" s="12" t="n">
        <f aca="false">IF(F447="","",INT(F447))</f>
        <v>45738</v>
      </c>
    </row>
    <row r="448" customFormat="false" ht="15" hidden="false" customHeight="false" outlineLevel="0" collapsed="false">
      <c r="A448" s="0" t="s">
        <v>936</v>
      </c>
      <c r="B448" s="0" t="s">
        <v>937</v>
      </c>
      <c r="C448" s="0" t="s">
        <v>21</v>
      </c>
      <c r="D448" s="0" t="s">
        <v>42</v>
      </c>
      <c r="E448" s="10" t="n">
        <v>45736.5576388889</v>
      </c>
      <c r="F448" s="10" t="n">
        <v>45736.8118055556</v>
      </c>
      <c r="G448" s="0" t="n">
        <v>1613.12</v>
      </c>
      <c r="H448" s="0" t="n">
        <v>1609.69</v>
      </c>
      <c r="I448" s="11" t="n">
        <f aca="false">H448-G448</f>
        <v>-3.42999999999984</v>
      </c>
      <c r="J448" s="5" t="n">
        <f aca="false">IF(G448=0,"",I448/G448)</f>
        <v>-0.00212631422336828</v>
      </c>
      <c r="K448" s="0" t="n">
        <v>449.7</v>
      </c>
      <c r="L448" s="0" t="n">
        <v>6.1</v>
      </c>
      <c r="M448" s="11" t="s">
        <v>43</v>
      </c>
      <c r="N448" s="12" t="n">
        <f aca="false">INT(E448)</f>
        <v>45736</v>
      </c>
      <c r="O448" s="12" t="n">
        <f aca="false">IF(F448="","",INT(F448))</f>
        <v>45736</v>
      </c>
    </row>
    <row r="449" customFormat="false" ht="15" hidden="false" customHeight="false" outlineLevel="0" collapsed="false">
      <c r="A449" s="0" t="s">
        <v>938</v>
      </c>
      <c r="B449" s="0" t="s">
        <v>939</v>
      </c>
      <c r="C449" s="0" t="s">
        <v>21</v>
      </c>
      <c r="D449" s="0" t="s">
        <v>42</v>
      </c>
      <c r="E449" s="10" t="n">
        <v>45736.5701388889</v>
      </c>
      <c r="F449" s="10" t="n">
        <v>45737.1465277778</v>
      </c>
      <c r="G449" s="0" t="n">
        <v>696.62</v>
      </c>
      <c r="H449" s="0" t="n">
        <v>711.68</v>
      </c>
      <c r="I449" s="11" t="n">
        <f aca="false">H449-G449</f>
        <v>15.0599999999999</v>
      </c>
      <c r="J449" s="5" t="n">
        <f aca="false">IF(G449=0,"",I449/G449)</f>
        <v>0.0216186730211592</v>
      </c>
      <c r="K449" s="0" t="n">
        <v>115.5</v>
      </c>
      <c r="L449" s="0" t="n">
        <v>13.83</v>
      </c>
      <c r="M449" s="11" t="s">
        <v>43</v>
      </c>
      <c r="N449" s="12" t="n">
        <f aca="false">INT(E449)</f>
        <v>45736</v>
      </c>
      <c r="O449" s="12" t="n">
        <f aca="false">IF(F449="","",INT(F449))</f>
        <v>45737</v>
      </c>
    </row>
    <row r="450" customFormat="false" ht="15" hidden="false" customHeight="false" outlineLevel="0" collapsed="false">
      <c r="A450" s="0" t="s">
        <v>940</v>
      </c>
      <c r="B450" s="0" t="s">
        <v>941</v>
      </c>
      <c r="C450" s="0" t="s">
        <v>23</v>
      </c>
      <c r="D450" s="0" t="s">
        <v>42</v>
      </c>
      <c r="E450" s="10" t="n">
        <v>45736.5708333333</v>
      </c>
      <c r="F450" s="10" t="n">
        <v>45738.23125</v>
      </c>
      <c r="G450" s="0" t="n">
        <v>428.11</v>
      </c>
      <c r="H450" s="0" t="n">
        <v>444.64</v>
      </c>
      <c r="I450" s="11" t="n">
        <f aca="false">H450-G450</f>
        <v>16.53</v>
      </c>
      <c r="J450" s="5" t="n">
        <f aca="false">IF(G450=0,"",I450/G450)</f>
        <v>0.0386115717922963</v>
      </c>
      <c r="K450" s="0" t="n">
        <v>91.9</v>
      </c>
      <c r="L450" s="0" t="n">
        <v>34.3</v>
      </c>
      <c r="M450" s="11" t="s">
        <v>43</v>
      </c>
      <c r="N450" s="12" t="n">
        <f aca="false">INT(E450)</f>
        <v>45736</v>
      </c>
      <c r="O450" s="12" t="n">
        <f aca="false">IF(F450="","",INT(F450))</f>
        <v>45738</v>
      </c>
    </row>
    <row r="451" customFormat="false" ht="15" hidden="false" customHeight="false" outlineLevel="0" collapsed="false">
      <c r="A451" s="0" t="s">
        <v>942</v>
      </c>
      <c r="B451" s="0" t="s">
        <v>943</v>
      </c>
      <c r="C451" s="0" t="s">
        <v>23</v>
      </c>
      <c r="D451" s="0" t="s">
        <v>42</v>
      </c>
      <c r="E451" s="10" t="n">
        <v>45736.58125</v>
      </c>
      <c r="F451" s="10" t="n">
        <v>45739.6444444444</v>
      </c>
      <c r="G451" s="0" t="n">
        <v>776.62</v>
      </c>
      <c r="H451" s="0" t="n">
        <v>770.69</v>
      </c>
      <c r="I451" s="11" t="n">
        <f aca="false">H451-G451</f>
        <v>-5.92999999999995</v>
      </c>
      <c r="J451" s="5" t="n">
        <f aca="false">IF(G451=0,"",I451/G451)</f>
        <v>-0.00763565192758357</v>
      </c>
      <c r="K451" s="0" t="n">
        <v>152.2</v>
      </c>
      <c r="L451" s="0" t="n">
        <v>34.05</v>
      </c>
      <c r="M451" s="11" t="s">
        <v>43</v>
      </c>
      <c r="N451" s="12" t="n">
        <f aca="false">INT(E451)</f>
        <v>45736</v>
      </c>
      <c r="O451" s="12" t="n">
        <f aca="false">IF(F451="","",INT(F451))</f>
        <v>45739</v>
      </c>
    </row>
    <row r="452" customFormat="false" ht="15" hidden="false" customHeight="false" outlineLevel="0" collapsed="false">
      <c r="A452" s="0" t="s">
        <v>944</v>
      </c>
      <c r="B452" s="0" t="s">
        <v>945</v>
      </c>
      <c r="C452" s="0" t="s">
        <v>21</v>
      </c>
      <c r="D452" s="0" t="s">
        <v>42</v>
      </c>
      <c r="E452" s="10" t="n">
        <v>45736.6083333333</v>
      </c>
      <c r="F452" s="10" t="n">
        <v>45736.8493055556</v>
      </c>
      <c r="G452" s="0" t="n">
        <v>499.17</v>
      </c>
      <c r="H452" s="0" t="n">
        <v>487.54</v>
      </c>
      <c r="I452" s="11" t="n">
        <f aca="false">H452-G452</f>
        <v>-11.63</v>
      </c>
      <c r="J452" s="5" t="n">
        <f aca="false">IF(G452=0,"",I452/G452)</f>
        <v>-0.023298675801831</v>
      </c>
      <c r="K452" s="0" t="n">
        <v>117.1</v>
      </c>
      <c r="L452" s="0" t="n">
        <v>5.78</v>
      </c>
      <c r="M452" s="11" t="s">
        <v>43</v>
      </c>
      <c r="N452" s="12" t="n">
        <f aca="false">INT(E452)</f>
        <v>45736</v>
      </c>
      <c r="O452" s="12" t="n">
        <f aca="false">IF(F452="","",INT(F452))</f>
        <v>45736</v>
      </c>
    </row>
    <row r="453" customFormat="false" ht="15" hidden="false" customHeight="false" outlineLevel="0" collapsed="false">
      <c r="A453" s="0" t="s">
        <v>946</v>
      </c>
      <c r="B453" s="0" t="s">
        <v>947</v>
      </c>
      <c r="C453" s="0" t="s">
        <v>20</v>
      </c>
      <c r="D453" s="0" t="s">
        <v>48</v>
      </c>
      <c r="E453" s="10" t="n">
        <v>45736.6472222222</v>
      </c>
      <c r="F453" s="10"/>
      <c r="G453" s="0" t="n">
        <v>588.02</v>
      </c>
      <c r="H453" s="0" t="n">
        <v>598.48</v>
      </c>
      <c r="I453" s="11" t="n">
        <f aca="false">H453-G453</f>
        <v>10.46</v>
      </c>
      <c r="J453" s="5" t="n">
        <f aca="false">IF(G453=0,"",I453/G453)</f>
        <v>0.0177885105948778</v>
      </c>
      <c r="K453" s="0" t="n">
        <v>122</v>
      </c>
      <c r="M453" s="11" t="s">
        <v>43</v>
      </c>
      <c r="N453" s="12" t="n">
        <f aca="false">INT(E453)</f>
        <v>45736</v>
      </c>
      <c r="O453" s="12" t="str">
        <f aca="false">IF(F453="","",INT(F453))</f>
        <v/>
      </c>
    </row>
    <row r="454" customFormat="false" ht="15" hidden="false" customHeight="false" outlineLevel="0" collapsed="false">
      <c r="A454" s="0" t="s">
        <v>948</v>
      </c>
      <c r="B454" s="0" t="s">
        <v>949</v>
      </c>
      <c r="C454" s="0" t="s">
        <v>21</v>
      </c>
      <c r="D454" s="0" t="s">
        <v>42</v>
      </c>
      <c r="E454" s="10" t="n">
        <v>45736.6590277778</v>
      </c>
      <c r="F454" s="10" t="n">
        <v>45737.2055555556</v>
      </c>
      <c r="G454" s="0" t="n">
        <v>135.12</v>
      </c>
      <c r="H454" s="0" t="n">
        <v>143.61</v>
      </c>
      <c r="I454" s="11" t="n">
        <f aca="false">H454-G454</f>
        <v>8.49000000000001</v>
      </c>
      <c r="J454" s="5" t="n">
        <f aca="false">IF(G454=0,"",I454/G454)</f>
        <v>0.0628330373001777</v>
      </c>
      <c r="K454" s="0" t="n">
        <v>21.8</v>
      </c>
      <c r="L454" s="0" t="n">
        <v>13.12</v>
      </c>
      <c r="M454" s="11" t="s">
        <v>43</v>
      </c>
      <c r="N454" s="12" t="n">
        <f aca="false">INT(E454)</f>
        <v>45736</v>
      </c>
      <c r="O454" s="12" t="n">
        <f aca="false">IF(F454="","",INT(F454))</f>
        <v>45737</v>
      </c>
    </row>
    <row r="455" customFormat="false" ht="15" hidden="false" customHeight="false" outlineLevel="0" collapsed="false">
      <c r="A455" s="0" t="s">
        <v>950</v>
      </c>
      <c r="B455" s="0" t="s">
        <v>951</v>
      </c>
      <c r="C455" s="0" t="s">
        <v>20</v>
      </c>
      <c r="D455" s="0" t="s">
        <v>42</v>
      </c>
      <c r="E455" s="10" t="n">
        <v>45736.7152777778</v>
      </c>
      <c r="F455" s="10" t="n">
        <v>45738.6805555556</v>
      </c>
      <c r="G455" s="0" t="n">
        <v>347.7</v>
      </c>
      <c r="H455" s="0" t="n">
        <v>345.93</v>
      </c>
      <c r="I455" s="11" t="n">
        <f aca="false">H455-G455</f>
        <v>-1.76999999999998</v>
      </c>
      <c r="J455" s="5" t="n">
        <f aca="false">IF(G455=0,"",I455/G455)</f>
        <v>-0.00509059534081099</v>
      </c>
      <c r="K455" s="0" t="n">
        <v>72.2</v>
      </c>
      <c r="L455" s="0" t="n">
        <v>30.83</v>
      </c>
      <c r="M455" s="11" t="s">
        <v>43</v>
      </c>
      <c r="N455" s="12" t="n">
        <f aca="false">INT(E455)</f>
        <v>45736</v>
      </c>
      <c r="O455" s="12" t="n">
        <f aca="false">IF(F455="","",INT(F455))</f>
        <v>45738</v>
      </c>
    </row>
    <row r="456" customFormat="false" ht="15" hidden="false" customHeight="false" outlineLevel="0" collapsed="false">
      <c r="A456" s="0" t="s">
        <v>952</v>
      </c>
      <c r="B456" s="0" t="s">
        <v>953</v>
      </c>
      <c r="C456" s="0" t="s">
        <v>23</v>
      </c>
      <c r="D456" s="0" t="s">
        <v>42</v>
      </c>
      <c r="E456" s="10" t="n">
        <v>45736.71875</v>
      </c>
      <c r="F456" s="10" t="n">
        <v>45737.6756944444</v>
      </c>
      <c r="G456" s="0" t="n">
        <v>399.95</v>
      </c>
      <c r="H456" s="0" t="n">
        <v>413.95</v>
      </c>
      <c r="I456" s="11" t="n">
        <f aca="false">H456-G456</f>
        <v>14</v>
      </c>
      <c r="J456" s="5" t="n">
        <f aca="false">IF(G456=0,"",I456/G456)</f>
        <v>0.0350043755469434</v>
      </c>
      <c r="K456" s="0" t="n">
        <v>155.2</v>
      </c>
      <c r="L456" s="0" t="n">
        <v>22.97</v>
      </c>
      <c r="M456" s="11" t="s">
        <v>43</v>
      </c>
      <c r="N456" s="12" t="n">
        <f aca="false">INT(E456)</f>
        <v>45736</v>
      </c>
      <c r="O456" s="12" t="n">
        <f aca="false">IF(F456="","",INT(F456))</f>
        <v>45737</v>
      </c>
    </row>
    <row r="457" customFormat="false" ht="15" hidden="false" customHeight="false" outlineLevel="0" collapsed="false">
      <c r="A457" s="0" t="s">
        <v>954</v>
      </c>
      <c r="B457" s="0" t="s">
        <v>955</v>
      </c>
      <c r="C457" s="0" t="s">
        <v>19</v>
      </c>
      <c r="D457" s="0" t="s">
        <v>42</v>
      </c>
      <c r="E457" s="10" t="n">
        <v>45736.7229166667</v>
      </c>
      <c r="F457" s="10" t="n">
        <v>45738.2654513889</v>
      </c>
      <c r="G457" s="0" t="n">
        <v>566.12</v>
      </c>
      <c r="H457" s="0" t="n">
        <v>547.13</v>
      </c>
      <c r="I457" s="11" t="n">
        <f aca="false">H457-G457</f>
        <v>-18.99</v>
      </c>
      <c r="J457" s="5" t="n">
        <f aca="false">IF(G457=0,"",I457/G457)</f>
        <v>-0.0335441249205116</v>
      </c>
      <c r="K457" s="0" t="n">
        <v>83.4</v>
      </c>
      <c r="L457" s="0" t="n">
        <v>30.65</v>
      </c>
      <c r="M457" s="11" t="s">
        <v>43</v>
      </c>
      <c r="N457" s="12" t="n">
        <f aca="false">INT(E457)</f>
        <v>45736</v>
      </c>
      <c r="O457" s="12" t="n">
        <f aca="false">IF(F457="","",INT(F457))</f>
        <v>45738</v>
      </c>
    </row>
    <row r="458" customFormat="false" ht="15" hidden="false" customHeight="false" outlineLevel="0" collapsed="false">
      <c r="A458" s="0" t="s">
        <v>956</v>
      </c>
      <c r="B458" s="0" t="s">
        <v>957</v>
      </c>
      <c r="C458" s="0" t="s">
        <v>23</v>
      </c>
      <c r="D458" s="0" t="s">
        <v>42</v>
      </c>
      <c r="E458" s="10" t="n">
        <v>45736.7277777778</v>
      </c>
      <c r="F458" s="10" t="n">
        <v>45739.0090277778</v>
      </c>
      <c r="G458" s="0" t="n">
        <v>104.05</v>
      </c>
      <c r="H458" s="0" t="n">
        <v>101.82</v>
      </c>
      <c r="I458" s="11" t="n">
        <f aca="false">H458-G458</f>
        <v>-2.23</v>
      </c>
      <c r="J458" s="5" t="n">
        <f aca="false">IF(G458=0,"",I458/G458)</f>
        <v>-0.0214320038443057</v>
      </c>
      <c r="K458" s="0" t="n">
        <v>35.8</v>
      </c>
      <c r="L458" s="0" t="n">
        <v>30.53</v>
      </c>
      <c r="M458" s="11" t="s">
        <v>43</v>
      </c>
      <c r="N458" s="12" t="n">
        <f aca="false">INT(E458)</f>
        <v>45736</v>
      </c>
      <c r="O458" s="12" t="n">
        <f aca="false">IF(F458="","",INT(F458))</f>
        <v>45739</v>
      </c>
    </row>
    <row r="459" customFormat="false" ht="15" hidden="false" customHeight="false" outlineLevel="0" collapsed="false">
      <c r="A459" s="0" t="s">
        <v>958</v>
      </c>
      <c r="B459" s="0" t="s">
        <v>959</v>
      </c>
      <c r="C459" s="0" t="s">
        <v>23</v>
      </c>
      <c r="D459" s="0" t="s">
        <v>42</v>
      </c>
      <c r="E459" s="10" t="n">
        <v>45736.7284722222</v>
      </c>
      <c r="F459" s="10" t="n">
        <v>45738.9416666667</v>
      </c>
      <c r="G459" s="0" t="n">
        <v>839.48</v>
      </c>
      <c r="H459" s="0" t="n">
        <v>842.87</v>
      </c>
      <c r="I459" s="11" t="n">
        <f aca="false">H459-G459</f>
        <v>3.38999999999999</v>
      </c>
      <c r="J459" s="5" t="n">
        <f aca="false">IF(G459=0,"",I459/G459)</f>
        <v>0.00403821413255823</v>
      </c>
      <c r="K459" s="0" t="n">
        <v>184.4</v>
      </c>
      <c r="L459" s="0" t="n">
        <v>30.52</v>
      </c>
      <c r="M459" s="11" t="s">
        <v>43</v>
      </c>
      <c r="N459" s="12" t="n">
        <f aca="false">INT(E459)</f>
        <v>45736</v>
      </c>
      <c r="O459" s="12" t="n">
        <f aca="false">IF(F459="","",INT(F459))</f>
        <v>45738</v>
      </c>
    </row>
    <row r="460" customFormat="false" ht="15" hidden="false" customHeight="false" outlineLevel="0" collapsed="false">
      <c r="A460" s="0" t="s">
        <v>960</v>
      </c>
      <c r="B460" s="0" t="s">
        <v>961</v>
      </c>
      <c r="C460" s="0" t="s">
        <v>24</v>
      </c>
      <c r="D460" s="0" t="s">
        <v>42</v>
      </c>
      <c r="E460" s="10" t="n">
        <v>45736.7451388889</v>
      </c>
      <c r="F460" s="10" t="n">
        <v>45738.4569444444</v>
      </c>
      <c r="G460" s="0" t="n">
        <v>727.27</v>
      </c>
      <c r="H460" s="0" t="n">
        <v>658.62</v>
      </c>
      <c r="I460" s="11" t="n">
        <f aca="false">H460-G460</f>
        <v>-68.65</v>
      </c>
      <c r="J460" s="5" t="n">
        <f aca="false">IF(G460=0,"",I460/G460)</f>
        <v>-0.0943941039778899</v>
      </c>
      <c r="K460" s="0" t="n">
        <v>178.5</v>
      </c>
      <c r="L460" s="0" t="n">
        <v>30.12</v>
      </c>
      <c r="M460" s="11" t="s">
        <v>43</v>
      </c>
      <c r="N460" s="12" t="n">
        <f aca="false">INT(E460)</f>
        <v>45736</v>
      </c>
      <c r="O460" s="12" t="n">
        <f aca="false">IF(F460="","",INT(F460))</f>
        <v>45738</v>
      </c>
    </row>
    <row r="461" customFormat="false" ht="15" hidden="false" customHeight="false" outlineLevel="0" collapsed="false">
      <c r="A461" s="0" t="s">
        <v>962</v>
      </c>
      <c r="B461" s="0" t="s">
        <v>963</v>
      </c>
      <c r="C461" s="0" t="s">
        <v>23</v>
      </c>
      <c r="D461" s="0" t="s">
        <v>42</v>
      </c>
      <c r="E461" s="10" t="n">
        <v>45736.75</v>
      </c>
      <c r="F461" s="10" t="n">
        <v>45738.9916666667</v>
      </c>
      <c r="G461" s="0" t="n">
        <v>566.43</v>
      </c>
      <c r="H461" s="0" t="n">
        <v>566.84</v>
      </c>
      <c r="I461" s="11" t="n">
        <f aca="false">H461-G461</f>
        <v>0.410000000000082</v>
      </c>
      <c r="J461" s="5" t="n">
        <f aca="false">IF(G461=0,"",I461/G461)</f>
        <v>0.000723831717952937</v>
      </c>
      <c r="K461" s="0" t="n">
        <v>173.2</v>
      </c>
      <c r="L461" s="0" t="n">
        <v>30</v>
      </c>
      <c r="M461" s="11" t="s">
        <v>43</v>
      </c>
      <c r="N461" s="12" t="n">
        <f aca="false">INT(E461)</f>
        <v>45736</v>
      </c>
      <c r="O461" s="12" t="n">
        <f aca="false">IF(F461="","",INT(F461))</f>
        <v>45738</v>
      </c>
    </row>
    <row r="462" customFormat="false" ht="15" hidden="false" customHeight="false" outlineLevel="0" collapsed="false">
      <c r="A462" s="0" t="s">
        <v>964</v>
      </c>
      <c r="B462" s="0" t="s">
        <v>965</v>
      </c>
      <c r="C462" s="0" t="s">
        <v>23</v>
      </c>
      <c r="D462" s="0" t="s">
        <v>42</v>
      </c>
      <c r="E462" s="10" t="n">
        <v>45737.2923611111</v>
      </c>
      <c r="F462" s="10" t="n">
        <v>45738.1698842593</v>
      </c>
      <c r="G462" s="0" t="n">
        <v>306.84</v>
      </c>
      <c r="H462" s="0" t="n">
        <v>291.93</v>
      </c>
      <c r="I462" s="11" t="n">
        <f aca="false">H462-G462</f>
        <v>-14.91</v>
      </c>
      <c r="J462" s="5" t="n">
        <f aca="false">IF(G462=0,"",I462/G462)</f>
        <v>-0.0485921001173249</v>
      </c>
      <c r="K462" s="0" t="n">
        <v>90.4</v>
      </c>
      <c r="L462" s="0" t="n">
        <v>16.98</v>
      </c>
      <c r="M462" s="11" t="s">
        <v>43</v>
      </c>
      <c r="N462" s="12" t="n">
        <f aca="false">INT(E462)</f>
        <v>45737</v>
      </c>
      <c r="O462" s="12" t="n">
        <f aca="false">IF(F462="","",INT(F462))</f>
        <v>45738</v>
      </c>
    </row>
    <row r="463" customFormat="false" ht="15" hidden="false" customHeight="false" outlineLevel="0" collapsed="false">
      <c r="A463" s="0" t="s">
        <v>966</v>
      </c>
      <c r="B463" s="0" t="s">
        <v>967</v>
      </c>
      <c r="C463" s="0" t="s">
        <v>23</v>
      </c>
      <c r="D463" s="0" t="s">
        <v>42</v>
      </c>
      <c r="E463" s="10" t="n">
        <v>45737.3291666667</v>
      </c>
      <c r="F463" s="10" t="n">
        <v>45737.8020833333</v>
      </c>
      <c r="G463" s="0" t="n">
        <v>768.66</v>
      </c>
      <c r="H463" s="0" t="n">
        <v>895.88</v>
      </c>
      <c r="I463" s="11" t="n">
        <f aca="false">H463-G463</f>
        <v>127.22</v>
      </c>
      <c r="J463" s="5" t="n">
        <f aca="false">IF(G463=0,"",I463/G463)</f>
        <v>0.165508807535191</v>
      </c>
      <c r="K463" s="0" t="n">
        <v>211.9</v>
      </c>
      <c r="L463" s="0" t="n">
        <v>11.35</v>
      </c>
      <c r="M463" s="11" t="s">
        <v>43</v>
      </c>
      <c r="N463" s="12" t="n">
        <f aca="false">INT(E463)</f>
        <v>45737</v>
      </c>
      <c r="O463" s="12" t="n">
        <f aca="false">IF(F463="","",INT(F463))</f>
        <v>45737</v>
      </c>
    </row>
    <row r="464" customFormat="false" ht="15" hidden="false" customHeight="false" outlineLevel="0" collapsed="false">
      <c r="A464" s="0" t="s">
        <v>968</v>
      </c>
      <c r="B464" s="0" t="s">
        <v>969</v>
      </c>
      <c r="C464" s="0" t="s">
        <v>21</v>
      </c>
      <c r="D464" s="0" t="s">
        <v>42</v>
      </c>
      <c r="E464" s="10" t="n">
        <v>45737.3465277778</v>
      </c>
      <c r="F464" s="10" t="n">
        <v>45737.6444444444</v>
      </c>
      <c r="G464" s="0" t="n">
        <v>260.28</v>
      </c>
      <c r="H464" s="0" t="n">
        <v>265.65</v>
      </c>
      <c r="I464" s="11" t="n">
        <f aca="false">H464-G464</f>
        <v>5.37</v>
      </c>
      <c r="J464" s="5" t="n">
        <f aca="false">IF(G464=0,"",I464/G464)</f>
        <v>0.0206316274781005</v>
      </c>
      <c r="K464" s="0" t="n">
        <v>71.4</v>
      </c>
      <c r="L464" s="0" t="n">
        <v>7.15</v>
      </c>
      <c r="M464" s="11" t="s">
        <v>43</v>
      </c>
      <c r="N464" s="12" t="n">
        <f aca="false">INT(E464)</f>
        <v>45737</v>
      </c>
      <c r="O464" s="12" t="n">
        <f aca="false">IF(F464="","",INT(F464))</f>
        <v>45737</v>
      </c>
    </row>
    <row r="465" customFormat="false" ht="15" hidden="false" customHeight="false" outlineLevel="0" collapsed="false">
      <c r="A465" s="0" t="s">
        <v>970</v>
      </c>
      <c r="B465" s="0" t="s">
        <v>971</v>
      </c>
      <c r="C465" s="0" t="s">
        <v>23</v>
      </c>
      <c r="D465" s="0" t="s">
        <v>42</v>
      </c>
      <c r="E465" s="10" t="n">
        <v>45737.35</v>
      </c>
      <c r="F465" s="10" t="n">
        <v>45738.2590277778</v>
      </c>
      <c r="G465" s="0" t="n">
        <v>581.65</v>
      </c>
      <c r="H465" s="0" t="n">
        <v>573.61</v>
      </c>
      <c r="I465" s="11" t="n">
        <f aca="false">H465-G465</f>
        <v>-8.03999999999996</v>
      </c>
      <c r="J465" s="5" t="n">
        <f aca="false">IF(G465=0,"",I465/G465)</f>
        <v>-0.0138227456374108</v>
      </c>
      <c r="K465" s="0" t="n">
        <v>199.3</v>
      </c>
      <c r="L465" s="0" t="n">
        <v>15.6</v>
      </c>
      <c r="M465" s="11" t="s">
        <v>43</v>
      </c>
      <c r="N465" s="12" t="n">
        <f aca="false">INT(E465)</f>
        <v>45737</v>
      </c>
      <c r="O465" s="12" t="n">
        <f aca="false">IF(F465="","",INT(F465))</f>
        <v>45738</v>
      </c>
    </row>
    <row r="466" customFormat="false" ht="15" hidden="false" customHeight="false" outlineLevel="0" collapsed="false">
      <c r="A466" s="0" t="s">
        <v>972</v>
      </c>
      <c r="B466" s="0" t="s">
        <v>973</v>
      </c>
      <c r="C466" s="0" t="s">
        <v>21</v>
      </c>
      <c r="D466" s="0" t="s">
        <v>42</v>
      </c>
      <c r="E466" s="10" t="n">
        <v>45737.3541666667</v>
      </c>
      <c r="F466" s="10" t="n">
        <v>45738.0442939815</v>
      </c>
      <c r="G466" s="0" t="n">
        <v>329.03</v>
      </c>
      <c r="H466" s="0" t="n">
        <v>334.74</v>
      </c>
      <c r="I466" s="11" t="n">
        <f aca="false">H466-G466</f>
        <v>5.71000000000004</v>
      </c>
      <c r="J466" s="5" t="n">
        <f aca="false">IF(G466=0,"",I466/G466)</f>
        <v>0.0173540406649851</v>
      </c>
      <c r="K466" s="0" t="n">
        <v>51.7</v>
      </c>
      <c r="L466" s="0" t="n">
        <v>15.5</v>
      </c>
      <c r="M466" s="11" t="s">
        <v>43</v>
      </c>
      <c r="N466" s="12" t="n">
        <f aca="false">INT(E466)</f>
        <v>45737</v>
      </c>
      <c r="O466" s="12" t="n">
        <f aca="false">IF(F466="","",INT(F466))</f>
        <v>45738</v>
      </c>
    </row>
    <row r="467" customFormat="false" ht="15" hidden="false" customHeight="false" outlineLevel="0" collapsed="false">
      <c r="A467" s="0" t="s">
        <v>974</v>
      </c>
      <c r="B467" s="0" t="s">
        <v>975</v>
      </c>
      <c r="C467" s="0" t="s">
        <v>20</v>
      </c>
      <c r="D467" s="0" t="s">
        <v>42</v>
      </c>
      <c r="E467" s="10" t="n">
        <v>45737.4215277778</v>
      </c>
      <c r="F467" s="10" t="n">
        <v>45738.9284722222</v>
      </c>
      <c r="G467" s="0" t="n">
        <v>298.03</v>
      </c>
      <c r="H467" s="0" t="n">
        <v>272.93</v>
      </c>
      <c r="I467" s="11" t="n">
        <f aca="false">H467-G467</f>
        <v>-25.1</v>
      </c>
      <c r="J467" s="5" t="n">
        <f aca="false">IF(G467=0,"",I467/G467)</f>
        <v>-0.0842197094252255</v>
      </c>
      <c r="K467" s="0" t="n">
        <v>36.3</v>
      </c>
      <c r="L467" s="0" t="n">
        <v>13.88</v>
      </c>
      <c r="M467" s="11" t="s">
        <v>43</v>
      </c>
      <c r="N467" s="12" t="n">
        <f aca="false">INT(E467)</f>
        <v>45737</v>
      </c>
      <c r="O467" s="12" t="n">
        <f aca="false">IF(F467="","",INT(F467))</f>
        <v>45738</v>
      </c>
    </row>
    <row r="468" customFormat="false" ht="15" hidden="false" customHeight="false" outlineLevel="0" collapsed="false">
      <c r="A468" s="0" t="s">
        <v>976</v>
      </c>
      <c r="B468" s="0" t="s">
        <v>977</v>
      </c>
      <c r="C468" s="0" t="s">
        <v>21</v>
      </c>
      <c r="D468" s="0" t="s">
        <v>42</v>
      </c>
      <c r="E468" s="10" t="n">
        <v>45737.4291666667</v>
      </c>
      <c r="F468" s="10" t="n">
        <v>45737.7562037037</v>
      </c>
      <c r="G468" s="0" t="n">
        <v>883.71</v>
      </c>
      <c r="H468" s="0" t="n">
        <v>939.49</v>
      </c>
      <c r="I468" s="11" t="n">
        <f aca="false">H468-G468</f>
        <v>55.78</v>
      </c>
      <c r="J468" s="5" t="n">
        <f aca="false">IF(G468=0,"",I468/G468)</f>
        <v>0.0631202543820936</v>
      </c>
      <c r="K468" s="0" t="n">
        <v>227.3</v>
      </c>
      <c r="L468" s="0" t="n">
        <v>7.85</v>
      </c>
      <c r="M468" s="11" t="s">
        <v>43</v>
      </c>
      <c r="N468" s="12" t="n">
        <f aca="false">INT(E468)</f>
        <v>45737</v>
      </c>
      <c r="O468" s="12" t="n">
        <f aca="false">IF(F468="","",INT(F468))</f>
        <v>45737</v>
      </c>
    </row>
    <row r="469" customFormat="false" ht="15" hidden="false" customHeight="false" outlineLevel="0" collapsed="false">
      <c r="A469" s="0" t="s">
        <v>978</v>
      </c>
      <c r="B469" s="0" t="s">
        <v>979</v>
      </c>
      <c r="C469" s="0" t="s">
        <v>20</v>
      </c>
      <c r="D469" s="0" t="s">
        <v>48</v>
      </c>
      <c r="E469" s="10" t="n">
        <v>45737.43125</v>
      </c>
      <c r="F469" s="10"/>
      <c r="G469" s="0" t="n">
        <v>178.9</v>
      </c>
      <c r="H469" s="0" t="n">
        <v>180.74</v>
      </c>
      <c r="I469" s="11" t="n">
        <f aca="false">H469-G469</f>
        <v>1.84</v>
      </c>
      <c r="J469" s="5" t="n">
        <f aca="false">IF(G469=0,"",I469/G469)</f>
        <v>0.0102850754611515</v>
      </c>
      <c r="K469" s="0" t="n">
        <v>20</v>
      </c>
      <c r="M469" s="11" t="s">
        <v>43</v>
      </c>
      <c r="N469" s="12" t="n">
        <f aca="false">INT(E469)</f>
        <v>45737</v>
      </c>
      <c r="O469" s="12" t="str">
        <f aca="false">IF(F469="","",INT(F469))</f>
        <v/>
      </c>
    </row>
    <row r="470" customFormat="false" ht="15" hidden="false" customHeight="false" outlineLevel="0" collapsed="false">
      <c r="A470" s="0" t="s">
        <v>980</v>
      </c>
      <c r="B470" s="0" t="s">
        <v>981</v>
      </c>
      <c r="C470" s="0" t="s">
        <v>19</v>
      </c>
      <c r="D470" s="0" t="s">
        <v>42</v>
      </c>
      <c r="E470" s="10" t="n">
        <v>45737.5027777778</v>
      </c>
      <c r="F470" s="10" t="n">
        <v>45738.5402777778</v>
      </c>
      <c r="G470" s="0" t="n">
        <v>451.76</v>
      </c>
      <c r="H470" s="0" t="n">
        <v>448.87</v>
      </c>
      <c r="I470" s="11" t="n">
        <f aca="false">H470-G470</f>
        <v>-2.88999999999999</v>
      </c>
      <c r="J470" s="5" t="n">
        <f aca="false">IF(G470=0,"",I470/G470)</f>
        <v>-0.00639720205418803</v>
      </c>
      <c r="K470" s="0" t="n">
        <v>71.4</v>
      </c>
      <c r="L470" s="0" t="n">
        <v>11.93</v>
      </c>
      <c r="M470" s="11" t="s">
        <v>43</v>
      </c>
      <c r="N470" s="12" t="n">
        <f aca="false">INT(E470)</f>
        <v>45737</v>
      </c>
      <c r="O470" s="12" t="n">
        <f aca="false">IF(F470="","",INT(F470))</f>
        <v>45738</v>
      </c>
    </row>
    <row r="471" customFormat="false" ht="15" hidden="false" customHeight="false" outlineLevel="0" collapsed="false">
      <c r="A471" s="0" t="s">
        <v>982</v>
      </c>
      <c r="B471" s="0" t="s">
        <v>983</v>
      </c>
      <c r="C471" s="0" t="s">
        <v>24</v>
      </c>
      <c r="D471" s="0" t="s">
        <v>42</v>
      </c>
      <c r="E471" s="10" t="n">
        <v>45737.5048611111</v>
      </c>
      <c r="F471" s="10" t="n">
        <v>45739.9590277778</v>
      </c>
      <c r="G471" s="0" t="n">
        <v>550.07</v>
      </c>
      <c r="H471" s="0" t="n">
        <v>565.57</v>
      </c>
      <c r="I471" s="11" t="n">
        <f aca="false">H471-G471</f>
        <v>15.5</v>
      </c>
      <c r="J471" s="5" t="n">
        <f aca="false">IF(G471=0,"",I471/G471)</f>
        <v>0.0281782318613995</v>
      </c>
      <c r="K471" s="0" t="n">
        <v>229</v>
      </c>
      <c r="L471" s="0" t="n">
        <v>11.88</v>
      </c>
      <c r="M471" s="11" t="s">
        <v>43</v>
      </c>
      <c r="N471" s="12" t="n">
        <f aca="false">INT(E471)</f>
        <v>45737</v>
      </c>
      <c r="O471" s="12" t="n">
        <f aca="false">IF(F471="","",INT(F471))</f>
        <v>45739</v>
      </c>
    </row>
    <row r="472" customFormat="false" ht="15" hidden="false" customHeight="false" outlineLevel="0" collapsed="false">
      <c r="A472" s="0" t="s">
        <v>984</v>
      </c>
      <c r="B472" s="0" t="s">
        <v>985</v>
      </c>
      <c r="C472" s="0" t="s">
        <v>23</v>
      </c>
      <c r="D472" s="0" t="s">
        <v>42</v>
      </c>
      <c r="E472" s="10" t="n">
        <v>45737.5208333333</v>
      </c>
      <c r="F472" s="10" t="n">
        <v>45738.2291666667</v>
      </c>
      <c r="G472" s="0" t="n">
        <v>163</v>
      </c>
      <c r="H472" s="0" t="n">
        <v>169.79</v>
      </c>
      <c r="I472" s="11" t="n">
        <f aca="false">H472-G472</f>
        <v>6.78999999999999</v>
      </c>
      <c r="J472" s="5" t="n">
        <f aca="false">IF(G472=0,"",I472/G472)</f>
        <v>0.0416564417177914</v>
      </c>
      <c r="K472" s="0" t="n">
        <v>60.8</v>
      </c>
      <c r="L472" s="0" t="n">
        <v>11.5</v>
      </c>
      <c r="M472" s="11" t="s">
        <v>43</v>
      </c>
      <c r="N472" s="12" t="n">
        <f aca="false">INT(E472)</f>
        <v>45737</v>
      </c>
      <c r="O472" s="12" t="n">
        <f aca="false">IF(F472="","",INT(F472))</f>
        <v>45738</v>
      </c>
    </row>
    <row r="473" customFormat="false" ht="15" hidden="false" customHeight="false" outlineLevel="0" collapsed="false">
      <c r="A473" s="0" t="s">
        <v>986</v>
      </c>
      <c r="B473" s="0" t="s">
        <v>987</v>
      </c>
      <c r="C473" s="0" t="s">
        <v>21</v>
      </c>
      <c r="D473" s="0" t="s">
        <v>42</v>
      </c>
      <c r="E473" s="10" t="n">
        <v>45737.5861111111</v>
      </c>
      <c r="F473" s="10" t="n">
        <v>45738.3486111111</v>
      </c>
      <c r="G473" s="0" t="n">
        <v>330.25</v>
      </c>
      <c r="H473" s="0" t="n">
        <v>326.97</v>
      </c>
      <c r="I473" s="11" t="n">
        <f aca="false">H473-G473</f>
        <v>-3.27999999999997</v>
      </c>
      <c r="J473" s="5" t="n">
        <f aca="false">IF(G473=0,"",I473/G473)</f>
        <v>-0.0099318697956093</v>
      </c>
      <c r="K473" s="0" t="n">
        <v>89.6</v>
      </c>
      <c r="L473" s="0" t="n">
        <v>9.93</v>
      </c>
      <c r="M473" s="11" t="s">
        <v>43</v>
      </c>
      <c r="N473" s="12" t="n">
        <f aca="false">INT(E473)</f>
        <v>45737</v>
      </c>
      <c r="O473" s="12" t="n">
        <f aca="false">IF(F473="","",INT(F473))</f>
        <v>45738</v>
      </c>
    </row>
    <row r="474" customFormat="false" ht="15" hidden="false" customHeight="false" outlineLevel="0" collapsed="false">
      <c r="A474" s="0" t="s">
        <v>988</v>
      </c>
      <c r="B474" s="0" t="s">
        <v>989</v>
      </c>
      <c r="C474" s="0" t="s">
        <v>21</v>
      </c>
      <c r="D474" s="0" t="s">
        <v>42</v>
      </c>
      <c r="E474" s="10" t="n">
        <v>45737.5923611111</v>
      </c>
      <c r="F474" s="10" t="n">
        <v>45738.4569444444</v>
      </c>
      <c r="G474" s="0" t="n">
        <v>336.83</v>
      </c>
      <c r="H474" s="0" t="n">
        <v>330.23</v>
      </c>
      <c r="I474" s="11" t="n">
        <f aca="false">H474-G474</f>
        <v>-6.59999999999997</v>
      </c>
      <c r="J474" s="5" t="n">
        <f aca="false">IF(G474=0,"",I474/G474)</f>
        <v>-0.0195944541756968</v>
      </c>
      <c r="K474" s="0" t="n">
        <v>81</v>
      </c>
      <c r="L474" s="0" t="n">
        <v>9.78</v>
      </c>
      <c r="M474" s="11" t="s">
        <v>43</v>
      </c>
      <c r="N474" s="12" t="n">
        <f aca="false">INT(E474)</f>
        <v>45737</v>
      </c>
      <c r="O474" s="12" t="n">
        <f aca="false">IF(F474="","",INT(F474))</f>
        <v>45738</v>
      </c>
    </row>
    <row r="475" customFormat="false" ht="15" hidden="false" customHeight="false" outlineLevel="0" collapsed="false">
      <c r="A475" s="0" t="s">
        <v>990</v>
      </c>
      <c r="B475" s="0" t="s">
        <v>991</v>
      </c>
      <c r="C475" s="0" t="s">
        <v>20</v>
      </c>
      <c r="D475" s="0" t="s">
        <v>42</v>
      </c>
      <c r="E475" s="10" t="n">
        <v>45737.6006944445</v>
      </c>
      <c r="F475" s="10" t="n">
        <v>45738.3444444445</v>
      </c>
      <c r="G475" s="0" t="n">
        <v>171.84</v>
      </c>
      <c r="H475" s="0" t="n">
        <v>176.31</v>
      </c>
      <c r="I475" s="11" t="n">
        <f aca="false">H475-G475</f>
        <v>4.47</v>
      </c>
      <c r="J475" s="5" t="n">
        <f aca="false">IF(G475=0,"",I475/G475)</f>
        <v>0.0260125698324022</v>
      </c>
      <c r="K475" s="0" t="n">
        <v>33.5</v>
      </c>
      <c r="L475" s="0" t="n">
        <v>9.58</v>
      </c>
      <c r="M475" s="11" t="s">
        <v>43</v>
      </c>
      <c r="N475" s="12" t="n">
        <f aca="false">INT(E475)</f>
        <v>45737</v>
      </c>
      <c r="O475" s="12" t="n">
        <f aca="false">IF(F475="","",INT(F475))</f>
        <v>45738</v>
      </c>
    </row>
    <row r="476" customFormat="false" ht="15" hidden="false" customHeight="false" outlineLevel="0" collapsed="false">
      <c r="A476" s="0" t="s">
        <v>992</v>
      </c>
      <c r="B476" s="0" t="s">
        <v>993</v>
      </c>
      <c r="C476" s="0" t="s">
        <v>24</v>
      </c>
      <c r="D476" s="0" t="s">
        <v>42</v>
      </c>
      <c r="E476" s="10" t="n">
        <v>45737.6104166667</v>
      </c>
      <c r="F476" s="10" t="n">
        <v>45738.9951388889</v>
      </c>
      <c r="G476" s="0" t="n">
        <v>854.16</v>
      </c>
      <c r="H476" s="0" t="n">
        <v>877.61</v>
      </c>
      <c r="I476" s="11" t="n">
        <f aca="false">H476-G476</f>
        <v>23.45</v>
      </c>
      <c r="J476" s="5" t="n">
        <f aca="false">IF(G476=0,"",I476/G476)</f>
        <v>0.0274538728107147</v>
      </c>
      <c r="K476" s="0" t="n">
        <v>237.1</v>
      </c>
      <c r="L476" s="0" t="n">
        <v>9.35</v>
      </c>
      <c r="M476" s="11" t="s">
        <v>43</v>
      </c>
      <c r="N476" s="12" t="n">
        <f aca="false">INT(E476)</f>
        <v>45737</v>
      </c>
      <c r="O476" s="12" t="n">
        <f aca="false">IF(F476="","",INT(F476))</f>
        <v>45738</v>
      </c>
    </row>
    <row r="477" customFormat="false" ht="15" hidden="false" customHeight="false" outlineLevel="0" collapsed="false">
      <c r="A477" s="0" t="s">
        <v>994</v>
      </c>
      <c r="B477" s="0" t="s">
        <v>995</v>
      </c>
      <c r="C477" s="0" t="s">
        <v>19</v>
      </c>
      <c r="D477" s="0" t="s">
        <v>42</v>
      </c>
      <c r="E477" s="10" t="n">
        <v>45737.6236111111</v>
      </c>
      <c r="F477" s="10" t="n">
        <v>45738.2402777778</v>
      </c>
      <c r="G477" s="0" t="n">
        <v>397.73</v>
      </c>
      <c r="H477" s="0" t="n">
        <v>404.62</v>
      </c>
      <c r="I477" s="11" t="n">
        <f aca="false">H477-G477</f>
        <v>6.88999999999999</v>
      </c>
      <c r="J477" s="5" t="n">
        <f aca="false">IF(G477=0,"",I477/G477)</f>
        <v>0.0173233097830186</v>
      </c>
      <c r="K477" s="0" t="n">
        <v>38.1</v>
      </c>
      <c r="L477" s="0" t="n">
        <v>9.03</v>
      </c>
      <c r="M477" s="11" t="s">
        <v>43</v>
      </c>
      <c r="N477" s="12" t="n">
        <f aca="false">INT(E477)</f>
        <v>45737</v>
      </c>
      <c r="O477" s="12" t="n">
        <f aca="false">IF(F477="","",INT(F477))</f>
        <v>45738</v>
      </c>
    </row>
    <row r="478" customFormat="false" ht="15" hidden="false" customHeight="false" outlineLevel="0" collapsed="false">
      <c r="A478" s="0" t="s">
        <v>996</v>
      </c>
      <c r="B478" s="0" t="s">
        <v>997</v>
      </c>
      <c r="C478" s="0" t="s">
        <v>24</v>
      </c>
      <c r="D478" s="0" t="s">
        <v>42</v>
      </c>
      <c r="E478" s="10" t="n">
        <v>45737.6305555556</v>
      </c>
      <c r="F478" s="10" t="n">
        <v>45738.3604166667</v>
      </c>
      <c r="G478" s="0" t="n">
        <v>144.11</v>
      </c>
      <c r="H478" s="0" t="n">
        <v>142.82</v>
      </c>
      <c r="I478" s="11" t="n">
        <f aca="false">H478-G478</f>
        <v>-1.29000000000002</v>
      </c>
      <c r="J478" s="5" t="n">
        <f aca="false">IF(G478=0,"",I478/G478)</f>
        <v>-0.00895149538546958</v>
      </c>
      <c r="K478" s="0" t="n">
        <v>58.9</v>
      </c>
      <c r="L478" s="0" t="n">
        <v>8.87</v>
      </c>
      <c r="M478" s="11" t="s">
        <v>43</v>
      </c>
      <c r="N478" s="12" t="n">
        <f aca="false">INT(E478)</f>
        <v>45737</v>
      </c>
      <c r="O478" s="12" t="n">
        <f aca="false">IF(F478="","",INT(F478))</f>
        <v>45738</v>
      </c>
    </row>
    <row r="479" customFormat="false" ht="15" hidden="false" customHeight="false" outlineLevel="0" collapsed="false">
      <c r="A479" s="0" t="s">
        <v>998</v>
      </c>
      <c r="B479" s="0" t="s">
        <v>999</v>
      </c>
      <c r="C479" s="0" t="s">
        <v>24</v>
      </c>
      <c r="D479" s="0" t="s">
        <v>42</v>
      </c>
      <c r="E479" s="10" t="n">
        <v>45737.6680555556</v>
      </c>
      <c r="F479" s="10" t="n">
        <v>45740.0539236111</v>
      </c>
      <c r="G479" s="0" t="n">
        <v>844.12</v>
      </c>
      <c r="H479" s="0" t="n">
        <v>835.27</v>
      </c>
      <c r="I479" s="11" t="n">
        <f aca="false">H479-G479</f>
        <v>-8.85000000000002</v>
      </c>
      <c r="J479" s="5" t="n">
        <f aca="false">IF(G479=0,"",I479/G479)</f>
        <v>-0.0104842913329859</v>
      </c>
      <c r="K479" s="0" t="n">
        <v>332.7</v>
      </c>
      <c r="L479" s="0" t="n">
        <v>9.26</v>
      </c>
      <c r="M479" s="11" t="s">
        <v>43</v>
      </c>
      <c r="N479" s="12" t="n">
        <f aca="false">INT(E479)</f>
        <v>45737</v>
      </c>
      <c r="O479" s="12" t="n">
        <f aca="false">IF(F479="","",INT(F479))</f>
        <v>45740</v>
      </c>
    </row>
    <row r="480" customFormat="false" ht="15" hidden="false" customHeight="false" outlineLevel="0" collapsed="false">
      <c r="A480" s="0" t="s">
        <v>1000</v>
      </c>
      <c r="B480" s="0" t="s">
        <v>1001</v>
      </c>
      <c r="C480" s="0" t="s">
        <v>23</v>
      </c>
      <c r="D480" s="0" t="s">
        <v>42</v>
      </c>
      <c r="E480" s="10" t="n">
        <v>45737.7083333333</v>
      </c>
      <c r="F480" s="10" t="n">
        <v>45740.8897337963</v>
      </c>
      <c r="G480" s="0" t="n">
        <v>454.03</v>
      </c>
      <c r="H480" s="0" t="n">
        <v>473.13</v>
      </c>
      <c r="I480" s="11" t="n">
        <f aca="false">H480-G480</f>
        <v>19.1</v>
      </c>
      <c r="J480" s="5" t="n">
        <f aca="false">IF(G480=0,"",I480/G480)</f>
        <v>0.0420677047772174</v>
      </c>
      <c r="K480" s="0" t="n">
        <v>196.3</v>
      </c>
      <c r="L480" s="0" t="n">
        <v>28.35</v>
      </c>
      <c r="M480" s="11" t="s">
        <v>43</v>
      </c>
      <c r="N480" s="12" t="n">
        <f aca="false">INT(E480)</f>
        <v>45737</v>
      </c>
      <c r="O480" s="12" t="n">
        <f aca="false">IF(F480="","",INT(F480))</f>
        <v>45740</v>
      </c>
    </row>
    <row r="481" customFormat="false" ht="15" hidden="false" customHeight="false" outlineLevel="0" collapsed="false">
      <c r="A481" s="0" t="s">
        <v>1002</v>
      </c>
      <c r="B481" s="0" t="s">
        <v>1003</v>
      </c>
      <c r="C481" s="0" t="s">
        <v>21</v>
      </c>
      <c r="D481" s="0" t="s">
        <v>42</v>
      </c>
      <c r="E481" s="10" t="n">
        <v>45737.7215277778</v>
      </c>
      <c r="F481" s="10" t="n">
        <v>45739.2961458333</v>
      </c>
      <c r="G481" s="0" t="n">
        <v>224.82</v>
      </c>
      <c r="H481" s="0" t="n">
        <v>222.53</v>
      </c>
      <c r="I481" s="11" t="n">
        <f aca="false">H481-G481</f>
        <v>-2.28999999999999</v>
      </c>
      <c r="J481" s="5" t="n">
        <f aca="false">IF(G481=0,"",I481/G481)</f>
        <v>-0.0101859265189929</v>
      </c>
      <c r="K481" s="0" t="n">
        <v>49.2</v>
      </c>
      <c r="L481" s="0" t="n">
        <v>6.68</v>
      </c>
      <c r="M481" s="11" t="s">
        <v>43</v>
      </c>
      <c r="N481" s="12" t="n">
        <f aca="false">INT(E481)</f>
        <v>45737</v>
      </c>
      <c r="O481" s="12" t="n">
        <f aca="false">IF(F481="","",INT(F481))</f>
        <v>45739</v>
      </c>
    </row>
    <row r="482" customFormat="false" ht="15" hidden="false" customHeight="false" outlineLevel="0" collapsed="false">
      <c r="A482" s="0" t="s">
        <v>1004</v>
      </c>
      <c r="B482" s="0" t="s">
        <v>1005</v>
      </c>
      <c r="C482" s="0" t="s">
        <v>22</v>
      </c>
      <c r="D482" s="0" t="s">
        <v>42</v>
      </c>
      <c r="E482" s="10" t="n">
        <v>45737.7458333333</v>
      </c>
      <c r="F482" s="10" t="n">
        <v>45738.2953472222</v>
      </c>
      <c r="G482" s="0" t="n">
        <v>404.51</v>
      </c>
      <c r="H482" s="0" t="n">
        <v>396.96</v>
      </c>
      <c r="I482" s="11" t="n">
        <f aca="false">H482-G482</f>
        <v>-7.55000000000001</v>
      </c>
      <c r="J482" s="5" t="n">
        <f aca="false">IF(G482=0,"",I482/G482)</f>
        <v>-0.0186645571184891</v>
      </c>
      <c r="K482" s="0" t="n">
        <v>54.5</v>
      </c>
      <c r="L482" s="0" t="n">
        <v>6.1</v>
      </c>
      <c r="M482" s="11" t="s">
        <v>43</v>
      </c>
      <c r="N482" s="12" t="n">
        <f aca="false">INT(E482)</f>
        <v>45737</v>
      </c>
      <c r="O482" s="12" t="n">
        <f aca="false">IF(F482="","",INT(F482))</f>
        <v>45738</v>
      </c>
    </row>
    <row r="483" customFormat="false" ht="15" hidden="false" customHeight="false" outlineLevel="0" collapsed="false">
      <c r="A483" s="0" t="s">
        <v>1006</v>
      </c>
      <c r="B483" s="0" t="s">
        <v>1007</v>
      </c>
      <c r="C483" s="0" t="s">
        <v>21</v>
      </c>
      <c r="D483" s="0" t="s">
        <v>42</v>
      </c>
      <c r="E483" s="10" t="n">
        <v>45737.7541666667</v>
      </c>
      <c r="F483" s="10" t="n">
        <v>45738.3666666667</v>
      </c>
      <c r="G483" s="0" t="n">
        <v>482.42</v>
      </c>
      <c r="H483" s="0" t="n">
        <v>348.53</v>
      </c>
      <c r="I483" s="11" t="n">
        <f aca="false">H483-G483</f>
        <v>-133.89</v>
      </c>
      <c r="J483" s="5" t="n">
        <f aca="false">IF(G483=0,"",I483/G483)</f>
        <v>-0.277538244683056</v>
      </c>
      <c r="K483" s="0" t="n">
        <v>99.4</v>
      </c>
      <c r="L483" s="0" t="n">
        <v>5.9</v>
      </c>
      <c r="M483" s="11" t="s">
        <v>43</v>
      </c>
      <c r="N483" s="12" t="n">
        <f aca="false">INT(E483)</f>
        <v>45737</v>
      </c>
      <c r="O483" s="12" t="n">
        <f aca="false">IF(F483="","",INT(F483))</f>
        <v>45738</v>
      </c>
    </row>
    <row r="484" customFormat="false" ht="15" hidden="false" customHeight="false" outlineLevel="0" collapsed="false">
      <c r="A484" s="0" t="s">
        <v>1008</v>
      </c>
      <c r="B484" s="0" t="s">
        <v>1009</v>
      </c>
      <c r="C484" s="0" t="s">
        <v>23</v>
      </c>
      <c r="D484" s="0" t="s">
        <v>48</v>
      </c>
      <c r="E484" s="10" t="n">
        <v>45737.7722222222</v>
      </c>
      <c r="F484" s="10"/>
      <c r="G484" s="0" t="n">
        <v>645.91</v>
      </c>
      <c r="H484" s="0" t="n">
        <v>629.26</v>
      </c>
      <c r="I484" s="11" t="n">
        <f aca="false">H484-G484</f>
        <v>-16.65</v>
      </c>
      <c r="J484" s="5" t="n">
        <f aca="false">IF(G484=0,"",I484/G484)</f>
        <v>-0.0257775851124769</v>
      </c>
      <c r="K484" s="0" t="n">
        <v>134.8</v>
      </c>
      <c r="M484" s="11" t="s">
        <v>43</v>
      </c>
      <c r="N484" s="12" t="n">
        <f aca="false">INT(E484)</f>
        <v>45737</v>
      </c>
      <c r="O484" s="12" t="str">
        <f aca="false">IF(F484="","",INT(F484))</f>
        <v/>
      </c>
    </row>
    <row r="485" customFormat="false" ht="15" hidden="false" customHeight="false" outlineLevel="0" collapsed="false">
      <c r="A485" s="0" t="s">
        <v>1010</v>
      </c>
      <c r="B485" s="0" t="s">
        <v>1011</v>
      </c>
      <c r="C485" s="0" t="s">
        <v>20</v>
      </c>
      <c r="D485" s="0" t="s">
        <v>42</v>
      </c>
      <c r="E485" s="10" t="n">
        <v>45740.2930555556</v>
      </c>
      <c r="F485" s="10" t="n">
        <v>45741.9104513889</v>
      </c>
      <c r="G485" s="0" t="n">
        <v>193.47</v>
      </c>
      <c r="H485" s="0" t="n">
        <v>191.48</v>
      </c>
      <c r="I485" s="11" t="n">
        <f aca="false">H485-G485</f>
        <v>-1.99000000000001</v>
      </c>
      <c r="J485" s="5" t="n">
        <f aca="false">IF(G485=0,"",I485/G485)</f>
        <v>-0.0102858324288004</v>
      </c>
      <c r="K485" s="0" t="n">
        <v>32.6</v>
      </c>
      <c r="L485" s="0" t="n">
        <v>38.82</v>
      </c>
      <c r="M485" s="11" t="s">
        <v>43</v>
      </c>
      <c r="N485" s="12" t="n">
        <f aca="false">INT(E485)</f>
        <v>45740</v>
      </c>
      <c r="O485" s="12" t="n">
        <f aca="false">IF(F485="","",INT(F485))</f>
        <v>45741</v>
      </c>
    </row>
    <row r="486" customFormat="false" ht="15" hidden="false" customHeight="false" outlineLevel="0" collapsed="false">
      <c r="A486" s="0" t="s">
        <v>1012</v>
      </c>
      <c r="B486" s="0" t="s">
        <v>1013</v>
      </c>
      <c r="C486" s="0" t="s">
        <v>23</v>
      </c>
      <c r="D486" s="0" t="s">
        <v>42</v>
      </c>
      <c r="E486" s="10" t="n">
        <v>45740.2944444444</v>
      </c>
      <c r="F486" s="10" t="n">
        <v>45741.9265856482</v>
      </c>
      <c r="G486" s="0" t="n">
        <v>203.87</v>
      </c>
      <c r="H486" s="0" t="n">
        <v>200.76</v>
      </c>
      <c r="I486" s="11" t="n">
        <f aca="false">H486-G486</f>
        <v>-3.11000000000001</v>
      </c>
      <c r="J486" s="5" t="n">
        <f aca="false">IF(G486=0,"",I486/G486)</f>
        <v>-0.0152548192475598</v>
      </c>
      <c r="K486" s="0" t="n">
        <v>81.5</v>
      </c>
      <c r="L486" s="0" t="n">
        <v>39.17</v>
      </c>
      <c r="M486" s="11" t="s">
        <v>43</v>
      </c>
      <c r="N486" s="12" t="n">
        <f aca="false">INT(E486)</f>
        <v>45740</v>
      </c>
      <c r="O486" s="12" t="n">
        <f aca="false">IF(F486="","",INT(F486))</f>
        <v>45741</v>
      </c>
    </row>
    <row r="487" customFormat="false" ht="15" hidden="false" customHeight="false" outlineLevel="0" collapsed="false">
      <c r="A487" s="0" t="s">
        <v>1014</v>
      </c>
      <c r="B487" s="0" t="s">
        <v>1015</v>
      </c>
      <c r="C487" s="0" t="s">
        <v>20</v>
      </c>
      <c r="D487" s="0" t="s">
        <v>42</v>
      </c>
      <c r="E487" s="10" t="n">
        <v>45740.2951388889</v>
      </c>
      <c r="F487" s="10" t="n">
        <v>45741.0471759259</v>
      </c>
      <c r="G487" s="0" t="n">
        <v>426.26</v>
      </c>
      <c r="H487" s="0" t="n">
        <v>410.17</v>
      </c>
      <c r="I487" s="11" t="n">
        <f aca="false">H487-G487</f>
        <v>-16.09</v>
      </c>
      <c r="J487" s="5" t="n">
        <f aca="false">IF(G487=0,"",I487/G487)</f>
        <v>-0.0377469150283864</v>
      </c>
      <c r="K487" s="0" t="n">
        <v>58.9</v>
      </c>
      <c r="L487" s="0" t="n">
        <v>18.05</v>
      </c>
      <c r="M487" s="11" t="s">
        <v>43</v>
      </c>
      <c r="N487" s="12" t="n">
        <f aca="false">INT(E487)</f>
        <v>45740</v>
      </c>
      <c r="O487" s="12" t="n">
        <f aca="false">IF(F487="","",INT(F487))</f>
        <v>45741</v>
      </c>
    </row>
    <row r="488" customFormat="false" ht="15" hidden="false" customHeight="false" outlineLevel="0" collapsed="false">
      <c r="A488" s="0" t="s">
        <v>1016</v>
      </c>
      <c r="B488" s="0" t="s">
        <v>1017</v>
      </c>
      <c r="C488" s="0" t="s">
        <v>23</v>
      </c>
      <c r="D488" s="0" t="s">
        <v>42</v>
      </c>
      <c r="E488" s="10" t="n">
        <v>45740.3298611111</v>
      </c>
      <c r="F488" s="10" t="n">
        <v>45741.2404050926</v>
      </c>
      <c r="G488" s="0" t="n">
        <v>94.1</v>
      </c>
      <c r="H488" s="0" t="n">
        <v>95.75</v>
      </c>
      <c r="I488" s="11" t="n">
        <f aca="false">H488-G488</f>
        <v>1.65000000000001</v>
      </c>
      <c r="J488" s="5" t="n">
        <f aca="false">IF(G488=0,"",I488/G488)</f>
        <v>0.0175345377258237</v>
      </c>
      <c r="K488" s="0" t="n">
        <v>37</v>
      </c>
      <c r="L488" s="0" t="n">
        <v>21.85</v>
      </c>
      <c r="M488" s="11" t="s">
        <v>43</v>
      </c>
      <c r="N488" s="12" t="n">
        <f aca="false">INT(E488)</f>
        <v>45740</v>
      </c>
      <c r="O488" s="12" t="n">
        <f aca="false">IF(F488="","",INT(F488))</f>
        <v>45741</v>
      </c>
    </row>
    <row r="489" customFormat="false" ht="15" hidden="false" customHeight="false" outlineLevel="0" collapsed="false">
      <c r="A489" s="0" t="s">
        <v>1018</v>
      </c>
      <c r="B489" s="0" t="s">
        <v>1019</v>
      </c>
      <c r="C489" s="0" t="s">
        <v>19</v>
      </c>
      <c r="D489" s="0" t="s">
        <v>48</v>
      </c>
      <c r="E489" s="10" t="n">
        <v>45740.3923611111</v>
      </c>
      <c r="F489" s="10"/>
      <c r="G489" s="0" t="n">
        <v>172.66</v>
      </c>
      <c r="H489" s="0" t="n">
        <v>173.54</v>
      </c>
      <c r="I489" s="11" t="n">
        <f aca="false">H489-G489</f>
        <v>0.879999999999996</v>
      </c>
      <c r="J489" s="5" t="n">
        <f aca="false">IF(G489=0,"",I489/G489)</f>
        <v>0.00509672188115369</v>
      </c>
      <c r="K489" s="0" t="n">
        <v>16.4</v>
      </c>
      <c r="M489" s="11" t="s">
        <v>43</v>
      </c>
      <c r="N489" s="12" t="n">
        <f aca="false">INT(E489)</f>
        <v>45740</v>
      </c>
      <c r="O489" s="12" t="str">
        <f aca="false">IF(F489="","",INT(F489))</f>
        <v/>
      </c>
    </row>
    <row r="490" customFormat="false" ht="15" hidden="false" customHeight="false" outlineLevel="0" collapsed="false">
      <c r="A490" s="0" t="s">
        <v>1020</v>
      </c>
      <c r="B490" s="0" t="s">
        <v>1021</v>
      </c>
      <c r="C490" s="0" t="s">
        <v>23</v>
      </c>
      <c r="D490" s="0" t="s">
        <v>42</v>
      </c>
      <c r="E490" s="10" t="n">
        <v>45740.3930555556</v>
      </c>
      <c r="F490" s="10" t="n">
        <v>45741.2429282407</v>
      </c>
      <c r="G490" s="0" t="n">
        <v>680.29</v>
      </c>
      <c r="H490" s="0" t="n">
        <v>692.97</v>
      </c>
      <c r="I490" s="11" t="n">
        <f aca="false">H490-G490</f>
        <v>12.6800000000001</v>
      </c>
      <c r="J490" s="5" t="n">
        <f aca="false">IF(G490=0,"",I490/G490)</f>
        <v>0.0186391097914126</v>
      </c>
      <c r="K490" s="0" t="n">
        <v>271.7</v>
      </c>
      <c r="L490" s="0" t="n">
        <v>20.4</v>
      </c>
      <c r="M490" s="11" t="s">
        <v>43</v>
      </c>
      <c r="N490" s="12" t="n">
        <f aca="false">INT(E490)</f>
        <v>45740</v>
      </c>
      <c r="O490" s="12" t="n">
        <f aca="false">IF(F490="","",INT(F490))</f>
        <v>45741</v>
      </c>
    </row>
    <row r="491" customFormat="false" ht="15" hidden="false" customHeight="false" outlineLevel="0" collapsed="false">
      <c r="A491" s="0" t="s">
        <v>1022</v>
      </c>
      <c r="B491" s="0" t="s">
        <v>1023</v>
      </c>
      <c r="C491" s="0" t="s">
        <v>21</v>
      </c>
      <c r="D491" s="0" t="s">
        <v>42</v>
      </c>
      <c r="E491" s="10" t="n">
        <v>45740.4131944445</v>
      </c>
      <c r="F491" s="10" t="n">
        <v>45740.9819444444</v>
      </c>
      <c r="G491" s="0" t="n">
        <v>748.26</v>
      </c>
      <c r="H491" s="0" t="n">
        <v>733.17</v>
      </c>
      <c r="I491" s="11" t="n">
        <f aca="false">H491-G491</f>
        <v>-15.09</v>
      </c>
      <c r="J491" s="5" t="n">
        <f aca="false">IF(G491=0,"",I491/G491)</f>
        <v>-0.0201667869457141</v>
      </c>
      <c r="K491" s="0" t="n">
        <v>94.4</v>
      </c>
      <c r="L491" s="0" t="n">
        <v>13.65</v>
      </c>
      <c r="M491" s="11" t="s">
        <v>43</v>
      </c>
      <c r="N491" s="12" t="n">
        <f aca="false">INT(E491)</f>
        <v>45740</v>
      </c>
      <c r="O491" s="12" t="n">
        <f aca="false">IF(F491="","",INT(F491))</f>
        <v>45740</v>
      </c>
    </row>
    <row r="492" customFormat="false" ht="15" hidden="false" customHeight="false" outlineLevel="0" collapsed="false">
      <c r="A492" s="0" t="s">
        <v>1024</v>
      </c>
      <c r="B492" s="0" t="s">
        <v>1025</v>
      </c>
      <c r="C492" s="0" t="s">
        <v>24</v>
      </c>
      <c r="D492" s="0" t="s">
        <v>42</v>
      </c>
      <c r="E492" s="10" t="n">
        <v>45740.4180555556</v>
      </c>
      <c r="F492" s="10" t="n">
        <v>45742.2222222222</v>
      </c>
      <c r="G492" s="0" t="n">
        <v>544.3</v>
      </c>
      <c r="H492" s="0" t="n">
        <v>539.55</v>
      </c>
      <c r="I492" s="11" t="n">
        <f aca="false">H492-G492</f>
        <v>-4.75</v>
      </c>
      <c r="J492" s="5" t="n">
        <f aca="false">IF(G492=0,"",I492/G492)</f>
        <v>-0.00872680507073305</v>
      </c>
      <c r="K492" s="0" t="n">
        <v>179.6</v>
      </c>
      <c r="L492" s="0" t="n">
        <v>43.3</v>
      </c>
      <c r="M492" s="11" t="s">
        <v>43</v>
      </c>
      <c r="N492" s="12" t="n">
        <f aca="false">INT(E492)</f>
        <v>45740</v>
      </c>
      <c r="O492" s="12" t="n">
        <f aca="false">IF(F492="","",INT(F492))</f>
        <v>45742</v>
      </c>
    </row>
    <row r="493" customFormat="false" ht="15" hidden="false" customHeight="false" outlineLevel="0" collapsed="false">
      <c r="A493" s="0" t="s">
        <v>1026</v>
      </c>
      <c r="B493" s="0" t="s">
        <v>1027</v>
      </c>
      <c r="C493" s="0" t="s">
        <v>19</v>
      </c>
      <c r="D493" s="0" t="s">
        <v>42</v>
      </c>
      <c r="E493" s="10" t="n">
        <v>45740.4729166667</v>
      </c>
      <c r="F493" s="10" t="n">
        <v>45741.0210416667</v>
      </c>
      <c r="G493" s="0" t="n">
        <v>399.04</v>
      </c>
      <c r="H493" s="0" t="n">
        <v>393.43</v>
      </c>
      <c r="I493" s="11" t="n">
        <f aca="false">H493-G493</f>
        <v>-5.61000000000001</v>
      </c>
      <c r="J493" s="5" t="n">
        <f aca="false">IF(G493=0,"",I493/G493)</f>
        <v>-0.0140587409783481</v>
      </c>
      <c r="K493" s="0" t="n">
        <v>71.3</v>
      </c>
      <c r="L493" s="0" t="n">
        <v>13.15</v>
      </c>
      <c r="M493" s="11" t="s">
        <v>43</v>
      </c>
      <c r="N493" s="12" t="n">
        <f aca="false">INT(E493)</f>
        <v>45740</v>
      </c>
      <c r="O493" s="12" t="n">
        <f aca="false">IF(F493="","",INT(F493))</f>
        <v>45741</v>
      </c>
    </row>
    <row r="494" customFormat="false" ht="15" hidden="false" customHeight="false" outlineLevel="0" collapsed="false">
      <c r="A494" s="0" t="s">
        <v>1028</v>
      </c>
      <c r="B494" s="0" t="s">
        <v>1029</v>
      </c>
      <c r="C494" s="0" t="s">
        <v>23</v>
      </c>
      <c r="D494" s="0" t="s">
        <v>42</v>
      </c>
      <c r="E494" s="10" t="n">
        <v>45740.5</v>
      </c>
      <c r="F494" s="10" t="n">
        <v>45742.0645833333</v>
      </c>
      <c r="G494" s="0" t="n">
        <v>536.78</v>
      </c>
      <c r="H494" s="0" t="n">
        <v>524.99</v>
      </c>
      <c r="I494" s="11" t="n">
        <f aca="false">H494-G494</f>
        <v>-11.79</v>
      </c>
      <c r="J494" s="5" t="n">
        <f aca="false">IF(G494=0,"",I494/G494)</f>
        <v>-0.021964305674578</v>
      </c>
      <c r="K494" s="0" t="n">
        <v>203.2</v>
      </c>
      <c r="L494" s="0" t="n">
        <v>37.55</v>
      </c>
      <c r="M494" s="11" t="s">
        <v>43</v>
      </c>
      <c r="N494" s="12" t="n">
        <f aca="false">INT(E494)</f>
        <v>45740</v>
      </c>
      <c r="O494" s="12" t="n">
        <f aca="false">IF(F494="","",INT(F494))</f>
        <v>45742</v>
      </c>
    </row>
    <row r="495" customFormat="false" ht="15" hidden="false" customHeight="false" outlineLevel="0" collapsed="false">
      <c r="A495" s="0" t="s">
        <v>1030</v>
      </c>
      <c r="B495" s="0" t="s">
        <v>1031</v>
      </c>
      <c r="C495" s="0" t="s">
        <v>23</v>
      </c>
      <c r="D495" s="0" t="s">
        <v>42</v>
      </c>
      <c r="E495" s="10" t="n">
        <v>45740.5076388889</v>
      </c>
      <c r="F495" s="10" t="n">
        <v>45741.5465856482</v>
      </c>
      <c r="G495" s="0" t="n">
        <v>302.09</v>
      </c>
      <c r="H495" s="0" t="n">
        <v>302.53</v>
      </c>
      <c r="I495" s="11" t="n">
        <f aca="false">H495-G495</f>
        <v>0.439999999999998</v>
      </c>
      <c r="J495" s="5" t="n">
        <f aca="false">IF(G495=0,"",I495/G495)</f>
        <v>0.00145651958025753</v>
      </c>
      <c r="K495" s="0" t="n">
        <v>82.9</v>
      </c>
      <c r="L495" s="0" t="n">
        <v>24.93</v>
      </c>
      <c r="M495" s="11" t="s">
        <v>43</v>
      </c>
      <c r="N495" s="12" t="n">
        <f aca="false">INT(E495)</f>
        <v>45740</v>
      </c>
      <c r="O495" s="12" t="n">
        <f aca="false">IF(F495="","",INT(F495))</f>
        <v>45741</v>
      </c>
    </row>
    <row r="496" customFormat="false" ht="15" hidden="false" customHeight="false" outlineLevel="0" collapsed="false">
      <c r="A496" s="0" t="s">
        <v>1032</v>
      </c>
      <c r="B496" s="0" t="s">
        <v>1033</v>
      </c>
      <c r="C496" s="0" t="s">
        <v>20</v>
      </c>
      <c r="D496" s="0" t="s">
        <v>42</v>
      </c>
      <c r="E496" s="10" t="n">
        <v>45740.5256944444</v>
      </c>
      <c r="F496" s="10" t="n">
        <v>45741.2145833333</v>
      </c>
      <c r="G496" s="0" t="n">
        <v>1359.14</v>
      </c>
      <c r="H496" s="0" t="n">
        <v>1349.3</v>
      </c>
      <c r="I496" s="11" t="n">
        <f aca="false">H496-G496</f>
        <v>-9.84000000000015</v>
      </c>
      <c r="J496" s="5" t="n">
        <f aca="false">IF(G496=0,"",I496/G496)</f>
        <v>-0.00723987227217222</v>
      </c>
      <c r="K496" s="0" t="n">
        <v>221.6</v>
      </c>
      <c r="L496" s="0" t="n">
        <v>16.53</v>
      </c>
      <c r="M496" s="11" t="s">
        <v>43</v>
      </c>
      <c r="N496" s="12" t="n">
        <f aca="false">INT(E496)</f>
        <v>45740</v>
      </c>
      <c r="O496" s="12" t="n">
        <f aca="false">IF(F496="","",INT(F496))</f>
        <v>45741</v>
      </c>
    </row>
    <row r="497" customFormat="false" ht="15" hidden="false" customHeight="false" outlineLevel="0" collapsed="false">
      <c r="A497" s="0" t="s">
        <v>1034</v>
      </c>
      <c r="B497" s="0" t="s">
        <v>1035</v>
      </c>
      <c r="C497" s="0" t="s">
        <v>24</v>
      </c>
      <c r="D497" s="0" t="s">
        <v>42</v>
      </c>
      <c r="E497" s="10" t="n">
        <v>45740.5368055556</v>
      </c>
      <c r="F497" s="10" t="n">
        <v>45741.6826388889</v>
      </c>
      <c r="G497" s="0" t="n">
        <v>361.37</v>
      </c>
      <c r="H497" s="0" t="n">
        <v>357.56</v>
      </c>
      <c r="I497" s="11" t="n">
        <f aca="false">H497-G497</f>
        <v>-3.81</v>
      </c>
      <c r="J497" s="5" t="n">
        <f aca="false">IF(G497=0,"",I497/G497)</f>
        <v>-0.010543210559814</v>
      </c>
      <c r="K497" s="0" t="n">
        <v>123.2</v>
      </c>
      <c r="L497" s="0" t="n">
        <v>27.5</v>
      </c>
      <c r="M497" s="11" t="s">
        <v>43</v>
      </c>
      <c r="N497" s="12" t="n">
        <f aca="false">INT(E497)</f>
        <v>45740</v>
      </c>
      <c r="O497" s="12" t="n">
        <f aca="false">IF(F497="","",INT(F497))</f>
        <v>45741</v>
      </c>
    </row>
    <row r="498" customFormat="false" ht="15" hidden="false" customHeight="false" outlineLevel="0" collapsed="false">
      <c r="A498" s="0" t="s">
        <v>1036</v>
      </c>
      <c r="B498" s="0" t="s">
        <v>1037</v>
      </c>
      <c r="C498" s="0" t="s">
        <v>21</v>
      </c>
      <c r="D498" s="0" t="s">
        <v>42</v>
      </c>
      <c r="E498" s="10" t="n">
        <v>45740.5652777778</v>
      </c>
      <c r="F498" s="10" t="n">
        <v>45741.3381712963</v>
      </c>
      <c r="G498" s="0" t="n">
        <v>1359.68</v>
      </c>
      <c r="H498" s="0" t="n">
        <v>1301.99</v>
      </c>
      <c r="I498" s="11" t="n">
        <f aca="false">H498-G498</f>
        <v>-57.6900000000001</v>
      </c>
      <c r="J498" s="5" t="n">
        <f aca="false">IF(G498=0,"",I498/G498)</f>
        <v>-0.042429100964933</v>
      </c>
      <c r="K498" s="0" t="n">
        <v>235</v>
      </c>
      <c r="L498" s="0" t="n">
        <v>18.55</v>
      </c>
      <c r="M498" s="11" t="s">
        <v>43</v>
      </c>
      <c r="N498" s="12" t="n">
        <f aca="false">INT(E498)</f>
        <v>45740</v>
      </c>
      <c r="O498" s="12" t="n">
        <f aca="false">IF(F498="","",INT(F498))</f>
        <v>45741</v>
      </c>
    </row>
    <row r="499" customFormat="false" ht="15" hidden="false" customHeight="false" outlineLevel="0" collapsed="false">
      <c r="A499" s="0" t="s">
        <v>1038</v>
      </c>
      <c r="B499" s="0" t="s">
        <v>1039</v>
      </c>
      <c r="C499" s="0" t="s">
        <v>23</v>
      </c>
      <c r="D499" s="0" t="s">
        <v>42</v>
      </c>
      <c r="E499" s="10" t="n">
        <v>45740.6020833333</v>
      </c>
      <c r="F499" s="10" t="n">
        <v>45743.368900463</v>
      </c>
      <c r="G499" s="0" t="n">
        <v>559.29</v>
      </c>
      <c r="H499" s="0" t="n">
        <v>563.89</v>
      </c>
      <c r="I499" s="11" t="n">
        <f aca="false">H499-G499</f>
        <v>4.60000000000002</v>
      </c>
      <c r="J499" s="5" t="n">
        <f aca="false">IF(G499=0,"",I499/G499)</f>
        <v>0.00822471347601427</v>
      </c>
      <c r="K499" s="0" t="n">
        <v>181.8</v>
      </c>
      <c r="L499" s="0" t="n">
        <v>66.4</v>
      </c>
      <c r="M499" s="11" t="s">
        <v>43</v>
      </c>
      <c r="N499" s="12" t="n">
        <f aca="false">INT(E499)</f>
        <v>45740</v>
      </c>
      <c r="O499" s="12" t="n">
        <f aca="false">IF(F499="","",INT(F499))</f>
        <v>45743</v>
      </c>
    </row>
    <row r="500" customFormat="false" ht="15" hidden="false" customHeight="false" outlineLevel="0" collapsed="false">
      <c r="A500" s="0" t="s">
        <v>1040</v>
      </c>
      <c r="B500" s="0" t="s">
        <v>1041</v>
      </c>
      <c r="C500" s="0" t="s">
        <v>20</v>
      </c>
      <c r="D500" s="0" t="s">
        <v>42</v>
      </c>
      <c r="E500" s="10" t="n">
        <v>45740.6076388889</v>
      </c>
      <c r="F500" s="10" t="n">
        <v>45741.1778472222</v>
      </c>
      <c r="G500" s="0" t="n">
        <v>475.56</v>
      </c>
      <c r="H500" s="0" t="n">
        <v>346.01</v>
      </c>
      <c r="I500" s="11" t="n">
        <f aca="false">H500-G500</f>
        <v>-129.55</v>
      </c>
      <c r="J500" s="5" t="n">
        <f aca="false">IF(G500=0,"",I500/G500)</f>
        <v>-0.272415678358146</v>
      </c>
      <c r="K500" s="0" t="n">
        <v>67.5</v>
      </c>
      <c r="L500" s="0" t="n">
        <v>13.69</v>
      </c>
      <c r="M500" s="11" t="s">
        <v>43</v>
      </c>
      <c r="N500" s="12" t="n">
        <f aca="false">INT(E500)</f>
        <v>45740</v>
      </c>
      <c r="O500" s="12" t="n">
        <f aca="false">IF(F500="","",INT(F500))</f>
        <v>45741</v>
      </c>
    </row>
    <row r="501" customFormat="false" ht="15" hidden="false" customHeight="false" outlineLevel="0" collapsed="false">
      <c r="A501" s="0" t="s">
        <v>1042</v>
      </c>
      <c r="B501" s="0" t="s">
        <v>1043</v>
      </c>
      <c r="C501" s="0" t="s">
        <v>24</v>
      </c>
      <c r="D501" s="0" t="s">
        <v>42</v>
      </c>
      <c r="E501" s="10" t="n">
        <v>45740.6215277778</v>
      </c>
      <c r="F501" s="10" t="n">
        <v>45742.2270833333</v>
      </c>
      <c r="G501" s="0" t="n">
        <v>174.9</v>
      </c>
      <c r="H501" s="0" t="n">
        <v>173</v>
      </c>
      <c r="I501" s="11" t="n">
        <f aca="false">H501-G501</f>
        <v>-1.90000000000001</v>
      </c>
      <c r="J501" s="5" t="n">
        <f aca="false">IF(G501=0,"",I501/G501)</f>
        <v>-0.010863350485992</v>
      </c>
      <c r="K501" s="0" t="n">
        <v>68.8</v>
      </c>
      <c r="L501" s="0" t="n">
        <v>38.53</v>
      </c>
      <c r="M501" s="11" t="s">
        <v>43</v>
      </c>
      <c r="N501" s="12" t="n">
        <f aca="false">INT(E501)</f>
        <v>45740</v>
      </c>
      <c r="O501" s="12" t="n">
        <f aca="false">IF(F501="","",INT(F501))</f>
        <v>45742</v>
      </c>
    </row>
    <row r="502" customFormat="false" ht="15" hidden="false" customHeight="false" outlineLevel="0" collapsed="false">
      <c r="A502" s="0" t="s">
        <v>1044</v>
      </c>
      <c r="B502" s="0" t="s">
        <v>1045</v>
      </c>
      <c r="C502" s="0" t="s">
        <v>24</v>
      </c>
      <c r="D502" s="0" t="s">
        <v>42</v>
      </c>
      <c r="E502" s="10" t="n">
        <v>45740.6520833333</v>
      </c>
      <c r="F502" s="10" t="n">
        <v>45743.3263888889</v>
      </c>
      <c r="G502" s="0" t="n">
        <v>577.96</v>
      </c>
      <c r="H502" s="0" t="n">
        <v>582.87</v>
      </c>
      <c r="I502" s="11" t="n">
        <f aca="false">H502-G502</f>
        <v>4.90999999999997</v>
      </c>
      <c r="J502" s="5" t="n">
        <f aca="false">IF(G502=0,"",I502/G502)</f>
        <v>0.00849539760537056</v>
      </c>
      <c r="K502" s="0" t="n">
        <v>214.6</v>
      </c>
      <c r="L502" s="0" t="n">
        <v>64.18</v>
      </c>
      <c r="M502" s="11" t="s">
        <v>43</v>
      </c>
      <c r="N502" s="12" t="n">
        <f aca="false">INT(E502)</f>
        <v>45740</v>
      </c>
      <c r="O502" s="12" t="n">
        <f aca="false">IF(F502="","",INT(F502))</f>
        <v>45743</v>
      </c>
    </row>
    <row r="503" customFormat="false" ht="15" hidden="false" customHeight="false" outlineLevel="0" collapsed="false">
      <c r="A503" s="0" t="s">
        <v>1046</v>
      </c>
      <c r="B503" s="0" t="s">
        <v>1047</v>
      </c>
      <c r="C503" s="0" t="s">
        <v>23</v>
      </c>
      <c r="D503" s="0" t="s">
        <v>42</v>
      </c>
      <c r="E503" s="10" t="n">
        <v>45740.6569444445</v>
      </c>
      <c r="F503" s="10" t="n">
        <v>45743.69375</v>
      </c>
      <c r="G503" s="0" t="n">
        <v>233.39</v>
      </c>
      <c r="H503" s="0" t="n">
        <v>237.12</v>
      </c>
      <c r="I503" s="11" t="n">
        <f aca="false">H503-G503</f>
        <v>3.73000000000002</v>
      </c>
      <c r="J503" s="5" t="n">
        <f aca="false">IF(G503=0,"",I503/G503)</f>
        <v>0.0159818329834184</v>
      </c>
      <c r="K503" s="0" t="n">
        <v>100.5</v>
      </c>
      <c r="L503" s="0" t="n">
        <v>72.88</v>
      </c>
      <c r="M503" s="11" t="s">
        <v>43</v>
      </c>
      <c r="N503" s="12" t="n">
        <f aca="false">INT(E503)</f>
        <v>45740</v>
      </c>
      <c r="O503" s="12" t="n">
        <f aca="false">IF(F503="","",INT(F503))</f>
        <v>45743</v>
      </c>
    </row>
    <row r="504" customFormat="false" ht="15" hidden="false" customHeight="false" outlineLevel="0" collapsed="false">
      <c r="A504" s="0" t="s">
        <v>1048</v>
      </c>
      <c r="B504" s="0" t="s">
        <v>1049</v>
      </c>
      <c r="C504" s="0" t="s">
        <v>19</v>
      </c>
      <c r="D504" s="0" t="s">
        <v>42</v>
      </c>
      <c r="E504" s="10" t="n">
        <v>45740.6604166667</v>
      </c>
      <c r="F504" s="10" t="n">
        <v>45741.2479166667</v>
      </c>
      <c r="G504" s="0" t="n">
        <v>1079.62</v>
      </c>
      <c r="H504" s="0" t="n">
        <v>1079.83</v>
      </c>
      <c r="I504" s="11" t="n">
        <f aca="false">H504-G504</f>
        <v>0.210000000000036</v>
      </c>
      <c r="J504" s="5" t="n">
        <f aca="false">IF(G504=0,"",I504/G504)</f>
        <v>0.00019451288416298</v>
      </c>
      <c r="K504" s="0" t="n">
        <v>103.4</v>
      </c>
      <c r="L504" s="0" t="n">
        <v>14.1</v>
      </c>
      <c r="M504" s="11" t="s">
        <v>43</v>
      </c>
      <c r="N504" s="12" t="n">
        <f aca="false">INT(E504)</f>
        <v>45740</v>
      </c>
      <c r="O504" s="12" t="n">
        <f aca="false">IF(F504="","",INT(F504))</f>
        <v>45741</v>
      </c>
    </row>
    <row r="505" customFormat="false" ht="15" hidden="false" customHeight="false" outlineLevel="0" collapsed="false">
      <c r="A505" s="0" t="s">
        <v>1050</v>
      </c>
      <c r="B505" s="0" t="s">
        <v>1051</v>
      </c>
      <c r="C505" s="0" t="s">
        <v>19</v>
      </c>
      <c r="D505" s="0" t="s">
        <v>42</v>
      </c>
      <c r="E505" s="10" t="n">
        <v>45740.6861111111</v>
      </c>
      <c r="F505" s="10" t="n">
        <v>45741.5131944444</v>
      </c>
      <c r="G505" s="0" t="n">
        <v>1072.94</v>
      </c>
      <c r="H505" s="0" t="n">
        <v>1039.98</v>
      </c>
      <c r="I505" s="11" t="n">
        <f aca="false">H505-G505</f>
        <v>-32.96</v>
      </c>
      <c r="J505" s="5" t="n">
        <f aca="false">IF(G505=0,"",I505/G505)</f>
        <v>-0.0307193319290921</v>
      </c>
      <c r="K505" s="0" t="n">
        <v>175.1</v>
      </c>
      <c r="L505" s="0" t="n">
        <v>19.85</v>
      </c>
      <c r="M505" s="11" t="s">
        <v>43</v>
      </c>
      <c r="N505" s="12" t="n">
        <f aca="false">INT(E505)</f>
        <v>45740</v>
      </c>
      <c r="O505" s="12" t="n">
        <f aca="false">IF(F505="","",INT(F505))</f>
        <v>45741</v>
      </c>
    </row>
    <row r="506" customFormat="false" ht="15" hidden="false" customHeight="false" outlineLevel="0" collapsed="false">
      <c r="A506" s="0" t="s">
        <v>1052</v>
      </c>
      <c r="B506" s="0" t="s">
        <v>1053</v>
      </c>
      <c r="C506" s="0" t="s">
        <v>23</v>
      </c>
      <c r="D506" s="0" t="s">
        <v>42</v>
      </c>
      <c r="E506" s="10" t="n">
        <v>45740.6902777778</v>
      </c>
      <c r="F506" s="10" t="n">
        <v>45742.7722222222</v>
      </c>
      <c r="G506" s="0" t="n">
        <v>1802.57</v>
      </c>
      <c r="H506" s="0" t="n">
        <v>1837.46</v>
      </c>
      <c r="I506" s="11" t="n">
        <f aca="false">H506-G506</f>
        <v>34.8900000000001</v>
      </c>
      <c r="J506" s="5" t="n">
        <f aca="false">IF(G506=0,"",I506/G506)</f>
        <v>0.0193556976982864</v>
      </c>
      <c r="K506" s="0" t="n">
        <v>638.1</v>
      </c>
      <c r="L506" s="0" t="n">
        <v>49.97</v>
      </c>
      <c r="M506" s="11" t="s">
        <v>43</v>
      </c>
      <c r="N506" s="12" t="n">
        <f aca="false">INT(E506)</f>
        <v>45740</v>
      </c>
      <c r="O506" s="12" t="n">
        <f aca="false">IF(F506="","",INT(F506))</f>
        <v>45742</v>
      </c>
    </row>
    <row r="507" customFormat="false" ht="15" hidden="false" customHeight="false" outlineLevel="0" collapsed="false">
      <c r="A507" s="0" t="s">
        <v>1054</v>
      </c>
      <c r="B507" s="0" t="s">
        <v>1055</v>
      </c>
      <c r="C507" s="0" t="s">
        <v>20</v>
      </c>
      <c r="D507" s="0" t="s">
        <v>42</v>
      </c>
      <c r="E507" s="10" t="n">
        <v>45740.6930555556</v>
      </c>
      <c r="F507" s="10" t="n">
        <v>45742.4722222222</v>
      </c>
      <c r="G507" s="0" t="n">
        <v>350.33</v>
      </c>
      <c r="H507" s="0" t="n">
        <v>355.62</v>
      </c>
      <c r="I507" s="11" t="n">
        <f aca="false">H507-G507</f>
        <v>5.29000000000002</v>
      </c>
      <c r="J507" s="5" t="n">
        <f aca="false">IF(G507=0,"",I507/G507)</f>
        <v>0.0151000485256759</v>
      </c>
      <c r="K507" s="0" t="n">
        <v>59.1</v>
      </c>
      <c r="L507" s="0" t="n">
        <v>42.7</v>
      </c>
      <c r="M507" s="11" t="s">
        <v>43</v>
      </c>
      <c r="N507" s="12" t="n">
        <f aca="false">INT(E507)</f>
        <v>45740</v>
      </c>
      <c r="O507" s="12" t="n">
        <f aca="false">IF(F507="","",INT(F507))</f>
        <v>45742</v>
      </c>
    </row>
    <row r="508" customFormat="false" ht="15" hidden="false" customHeight="false" outlineLevel="0" collapsed="false">
      <c r="A508" s="0" t="s">
        <v>1056</v>
      </c>
      <c r="B508" s="0" t="s">
        <v>1057</v>
      </c>
      <c r="C508" s="0" t="s">
        <v>21</v>
      </c>
      <c r="D508" s="0" t="s">
        <v>42</v>
      </c>
      <c r="E508" s="10" t="n">
        <v>45740.7013888889</v>
      </c>
      <c r="F508" s="10" t="n">
        <v>45741.6858564815</v>
      </c>
      <c r="G508" s="0" t="n">
        <v>4424.46</v>
      </c>
      <c r="H508" s="0" t="n">
        <v>4484.81</v>
      </c>
      <c r="I508" s="11" t="n">
        <f aca="false">H508-G508</f>
        <v>60.3500000000004</v>
      </c>
      <c r="J508" s="5" t="n">
        <f aca="false">IF(G508=0,"",I508/G508)</f>
        <v>0.0136400826315529</v>
      </c>
      <c r="K508" s="0" t="n">
        <v>1161.9</v>
      </c>
      <c r="L508" s="0" t="n">
        <v>23.63</v>
      </c>
      <c r="M508" s="11" t="s">
        <v>43</v>
      </c>
      <c r="N508" s="12" t="n">
        <f aca="false">INT(E508)</f>
        <v>45740</v>
      </c>
      <c r="O508" s="12" t="n">
        <f aca="false">IF(F508="","",INT(F508))</f>
        <v>45741</v>
      </c>
    </row>
    <row r="509" customFormat="false" ht="15" hidden="false" customHeight="false" outlineLevel="0" collapsed="false">
      <c r="A509" s="0" t="s">
        <v>1058</v>
      </c>
      <c r="B509" s="0" t="s">
        <v>1059</v>
      </c>
      <c r="C509" s="0" t="s">
        <v>20</v>
      </c>
      <c r="D509" s="0" t="s">
        <v>42</v>
      </c>
      <c r="E509" s="10" t="n">
        <v>45740.7069444444</v>
      </c>
      <c r="F509" s="10" t="n">
        <v>45741.3780208333</v>
      </c>
      <c r="G509" s="0" t="n">
        <v>499.76</v>
      </c>
      <c r="H509" s="0" t="n">
        <v>498.82</v>
      </c>
      <c r="I509" s="11" t="n">
        <f aca="false">H509-G509</f>
        <v>-0.939999999999998</v>
      </c>
      <c r="J509" s="5" t="n">
        <f aca="false">IF(G509=0,"",I509/G509)</f>
        <v>-0.00188090283336001</v>
      </c>
      <c r="K509" s="0" t="n">
        <v>53.3</v>
      </c>
      <c r="L509" s="0" t="n">
        <v>16.11</v>
      </c>
      <c r="M509" s="11" t="s">
        <v>43</v>
      </c>
      <c r="N509" s="12" t="n">
        <f aca="false">INT(E509)</f>
        <v>45740</v>
      </c>
      <c r="O509" s="12" t="n">
        <f aca="false">IF(F509="","",INT(F509))</f>
        <v>45741</v>
      </c>
    </row>
    <row r="510" customFormat="false" ht="15" hidden="false" customHeight="false" outlineLevel="0" collapsed="false">
      <c r="A510" s="0" t="s">
        <v>1060</v>
      </c>
      <c r="B510" s="0" t="s">
        <v>1061</v>
      </c>
      <c r="C510" s="0" t="s">
        <v>19</v>
      </c>
      <c r="D510" s="0" t="s">
        <v>42</v>
      </c>
      <c r="E510" s="10" t="n">
        <v>45740.7166666667</v>
      </c>
      <c r="F510" s="10" t="n">
        <v>45742.0295833333</v>
      </c>
      <c r="G510" s="0" t="n">
        <v>236.9</v>
      </c>
      <c r="H510" s="0" t="n">
        <v>236.93</v>
      </c>
      <c r="I510" s="11" t="n">
        <f aca="false">H510-G510</f>
        <v>0.0300000000000011</v>
      </c>
      <c r="J510" s="5" t="n">
        <f aca="false">IF(G510=0,"",I510/G510)</f>
        <v>0.000126635711270583</v>
      </c>
      <c r="K510" s="0" t="n">
        <v>24.2</v>
      </c>
      <c r="L510" s="0" t="n">
        <v>31.51</v>
      </c>
      <c r="M510" s="11" t="s">
        <v>43</v>
      </c>
      <c r="N510" s="12" t="n">
        <f aca="false">INT(E510)</f>
        <v>45740</v>
      </c>
      <c r="O510" s="12" t="n">
        <f aca="false">IF(F510="","",INT(F510))</f>
        <v>45742</v>
      </c>
    </row>
    <row r="511" customFormat="false" ht="15" hidden="false" customHeight="false" outlineLevel="0" collapsed="false">
      <c r="A511" s="0" t="s">
        <v>1062</v>
      </c>
      <c r="B511" s="0" t="s">
        <v>1063</v>
      </c>
      <c r="C511" s="0" t="s">
        <v>24</v>
      </c>
      <c r="D511" s="0" t="s">
        <v>42</v>
      </c>
      <c r="E511" s="10" t="n">
        <v>45740.7256944445</v>
      </c>
      <c r="F511" s="10" t="n">
        <v>45742.1929513889</v>
      </c>
      <c r="G511" s="0" t="n">
        <v>482.19</v>
      </c>
      <c r="H511" s="0" t="n">
        <v>477.6</v>
      </c>
      <c r="I511" s="11" t="n">
        <f aca="false">H511-G511</f>
        <v>-4.58999999999998</v>
      </c>
      <c r="J511" s="5" t="n">
        <f aca="false">IF(G511=0,"",I511/G511)</f>
        <v>-0.00951906924656251</v>
      </c>
      <c r="K511" s="0" t="n">
        <v>115.9</v>
      </c>
      <c r="L511" s="0" t="n">
        <v>35.21</v>
      </c>
      <c r="M511" s="11" t="s">
        <v>43</v>
      </c>
      <c r="N511" s="12" t="n">
        <f aca="false">INT(E511)</f>
        <v>45740</v>
      </c>
      <c r="O511" s="12" t="n">
        <f aca="false">IF(F511="","",INT(F511))</f>
        <v>45742</v>
      </c>
    </row>
    <row r="512" customFormat="false" ht="15" hidden="false" customHeight="false" outlineLevel="0" collapsed="false">
      <c r="A512" s="0" t="s">
        <v>1064</v>
      </c>
      <c r="B512" s="0" t="s">
        <v>1065</v>
      </c>
      <c r="C512" s="0" t="s">
        <v>22</v>
      </c>
      <c r="D512" s="0" t="s">
        <v>42</v>
      </c>
      <c r="E512" s="10" t="n">
        <v>45740.7326388889</v>
      </c>
      <c r="F512" s="10" t="n">
        <v>45740.9826388889</v>
      </c>
      <c r="G512" s="0" t="n">
        <v>116.61</v>
      </c>
      <c r="H512" s="0" t="n">
        <v>117.37</v>
      </c>
      <c r="I512" s="11" t="n">
        <f aca="false">H512-G512</f>
        <v>0.760000000000005</v>
      </c>
      <c r="J512" s="5" t="n">
        <f aca="false">IF(G512=0,"",I512/G512)</f>
        <v>0.00651745133350489</v>
      </c>
      <c r="K512" s="0" t="n">
        <v>11.1</v>
      </c>
      <c r="L512" s="0" t="n">
        <v>6</v>
      </c>
      <c r="M512" s="11" t="s">
        <v>43</v>
      </c>
      <c r="N512" s="12" t="n">
        <f aca="false">INT(E512)</f>
        <v>45740</v>
      </c>
      <c r="O512" s="12" t="n">
        <f aca="false">IF(F512="","",INT(F512))</f>
        <v>45740</v>
      </c>
    </row>
    <row r="513" customFormat="false" ht="15" hidden="false" customHeight="false" outlineLevel="0" collapsed="false">
      <c r="A513" s="0" t="s">
        <v>1066</v>
      </c>
      <c r="B513" s="0" t="s">
        <v>1067</v>
      </c>
      <c r="C513" s="0" t="s">
        <v>22</v>
      </c>
      <c r="D513" s="0" t="s">
        <v>42</v>
      </c>
      <c r="E513" s="10" t="n">
        <v>45740.7618055556</v>
      </c>
      <c r="F513" s="10" t="n">
        <v>45741.1930555556</v>
      </c>
      <c r="G513" s="0" t="n">
        <v>284.51</v>
      </c>
      <c r="H513" s="0" t="n">
        <v>277.71</v>
      </c>
      <c r="I513" s="11" t="n">
        <f aca="false">H513-G513</f>
        <v>-6.80000000000001</v>
      </c>
      <c r="J513" s="5" t="n">
        <f aca="false">IF(G513=0,"",I513/G513)</f>
        <v>-0.0239007416259534</v>
      </c>
      <c r="K513" s="0" t="n">
        <v>53.7</v>
      </c>
      <c r="L513" s="0" t="n">
        <v>10.35</v>
      </c>
      <c r="M513" s="11" t="s">
        <v>43</v>
      </c>
      <c r="N513" s="12" t="n">
        <f aca="false">INT(E513)</f>
        <v>45740</v>
      </c>
      <c r="O513" s="12" t="n">
        <f aca="false">IF(F513="","",INT(F513))</f>
        <v>45741</v>
      </c>
    </row>
    <row r="514" customFormat="false" ht="15" hidden="false" customHeight="false" outlineLevel="0" collapsed="false">
      <c r="A514" s="0" t="s">
        <v>1068</v>
      </c>
      <c r="B514" s="0" t="s">
        <v>1069</v>
      </c>
      <c r="C514" s="0" t="s">
        <v>22</v>
      </c>
      <c r="D514" s="0" t="s">
        <v>42</v>
      </c>
      <c r="E514" s="10" t="n">
        <v>45741.2986111111</v>
      </c>
      <c r="F514" s="10" t="n">
        <v>45741.7563078704</v>
      </c>
      <c r="G514" s="0" t="n">
        <v>463.04</v>
      </c>
      <c r="H514" s="0" t="n">
        <v>331.39</v>
      </c>
      <c r="I514" s="11" t="n">
        <f aca="false">H514-G514</f>
        <v>-131.65</v>
      </c>
      <c r="J514" s="5" t="n">
        <f aca="false">IF(G514=0,"",I514/G514)</f>
        <v>-0.284316689702834</v>
      </c>
      <c r="K514" s="0" t="n">
        <v>48.1</v>
      </c>
      <c r="L514" s="0" t="n">
        <v>10.98</v>
      </c>
      <c r="M514" s="11" t="s">
        <v>43</v>
      </c>
      <c r="N514" s="12" t="n">
        <f aca="false">INT(E514)</f>
        <v>45741</v>
      </c>
      <c r="O514" s="12" t="n">
        <f aca="false">IF(F514="","",INT(F514))</f>
        <v>45741</v>
      </c>
    </row>
    <row r="515" customFormat="false" ht="15" hidden="false" customHeight="false" outlineLevel="0" collapsed="false">
      <c r="A515" s="0" t="s">
        <v>1070</v>
      </c>
      <c r="B515" s="0" t="s">
        <v>1071</v>
      </c>
      <c r="C515" s="0" t="s">
        <v>22</v>
      </c>
      <c r="D515" s="0" t="s">
        <v>42</v>
      </c>
      <c r="E515" s="10" t="n">
        <v>45741.3284722222</v>
      </c>
      <c r="F515" s="10" t="n">
        <v>45741.84375</v>
      </c>
      <c r="G515" s="0" t="n">
        <v>155.74</v>
      </c>
      <c r="H515" s="0" t="n">
        <v>149.07</v>
      </c>
      <c r="I515" s="11" t="n">
        <f aca="false">H515-G515</f>
        <v>-6.67000000000002</v>
      </c>
      <c r="J515" s="5" t="n">
        <f aca="false">IF(G515=0,"",I515/G515)</f>
        <v>-0.0428277899062541</v>
      </c>
      <c r="K515" s="0" t="n">
        <v>26.4</v>
      </c>
      <c r="L515" s="0" t="n">
        <v>12.37</v>
      </c>
      <c r="M515" s="11" t="s">
        <v>43</v>
      </c>
      <c r="N515" s="12" t="n">
        <f aca="false">INT(E515)</f>
        <v>45741</v>
      </c>
      <c r="O515" s="12" t="n">
        <f aca="false">IF(F515="","",INT(F515))</f>
        <v>45741</v>
      </c>
    </row>
    <row r="516" customFormat="false" ht="15" hidden="false" customHeight="false" outlineLevel="0" collapsed="false">
      <c r="A516" s="0" t="s">
        <v>1072</v>
      </c>
      <c r="B516" s="0" t="s">
        <v>1073</v>
      </c>
      <c r="C516" s="0" t="s">
        <v>22</v>
      </c>
      <c r="D516" s="0" t="s">
        <v>42</v>
      </c>
      <c r="E516" s="10" t="n">
        <v>45741.3333333333</v>
      </c>
      <c r="F516" s="10" t="n">
        <v>45741.7069444444</v>
      </c>
      <c r="G516" s="0" t="n">
        <v>1060.39</v>
      </c>
      <c r="H516" s="0" t="n">
        <v>1027.05</v>
      </c>
      <c r="I516" s="11" t="n">
        <f aca="false">H516-G516</f>
        <v>-33.3400000000001</v>
      </c>
      <c r="J516" s="5" t="n">
        <f aca="false">IF(G516=0,"",I516/G516)</f>
        <v>-0.0314412621771237</v>
      </c>
      <c r="K516" s="0" t="n">
        <v>123.2</v>
      </c>
      <c r="L516" s="0" t="n">
        <v>8.97</v>
      </c>
      <c r="M516" s="11" t="s">
        <v>43</v>
      </c>
      <c r="N516" s="12" t="n">
        <f aca="false">INT(E516)</f>
        <v>45741</v>
      </c>
      <c r="O516" s="12" t="n">
        <f aca="false">IF(F516="","",INT(F516))</f>
        <v>45741</v>
      </c>
    </row>
    <row r="517" customFormat="false" ht="15" hidden="false" customHeight="false" outlineLevel="0" collapsed="false">
      <c r="A517" s="0" t="s">
        <v>1074</v>
      </c>
      <c r="B517" s="0" t="s">
        <v>1075</v>
      </c>
      <c r="C517" s="0" t="s">
        <v>20</v>
      </c>
      <c r="D517" s="0" t="s">
        <v>42</v>
      </c>
      <c r="E517" s="10" t="n">
        <v>45741.3409722222</v>
      </c>
      <c r="F517" s="10" t="n">
        <v>45745.1618055556</v>
      </c>
      <c r="G517" s="0" t="n">
        <v>254.56</v>
      </c>
      <c r="H517" s="0" t="n">
        <v>256.19</v>
      </c>
      <c r="I517" s="11" t="n">
        <f aca="false">H517-G517</f>
        <v>1.63</v>
      </c>
      <c r="J517" s="5" t="n">
        <f aca="false">IF(G517=0,"",I517/G517)</f>
        <v>0.00640320553111249</v>
      </c>
      <c r="K517" s="0" t="n">
        <v>48.6</v>
      </c>
      <c r="L517" s="0" t="n">
        <v>87.82</v>
      </c>
      <c r="M517" s="11" t="s">
        <v>43</v>
      </c>
      <c r="N517" s="12" t="n">
        <f aca="false">INT(E517)</f>
        <v>45741</v>
      </c>
      <c r="O517" s="12" t="n">
        <f aca="false">IF(F517="","",INT(F517))</f>
        <v>45745</v>
      </c>
    </row>
    <row r="518" customFormat="false" ht="15" hidden="false" customHeight="false" outlineLevel="0" collapsed="false">
      <c r="A518" s="0" t="s">
        <v>1076</v>
      </c>
      <c r="B518" s="0" t="s">
        <v>1077</v>
      </c>
      <c r="C518" s="0" t="s">
        <v>23</v>
      </c>
      <c r="D518" s="0" t="s">
        <v>48</v>
      </c>
      <c r="E518" s="10" t="n">
        <v>45741.3472222222</v>
      </c>
      <c r="F518" s="10"/>
      <c r="G518" s="0" t="n">
        <v>373.38</v>
      </c>
      <c r="H518" s="0" t="n">
        <v>372.2</v>
      </c>
      <c r="I518" s="11" t="n">
        <f aca="false">H518-G518</f>
        <v>-1.18000000000001</v>
      </c>
      <c r="J518" s="5" t="n">
        <f aca="false">IF(G518=0,"",I518/G518)</f>
        <v>-0.00316031924580858</v>
      </c>
      <c r="K518" s="0" t="n">
        <v>162</v>
      </c>
      <c r="M518" s="11" t="s">
        <v>43</v>
      </c>
      <c r="N518" s="12" t="n">
        <f aca="false">INT(E518)</f>
        <v>45741</v>
      </c>
      <c r="O518" s="12" t="str">
        <f aca="false">IF(F518="","",INT(F518))</f>
        <v/>
      </c>
    </row>
    <row r="519" customFormat="false" ht="15" hidden="false" customHeight="false" outlineLevel="0" collapsed="false">
      <c r="A519" s="0" t="s">
        <v>1078</v>
      </c>
      <c r="B519" s="0" t="s">
        <v>1079</v>
      </c>
      <c r="C519" s="0" t="s">
        <v>23</v>
      </c>
      <c r="D519" s="0" t="s">
        <v>42</v>
      </c>
      <c r="E519" s="10" t="n">
        <v>45741.3979166667</v>
      </c>
      <c r="F519" s="10" t="n">
        <v>45742.2916666667</v>
      </c>
      <c r="G519" s="0" t="n">
        <v>685.14</v>
      </c>
      <c r="H519" s="0" t="n">
        <v>726.77</v>
      </c>
      <c r="I519" s="11" t="n">
        <f aca="false">H519-G519</f>
        <v>41.63</v>
      </c>
      <c r="J519" s="5" t="n">
        <f aca="false">IF(G519=0,"",I519/G519)</f>
        <v>0.0607613042589836</v>
      </c>
      <c r="K519" s="0" t="n">
        <v>184.1</v>
      </c>
      <c r="L519" s="0" t="n">
        <v>21.45</v>
      </c>
      <c r="M519" s="11" t="s">
        <v>43</v>
      </c>
      <c r="N519" s="12" t="n">
        <f aca="false">INT(E519)</f>
        <v>45741</v>
      </c>
      <c r="O519" s="12" t="n">
        <f aca="false">IF(F519="","",INT(F519))</f>
        <v>45742</v>
      </c>
    </row>
    <row r="520" customFormat="false" ht="15" hidden="false" customHeight="false" outlineLevel="0" collapsed="false">
      <c r="A520" s="0" t="s">
        <v>1080</v>
      </c>
      <c r="B520" s="0" t="s">
        <v>1081</v>
      </c>
      <c r="C520" s="0" t="s">
        <v>23</v>
      </c>
      <c r="D520" s="0" t="s">
        <v>42</v>
      </c>
      <c r="E520" s="10" t="n">
        <v>45741.4048611111</v>
      </c>
      <c r="F520" s="10" t="n">
        <v>45743.0333680556</v>
      </c>
      <c r="G520" s="0" t="n">
        <v>619.97</v>
      </c>
      <c r="H520" s="0" t="n">
        <v>604.86</v>
      </c>
      <c r="I520" s="11" t="n">
        <f aca="false">H520-G520</f>
        <v>-15.11</v>
      </c>
      <c r="J520" s="5" t="n">
        <f aca="false">IF(G520=0,"",I520/G520)</f>
        <v>-0.0243721470393729</v>
      </c>
      <c r="K520" s="0" t="n">
        <v>186.7</v>
      </c>
      <c r="L520" s="0" t="n">
        <v>39.08</v>
      </c>
      <c r="M520" s="11" t="s">
        <v>43</v>
      </c>
      <c r="N520" s="12" t="n">
        <f aca="false">INT(E520)</f>
        <v>45741</v>
      </c>
      <c r="O520" s="12" t="n">
        <f aca="false">IF(F520="","",INT(F520))</f>
        <v>45743</v>
      </c>
    </row>
    <row r="521" customFormat="false" ht="15" hidden="false" customHeight="false" outlineLevel="0" collapsed="false">
      <c r="A521" s="0" t="s">
        <v>1082</v>
      </c>
      <c r="B521" s="0" t="s">
        <v>1083</v>
      </c>
      <c r="C521" s="0" t="s">
        <v>20</v>
      </c>
      <c r="D521" s="0" t="s">
        <v>42</v>
      </c>
      <c r="E521" s="10" t="n">
        <v>45741.4083333333</v>
      </c>
      <c r="F521" s="10" t="n">
        <v>45742.73125</v>
      </c>
      <c r="G521" s="0" t="n">
        <v>212.17</v>
      </c>
      <c r="H521" s="0" t="n">
        <v>215.03</v>
      </c>
      <c r="I521" s="11" t="n">
        <f aca="false">H521-G521</f>
        <v>2.86000000000001</v>
      </c>
      <c r="J521" s="5" t="n">
        <f aca="false">IF(G521=0,"",I521/G521)</f>
        <v>0.0134797567987935</v>
      </c>
      <c r="K521" s="0" t="n">
        <v>40.6</v>
      </c>
      <c r="L521" s="0" t="n">
        <v>31.75</v>
      </c>
      <c r="M521" s="11" t="s">
        <v>43</v>
      </c>
      <c r="N521" s="12" t="n">
        <f aca="false">INT(E521)</f>
        <v>45741</v>
      </c>
      <c r="O521" s="12" t="n">
        <f aca="false">IF(F521="","",INT(F521))</f>
        <v>45742</v>
      </c>
    </row>
    <row r="522" customFormat="false" ht="15" hidden="false" customHeight="false" outlineLevel="0" collapsed="false">
      <c r="A522" s="0" t="s">
        <v>1084</v>
      </c>
      <c r="B522" s="0" t="s">
        <v>1085</v>
      </c>
      <c r="C522" s="0" t="s">
        <v>20</v>
      </c>
      <c r="D522" s="0" t="s">
        <v>42</v>
      </c>
      <c r="E522" s="10" t="n">
        <v>45741.4097222222</v>
      </c>
      <c r="F522" s="10" t="n">
        <v>45742.1441550926</v>
      </c>
      <c r="G522" s="0" t="n">
        <v>90.86</v>
      </c>
      <c r="H522" s="0" t="n">
        <v>93.21</v>
      </c>
      <c r="I522" s="11" t="n">
        <f aca="false">H522-G522</f>
        <v>2.34999999999999</v>
      </c>
      <c r="J522" s="5" t="n">
        <f aca="false">IF(G522=0,"",I522/G522)</f>
        <v>0.0258639665419326</v>
      </c>
      <c r="K522" s="0" t="n">
        <v>16.8</v>
      </c>
      <c r="L522" s="0" t="n">
        <v>17.63</v>
      </c>
      <c r="M522" s="11" t="s">
        <v>43</v>
      </c>
      <c r="N522" s="12" t="n">
        <f aca="false">INT(E522)</f>
        <v>45741</v>
      </c>
      <c r="O522" s="12" t="n">
        <f aca="false">IF(F522="","",INT(F522))</f>
        <v>45742</v>
      </c>
    </row>
    <row r="523" customFormat="false" ht="15" hidden="false" customHeight="false" outlineLevel="0" collapsed="false">
      <c r="A523" s="0" t="s">
        <v>1086</v>
      </c>
      <c r="B523" s="0" t="s">
        <v>1087</v>
      </c>
      <c r="C523" s="0" t="s">
        <v>21</v>
      </c>
      <c r="D523" s="0" t="s">
        <v>42</v>
      </c>
      <c r="E523" s="10" t="n">
        <v>45741.4243055556</v>
      </c>
      <c r="F523" s="10" t="n">
        <v>45741.6680555556</v>
      </c>
      <c r="G523" s="0" t="n">
        <v>329.07</v>
      </c>
      <c r="H523" s="0" t="n">
        <v>336.76</v>
      </c>
      <c r="I523" s="11" t="n">
        <f aca="false">H523-G523</f>
        <v>7.69</v>
      </c>
      <c r="J523" s="5" t="n">
        <f aca="false">IF(G523=0,"",I523/G523)</f>
        <v>0.0233688880785243</v>
      </c>
      <c r="K523" s="0" t="n">
        <v>82.6</v>
      </c>
      <c r="L523" s="0" t="n">
        <v>5.85</v>
      </c>
      <c r="M523" s="11" t="s">
        <v>43</v>
      </c>
      <c r="N523" s="12" t="n">
        <f aca="false">INT(E523)</f>
        <v>45741</v>
      </c>
      <c r="O523" s="12" t="n">
        <f aca="false">IF(F523="","",INT(F523))</f>
        <v>45741</v>
      </c>
    </row>
    <row r="524" customFormat="false" ht="15" hidden="false" customHeight="false" outlineLevel="0" collapsed="false">
      <c r="A524" s="0" t="s">
        <v>1088</v>
      </c>
      <c r="B524" s="0" t="s">
        <v>1089</v>
      </c>
      <c r="C524" s="0" t="s">
        <v>23</v>
      </c>
      <c r="D524" s="0" t="s">
        <v>42</v>
      </c>
      <c r="E524" s="10" t="n">
        <v>45741.4444444445</v>
      </c>
      <c r="F524" s="10" t="n">
        <v>45742.5152777778</v>
      </c>
      <c r="G524" s="0" t="n">
        <v>596.8</v>
      </c>
      <c r="H524" s="0" t="n">
        <v>601.97</v>
      </c>
      <c r="I524" s="11" t="n">
        <f aca="false">H524-G524</f>
        <v>5.17000000000007</v>
      </c>
      <c r="J524" s="5" t="n">
        <f aca="false">IF(G524=0,"",I524/G524)</f>
        <v>0.0086628686327079</v>
      </c>
      <c r="K524" s="0" t="n">
        <v>163.6</v>
      </c>
      <c r="L524" s="0" t="n">
        <v>25.7</v>
      </c>
      <c r="M524" s="11" t="s">
        <v>43</v>
      </c>
      <c r="N524" s="12" t="n">
        <f aca="false">INT(E524)</f>
        <v>45741</v>
      </c>
      <c r="O524" s="12" t="n">
        <f aca="false">IF(F524="","",INT(F524))</f>
        <v>45742</v>
      </c>
    </row>
    <row r="525" customFormat="false" ht="15" hidden="false" customHeight="false" outlineLevel="0" collapsed="false">
      <c r="A525" s="0" t="s">
        <v>1090</v>
      </c>
      <c r="B525" s="0" t="s">
        <v>1091</v>
      </c>
      <c r="C525" s="0" t="s">
        <v>23</v>
      </c>
      <c r="D525" s="0" t="s">
        <v>42</v>
      </c>
      <c r="E525" s="10" t="n">
        <v>45741.5013888889</v>
      </c>
      <c r="F525" s="10" t="n">
        <v>45743.2090277778</v>
      </c>
      <c r="G525" s="0" t="n">
        <v>262.44</v>
      </c>
      <c r="H525" s="0" t="n">
        <v>264.88</v>
      </c>
      <c r="I525" s="11" t="n">
        <f aca="false">H525-G525</f>
        <v>2.44</v>
      </c>
      <c r="J525" s="5" t="n">
        <f aca="false">IF(G525=0,"",I525/G525)</f>
        <v>0.00929736320682822</v>
      </c>
      <c r="K525" s="0" t="n">
        <v>68.8</v>
      </c>
      <c r="L525" s="0" t="n">
        <v>40.98</v>
      </c>
      <c r="M525" s="11" t="s">
        <v>43</v>
      </c>
      <c r="N525" s="12" t="n">
        <f aca="false">INT(E525)</f>
        <v>45741</v>
      </c>
      <c r="O525" s="12" t="n">
        <f aca="false">IF(F525="","",INT(F525))</f>
        <v>45743</v>
      </c>
    </row>
    <row r="526" customFormat="false" ht="15" hidden="false" customHeight="false" outlineLevel="0" collapsed="false">
      <c r="A526" s="0" t="s">
        <v>1092</v>
      </c>
      <c r="B526" s="0" t="s">
        <v>1093</v>
      </c>
      <c r="C526" s="0" t="s">
        <v>24</v>
      </c>
      <c r="D526" s="0" t="s">
        <v>42</v>
      </c>
      <c r="E526" s="10" t="n">
        <v>45741.5034722222</v>
      </c>
      <c r="F526" s="10" t="n">
        <v>45744.5486111111</v>
      </c>
      <c r="G526" s="0" t="n">
        <v>394.56</v>
      </c>
      <c r="H526" s="0" t="n">
        <v>391.85</v>
      </c>
      <c r="I526" s="11" t="n">
        <f aca="false">H526-G526</f>
        <v>-2.70999999999998</v>
      </c>
      <c r="J526" s="5" t="n">
        <f aca="false">IF(G526=0,"",I526/G526)</f>
        <v>-0.00686841038118405</v>
      </c>
      <c r="K526" s="0" t="n">
        <v>85.3</v>
      </c>
      <c r="L526" s="0" t="n">
        <v>73.08</v>
      </c>
      <c r="M526" s="11" t="s">
        <v>43</v>
      </c>
      <c r="N526" s="12" t="n">
        <f aca="false">INT(E526)</f>
        <v>45741</v>
      </c>
      <c r="O526" s="12" t="n">
        <f aca="false">IF(F526="","",INT(F526))</f>
        <v>45744</v>
      </c>
    </row>
    <row r="527" customFormat="false" ht="15" hidden="false" customHeight="false" outlineLevel="0" collapsed="false">
      <c r="A527" s="0" t="s">
        <v>1094</v>
      </c>
      <c r="B527" s="0" t="s">
        <v>1095</v>
      </c>
      <c r="C527" s="0" t="s">
        <v>23</v>
      </c>
      <c r="D527" s="0" t="s">
        <v>42</v>
      </c>
      <c r="E527" s="10" t="n">
        <v>45741.5194444444</v>
      </c>
      <c r="F527" s="10" t="n">
        <v>45742.5645833333</v>
      </c>
      <c r="G527" s="0" t="n">
        <v>412.37</v>
      </c>
      <c r="H527" s="0" t="n">
        <v>431.22</v>
      </c>
      <c r="I527" s="11" t="n">
        <f aca="false">H527-G527</f>
        <v>18.85</v>
      </c>
      <c r="J527" s="5" t="n">
        <f aca="false">IF(G527=0,"",I527/G527)</f>
        <v>0.0457113757062832</v>
      </c>
      <c r="K527" s="0" t="n">
        <v>151</v>
      </c>
      <c r="L527" s="0" t="n">
        <v>25.08</v>
      </c>
      <c r="M527" s="11" t="s">
        <v>43</v>
      </c>
      <c r="N527" s="12" t="n">
        <f aca="false">INT(E527)</f>
        <v>45741</v>
      </c>
      <c r="O527" s="12" t="n">
        <f aca="false">IF(F527="","",INT(F527))</f>
        <v>45742</v>
      </c>
    </row>
    <row r="528" customFormat="false" ht="15" hidden="false" customHeight="false" outlineLevel="0" collapsed="false">
      <c r="A528" s="0" t="s">
        <v>1096</v>
      </c>
      <c r="B528" s="0" t="s">
        <v>1097</v>
      </c>
      <c r="C528" s="0" t="s">
        <v>19</v>
      </c>
      <c r="D528" s="0" t="s">
        <v>42</v>
      </c>
      <c r="E528" s="10" t="n">
        <v>45741.525</v>
      </c>
      <c r="F528" s="10" t="n">
        <v>45743.0652777778</v>
      </c>
      <c r="G528" s="0" t="n">
        <v>1329.85</v>
      </c>
      <c r="H528" s="0" t="n">
        <v>1279.49</v>
      </c>
      <c r="I528" s="11" t="n">
        <f aca="false">H528-G528</f>
        <v>-50.3599999999999</v>
      </c>
      <c r="J528" s="5" t="n">
        <f aca="false">IF(G528=0,"",I528/G528)</f>
        <v>-0.0378689325863819</v>
      </c>
      <c r="K528" s="0" t="n">
        <v>155.4</v>
      </c>
      <c r="L528" s="0" t="n">
        <v>36.97</v>
      </c>
      <c r="M528" s="11" t="s">
        <v>43</v>
      </c>
      <c r="N528" s="12" t="n">
        <f aca="false">INT(E528)</f>
        <v>45741</v>
      </c>
      <c r="O528" s="12" t="n">
        <f aca="false">IF(F528="","",INT(F528))</f>
        <v>45743</v>
      </c>
    </row>
    <row r="529" customFormat="false" ht="15" hidden="false" customHeight="false" outlineLevel="0" collapsed="false">
      <c r="A529" s="0" t="s">
        <v>1098</v>
      </c>
      <c r="B529" s="0" t="s">
        <v>1099</v>
      </c>
      <c r="C529" s="0" t="s">
        <v>21</v>
      </c>
      <c r="D529" s="0" t="s">
        <v>42</v>
      </c>
      <c r="E529" s="10" t="n">
        <v>45741.5708333333</v>
      </c>
      <c r="F529" s="10" t="n">
        <v>45742.3123148148</v>
      </c>
      <c r="G529" s="0" t="n">
        <v>202.39</v>
      </c>
      <c r="H529" s="0" t="n">
        <v>201.01</v>
      </c>
      <c r="I529" s="11" t="n">
        <f aca="false">H529-G529</f>
        <v>-1.38</v>
      </c>
      <c r="J529" s="5" t="n">
        <f aca="false">IF(G529=0,"",I529/G529)</f>
        <v>-0.00681851870151685</v>
      </c>
      <c r="K529" s="0" t="n">
        <v>56.6</v>
      </c>
      <c r="L529" s="0" t="n">
        <v>17.8</v>
      </c>
      <c r="M529" s="11" t="s">
        <v>43</v>
      </c>
      <c r="N529" s="12" t="n">
        <f aca="false">INT(E529)</f>
        <v>45741</v>
      </c>
      <c r="O529" s="12" t="n">
        <f aca="false">IF(F529="","",INT(F529))</f>
        <v>45742</v>
      </c>
    </row>
    <row r="530" customFormat="false" ht="15" hidden="false" customHeight="false" outlineLevel="0" collapsed="false">
      <c r="A530" s="0" t="s">
        <v>1100</v>
      </c>
      <c r="B530" s="0" t="s">
        <v>1101</v>
      </c>
      <c r="C530" s="0" t="s">
        <v>22</v>
      </c>
      <c r="D530" s="0" t="s">
        <v>42</v>
      </c>
      <c r="E530" s="10" t="n">
        <v>45741.5722222222</v>
      </c>
      <c r="F530" s="10" t="n">
        <v>45741.9583333333</v>
      </c>
      <c r="G530" s="0" t="n">
        <v>2108.8</v>
      </c>
      <c r="H530" s="0" t="n">
        <v>2056.58</v>
      </c>
      <c r="I530" s="11" t="n">
        <f aca="false">H530-G530</f>
        <v>-52.2200000000003</v>
      </c>
      <c r="J530" s="5" t="n">
        <f aca="false">IF(G530=0,"",I530/G530)</f>
        <v>-0.0247628983308044</v>
      </c>
      <c r="K530" s="0" t="n">
        <v>250.8</v>
      </c>
      <c r="L530" s="0" t="n">
        <v>9.27</v>
      </c>
      <c r="M530" s="11" t="s">
        <v>43</v>
      </c>
      <c r="N530" s="12" t="n">
        <f aca="false">INT(E530)</f>
        <v>45741</v>
      </c>
      <c r="O530" s="12" t="n">
        <f aca="false">IF(F530="","",INT(F530))</f>
        <v>45741</v>
      </c>
    </row>
    <row r="531" customFormat="false" ht="15" hidden="false" customHeight="false" outlineLevel="0" collapsed="false">
      <c r="A531" s="0" t="s">
        <v>1102</v>
      </c>
      <c r="B531" s="0" t="s">
        <v>1103</v>
      </c>
      <c r="C531" s="0" t="s">
        <v>22</v>
      </c>
      <c r="D531" s="0" t="s">
        <v>42</v>
      </c>
      <c r="E531" s="10" t="n">
        <v>45741.5881944444</v>
      </c>
      <c r="F531" s="10" t="n">
        <v>45742.4881944444</v>
      </c>
      <c r="G531" s="0" t="n">
        <v>1373.46</v>
      </c>
      <c r="H531" s="0" t="n">
        <v>1358.44</v>
      </c>
      <c r="I531" s="11" t="n">
        <f aca="false">H531-G531</f>
        <v>-15.02</v>
      </c>
      <c r="J531" s="5" t="n">
        <f aca="false">IF(G531=0,"",I531/G531)</f>
        <v>-0.0109358845543372</v>
      </c>
      <c r="K531" s="0" t="n">
        <v>222.5</v>
      </c>
      <c r="L531" s="0" t="n">
        <v>21.6</v>
      </c>
      <c r="M531" s="11" t="s">
        <v>43</v>
      </c>
      <c r="N531" s="12" t="n">
        <f aca="false">INT(E531)</f>
        <v>45741</v>
      </c>
      <c r="O531" s="12" t="n">
        <f aca="false">IF(F531="","",INT(F531))</f>
        <v>45742</v>
      </c>
    </row>
    <row r="532" customFormat="false" ht="15" hidden="false" customHeight="false" outlineLevel="0" collapsed="false">
      <c r="A532" s="0" t="s">
        <v>1104</v>
      </c>
      <c r="B532" s="0" t="s">
        <v>1105</v>
      </c>
      <c r="C532" s="0" t="s">
        <v>19</v>
      </c>
      <c r="D532" s="0" t="s">
        <v>42</v>
      </c>
      <c r="E532" s="10" t="n">
        <v>45741.5909722222</v>
      </c>
      <c r="F532" s="10" t="n">
        <v>45742.1138888889</v>
      </c>
      <c r="G532" s="0" t="n">
        <v>461.28</v>
      </c>
      <c r="H532" s="0" t="n">
        <v>467.19</v>
      </c>
      <c r="I532" s="11" t="n">
        <f aca="false">H532-G532</f>
        <v>5.91000000000003</v>
      </c>
      <c r="J532" s="5" t="n">
        <f aca="false">IF(G532=0,"",I532/G532)</f>
        <v>0.0128121748178981</v>
      </c>
      <c r="K532" s="0" t="n">
        <v>39</v>
      </c>
      <c r="L532" s="0" t="n">
        <v>12.55</v>
      </c>
      <c r="M532" s="11" t="s">
        <v>43</v>
      </c>
      <c r="N532" s="12" t="n">
        <f aca="false">INT(E532)</f>
        <v>45741</v>
      </c>
      <c r="O532" s="12" t="n">
        <f aca="false">IF(F532="","",INT(F532))</f>
        <v>45742</v>
      </c>
    </row>
    <row r="533" customFormat="false" ht="15" hidden="false" customHeight="false" outlineLevel="0" collapsed="false">
      <c r="A533" s="0" t="s">
        <v>1106</v>
      </c>
      <c r="B533" s="0" t="s">
        <v>1107</v>
      </c>
      <c r="C533" s="0" t="s">
        <v>21</v>
      </c>
      <c r="D533" s="0" t="s">
        <v>42</v>
      </c>
      <c r="E533" s="10" t="n">
        <v>45741.6319444445</v>
      </c>
      <c r="F533" s="10" t="n">
        <v>45742.1409722222</v>
      </c>
      <c r="G533" s="0" t="n">
        <v>156.12</v>
      </c>
      <c r="H533" s="0" t="n">
        <v>155.83</v>
      </c>
      <c r="I533" s="11" t="n">
        <f aca="false">H533-G533</f>
        <v>-0.289999999999992</v>
      </c>
      <c r="J533" s="5" t="n">
        <f aca="false">IF(G533=0,"",I533/G533)</f>
        <v>-0.00185754547783751</v>
      </c>
      <c r="K533" s="0" t="n">
        <v>22.6</v>
      </c>
      <c r="L533" s="0" t="n">
        <v>12.22</v>
      </c>
      <c r="M533" s="11" t="s">
        <v>43</v>
      </c>
      <c r="N533" s="12" t="n">
        <f aca="false">INT(E533)</f>
        <v>45741</v>
      </c>
      <c r="O533" s="12" t="n">
        <f aca="false">IF(F533="","",INT(F533))</f>
        <v>45742</v>
      </c>
    </row>
    <row r="534" customFormat="false" ht="15" hidden="false" customHeight="false" outlineLevel="0" collapsed="false">
      <c r="A534" s="0" t="s">
        <v>1108</v>
      </c>
      <c r="B534" s="0" t="s">
        <v>1109</v>
      </c>
      <c r="C534" s="0" t="s">
        <v>23</v>
      </c>
      <c r="D534" s="0" t="s">
        <v>42</v>
      </c>
      <c r="E534" s="10" t="n">
        <v>45741.6763888889</v>
      </c>
      <c r="F534" s="10" t="n">
        <v>45742.4277893519</v>
      </c>
      <c r="G534" s="0" t="n">
        <v>629.77</v>
      </c>
      <c r="H534" s="0" t="n">
        <v>627.97</v>
      </c>
      <c r="I534" s="11" t="n">
        <f aca="false">H534-G534</f>
        <v>-1.79999999999995</v>
      </c>
      <c r="J534" s="5" t="n">
        <f aca="false">IF(G534=0,"",I534/G534)</f>
        <v>-0.0028581863219905</v>
      </c>
      <c r="K534" s="0" t="n">
        <v>204.6</v>
      </c>
      <c r="L534" s="0" t="n">
        <v>18.03</v>
      </c>
      <c r="M534" s="11" t="s">
        <v>43</v>
      </c>
      <c r="N534" s="12" t="n">
        <f aca="false">INT(E534)</f>
        <v>45741</v>
      </c>
      <c r="O534" s="12" t="n">
        <f aca="false">IF(F534="","",INT(F534))</f>
        <v>45742</v>
      </c>
    </row>
    <row r="535" customFormat="false" ht="15" hidden="false" customHeight="false" outlineLevel="0" collapsed="false">
      <c r="A535" s="0" t="s">
        <v>1110</v>
      </c>
      <c r="B535" s="0" t="s">
        <v>1111</v>
      </c>
      <c r="C535" s="0" t="s">
        <v>21</v>
      </c>
      <c r="D535" s="0" t="s">
        <v>48</v>
      </c>
      <c r="E535" s="10" t="n">
        <v>45741.7256944445</v>
      </c>
      <c r="F535" s="10"/>
      <c r="G535" s="0" t="n">
        <v>254.02</v>
      </c>
      <c r="H535" s="0" t="n">
        <v>243.75</v>
      </c>
      <c r="I535" s="11" t="n">
        <f aca="false">H535-G535</f>
        <v>-10.27</v>
      </c>
      <c r="J535" s="5" t="n">
        <f aca="false">IF(G535=0,"",I535/G535)</f>
        <v>-0.0404298874104402</v>
      </c>
      <c r="K535" s="0" t="n">
        <v>43.4</v>
      </c>
      <c r="M535" s="11" t="s">
        <v>43</v>
      </c>
      <c r="N535" s="12" t="n">
        <f aca="false">INT(E535)</f>
        <v>45741</v>
      </c>
      <c r="O535" s="12" t="str">
        <f aca="false">IF(F535="","",INT(F535))</f>
        <v/>
      </c>
    </row>
    <row r="536" customFormat="false" ht="15" hidden="false" customHeight="false" outlineLevel="0" collapsed="false">
      <c r="A536" s="0" t="s">
        <v>1112</v>
      </c>
      <c r="B536" s="0" t="s">
        <v>1113</v>
      </c>
      <c r="C536" s="0" t="s">
        <v>23</v>
      </c>
      <c r="D536" s="0" t="s">
        <v>42</v>
      </c>
      <c r="E536" s="10" t="n">
        <v>45741.7340277778</v>
      </c>
      <c r="F536" s="10" t="n">
        <v>45743.3125347222</v>
      </c>
      <c r="G536" s="0" t="n">
        <v>523.44</v>
      </c>
      <c r="H536" s="0" t="n">
        <v>524.06</v>
      </c>
      <c r="I536" s="11" t="n">
        <f aca="false">H536-G536</f>
        <v>0.619999999999891</v>
      </c>
      <c r="J536" s="5" t="n">
        <f aca="false">IF(G536=0,"",I536/G536)</f>
        <v>0.0011844719547606</v>
      </c>
      <c r="K536" s="0" t="n">
        <v>120.9</v>
      </c>
      <c r="L536" s="0" t="n">
        <v>37.88</v>
      </c>
      <c r="M536" s="11" t="s">
        <v>43</v>
      </c>
      <c r="N536" s="12" t="n">
        <f aca="false">INT(E536)</f>
        <v>45741</v>
      </c>
      <c r="O536" s="12" t="n">
        <f aca="false">IF(F536="","",INT(F536))</f>
        <v>45743</v>
      </c>
    </row>
    <row r="537" customFormat="false" ht="15" hidden="false" customHeight="false" outlineLevel="0" collapsed="false">
      <c r="A537" s="0" t="s">
        <v>1114</v>
      </c>
      <c r="B537" s="0" t="s">
        <v>1115</v>
      </c>
      <c r="C537" s="0" t="s">
        <v>21</v>
      </c>
      <c r="D537" s="0" t="s">
        <v>42</v>
      </c>
      <c r="E537" s="10" t="n">
        <v>45741.7416666667</v>
      </c>
      <c r="F537" s="10" t="n">
        <v>45742.06875</v>
      </c>
      <c r="G537" s="0" t="n">
        <v>134.76</v>
      </c>
      <c r="H537" s="0" t="n">
        <v>131.04</v>
      </c>
      <c r="I537" s="11" t="n">
        <f aca="false">H537-G537</f>
        <v>-3.72</v>
      </c>
      <c r="J537" s="5" t="n">
        <f aca="false">IF(G537=0,"",I537/G537)</f>
        <v>-0.0276046304541407</v>
      </c>
      <c r="K537" s="0" t="n">
        <v>22.6</v>
      </c>
      <c r="L537" s="0" t="n">
        <v>7.85</v>
      </c>
      <c r="M537" s="11" t="s">
        <v>43</v>
      </c>
      <c r="N537" s="12" t="n">
        <f aca="false">INT(E537)</f>
        <v>45741</v>
      </c>
      <c r="O537" s="12" t="n">
        <f aca="false">IF(F537="","",INT(F537))</f>
        <v>45742</v>
      </c>
    </row>
    <row r="538" customFormat="false" ht="15" hidden="false" customHeight="false" outlineLevel="0" collapsed="false">
      <c r="A538" s="0" t="s">
        <v>1116</v>
      </c>
      <c r="B538" s="0" t="s">
        <v>1117</v>
      </c>
      <c r="C538" s="0" t="s">
        <v>21</v>
      </c>
      <c r="D538" s="0" t="s">
        <v>42</v>
      </c>
      <c r="E538" s="10" t="n">
        <v>45741.7430555556</v>
      </c>
      <c r="F538" s="10" t="n">
        <v>45742.1347222222</v>
      </c>
      <c r="G538" s="0" t="n">
        <v>465.2</v>
      </c>
      <c r="H538" s="0" t="n">
        <v>355.84</v>
      </c>
      <c r="I538" s="11" t="n">
        <f aca="false">H538-G538</f>
        <v>-109.36</v>
      </c>
      <c r="J538" s="5" t="n">
        <f aca="false">IF(G538=0,"",I538/G538)</f>
        <v>-0.235081685296647</v>
      </c>
      <c r="K538" s="0" t="n">
        <v>82.1</v>
      </c>
      <c r="L538" s="0" t="n">
        <v>9.4</v>
      </c>
      <c r="M538" s="11" t="s">
        <v>43</v>
      </c>
      <c r="N538" s="12" t="n">
        <f aca="false">INT(E538)</f>
        <v>45741</v>
      </c>
      <c r="O538" s="12" t="n">
        <f aca="false">IF(F538="","",INT(F538))</f>
        <v>45742</v>
      </c>
    </row>
    <row r="539" customFormat="false" ht="15" hidden="false" customHeight="false" outlineLevel="0" collapsed="false">
      <c r="A539" s="0" t="s">
        <v>1118</v>
      </c>
      <c r="B539" s="0" t="s">
        <v>1119</v>
      </c>
      <c r="C539" s="0" t="s">
        <v>20</v>
      </c>
      <c r="D539" s="0" t="s">
        <v>42</v>
      </c>
      <c r="E539" s="10" t="n">
        <v>45741.7881944445</v>
      </c>
      <c r="F539" s="10" t="n">
        <v>45745.4299305556</v>
      </c>
      <c r="G539" s="0" t="n">
        <v>440.24</v>
      </c>
      <c r="H539" s="0" t="n">
        <v>430.21</v>
      </c>
      <c r="I539" s="11" t="n">
        <f aca="false">H539-G539</f>
        <v>-10.03</v>
      </c>
      <c r="J539" s="5" t="n">
        <f aca="false">IF(G539=0,"",I539/G539)</f>
        <v>-0.0227830274395785</v>
      </c>
      <c r="K539" s="0" t="n">
        <v>66.3</v>
      </c>
      <c r="L539" s="0" t="n">
        <v>77.08</v>
      </c>
      <c r="M539" s="11" t="s">
        <v>43</v>
      </c>
      <c r="N539" s="12" t="n">
        <f aca="false">INT(E539)</f>
        <v>45741</v>
      </c>
      <c r="O539" s="12" t="n">
        <f aca="false">IF(F539="","",INT(F539))</f>
        <v>45745</v>
      </c>
    </row>
    <row r="540" customFormat="false" ht="15" hidden="false" customHeight="false" outlineLevel="0" collapsed="false">
      <c r="A540" s="0" t="s">
        <v>1120</v>
      </c>
      <c r="B540" s="0" t="s">
        <v>1121</v>
      </c>
      <c r="C540" s="0" t="s">
        <v>21</v>
      </c>
      <c r="D540" s="0" t="s">
        <v>42</v>
      </c>
      <c r="E540" s="10" t="n">
        <v>45742.3083333333</v>
      </c>
      <c r="F540" s="10" t="n">
        <v>45743.0715046296</v>
      </c>
      <c r="G540" s="0" t="n">
        <v>371.8</v>
      </c>
      <c r="H540" s="0" t="n">
        <v>368.43</v>
      </c>
      <c r="I540" s="11" t="n">
        <f aca="false">H540-G540</f>
        <v>-3.37</v>
      </c>
      <c r="J540" s="5" t="n">
        <f aca="false">IF(G540=0,"",I540/G540)</f>
        <v>-0.00906401291016677</v>
      </c>
      <c r="K540" s="0" t="n">
        <v>44.9</v>
      </c>
      <c r="L540" s="0" t="n">
        <v>18.32</v>
      </c>
      <c r="M540" s="11" t="s">
        <v>43</v>
      </c>
      <c r="N540" s="12" t="n">
        <f aca="false">INT(E540)</f>
        <v>45742</v>
      </c>
      <c r="O540" s="12" t="n">
        <f aca="false">IF(F540="","",INT(F540))</f>
        <v>45743</v>
      </c>
    </row>
    <row r="541" customFormat="false" ht="15" hidden="false" customHeight="false" outlineLevel="0" collapsed="false">
      <c r="A541" s="0" t="s">
        <v>1122</v>
      </c>
      <c r="B541" s="0" t="s">
        <v>1123</v>
      </c>
      <c r="C541" s="0" t="s">
        <v>23</v>
      </c>
      <c r="D541" s="0" t="s">
        <v>42</v>
      </c>
      <c r="E541" s="10" t="n">
        <v>45742.3201388889</v>
      </c>
      <c r="F541" s="10" t="n">
        <v>45743.3368055556</v>
      </c>
      <c r="G541" s="0" t="n">
        <v>412.31</v>
      </c>
      <c r="H541" s="0" t="n">
        <v>413.65</v>
      </c>
      <c r="I541" s="11" t="n">
        <f aca="false">H541-G541</f>
        <v>1.33999999999998</v>
      </c>
      <c r="J541" s="5" t="n">
        <f aca="false">IF(G541=0,"",I541/G541)</f>
        <v>0.00324998180980324</v>
      </c>
      <c r="K541" s="0" t="n">
        <v>175</v>
      </c>
      <c r="L541" s="0" t="n">
        <v>24.4</v>
      </c>
      <c r="M541" s="11" t="s">
        <v>43</v>
      </c>
      <c r="N541" s="12" t="n">
        <f aca="false">INT(E541)</f>
        <v>45742</v>
      </c>
      <c r="O541" s="12" t="n">
        <f aca="false">IF(F541="","",INT(F541))</f>
        <v>45743</v>
      </c>
    </row>
    <row r="542" customFormat="false" ht="15" hidden="false" customHeight="false" outlineLevel="0" collapsed="false">
      <c r="A542" s="0" t="s">
        <v>1124</v>
      </c>
      <c r="B542" s="0" t="s">
        <v>1125</v>
      </c>
      <c r="C542" s="0" t="s">
        <v>23</v>
      </c>
      <c r="D542" s="0" t="s">
        <v>42</v>
      </c>
      <c r="E542" s="10" t="n">
        <v>45742.3743055556</v>
      </c>
      <c r="F542" s="10" t="n">
        <v>45744.2083333333</v>
      </c>
      <c r="G542" s="0" t="n">
        <v>625.54</v>
      </c>
      <c r="H542" s="0" t="n">
        <v>619.71</v>
      </c>
      <c r="I542" s="11" t="n">
        <f aca="false">H542-G542</f>
        <v>-5.82999999999993</v>
      </c>
      <c r="J542" s="5" t="n">
        <f aca="false">IF(G542=0,"",I542/G542)</f>
        <v>-0.00931994756530346</v>
      </c>
      <c r="K542" s="0" t="n">
        <v>274.1</v>
      </c>
      <c r="L542" s="0" t="n">
        <v>44.02</v>
      </c>
      <c r="M542" s="11" t="s">
        <v>43</v>
      </c>
      <c r="N542" s="12" t="n">
        <f aca="false">INT(E542)</f>
        <v>45742</v>
      </c>
      <c r="O542" s="12" t="n">
        <f aca="false">IF(F542="","",INT(F542))</f>
        <v>45744</v>
      </c>
    </row>
    <row r="543" customFormat="false" ht="15" hidden="false" customHeight="false" outlineLevel="0" collapsed="false">
      <c r="A543" s="0" t="s">
        <v>1126</v>
      </c>
      <c r="B543" s="0" t="s">
        <v>1127</v>
      </c>
      <c r="C543" s="0" t="s">
        <v>21</v>
      </c>
      <c r="D543" s="0" t="s">
        <v>42</v>
      </c>
      <c r="E543" s="10" t="n">
        <v>45742.3902777778</v>
      </c>
      <c r="F543" s="10" t="n">
        <v>45742.9752546296</v>
      </c>
      <c r="G543" s="0" t="n">
        <v>211.99</v>
      </c>
      <c r="H543" s="0" t="n">
        <v>221.19</v>
      </c>
      <c r="I543" s="11" t="n">
        <f aca="false">H543-G543</f>
        <v>9.19999999999999</v>
      </c>
      <c r="J543" s="5" t="n">
        <f aca="false">IF(G543=0,"",I543/G543)</f>
        <v>0.0433982735034671</v>
      </c>
      <c r="K543" s="0" t="n">
        <v>33.1</v>
      </c>
      <c r="L543" s="0" t="n">
        <v>14.04</v>
      </c>
      <c r="M543" s="11" t="s">
        <v>43</v>
      </c>
      <c r="N543" s="12" t="n">
        <f aca="false">INT(E543)</f>
        <v>45742</v>
      </c>
      <c r="O543" s="12" t="n">
        <f aca="false">IF(F543="","",INT(F543))</f>
        <v>45742</v>
      </c>
    </row>
    <row r="544" customFormat="false" ht="15" hidden="false" customHeight="false" outlineLevel="0" collapsed="false">
      <c r="A544" s="0" t="s">
        <v>1128</v>
      </c>
      <c r="B544" s="0" t="s">
        <v>1129</v>
      </c>
      <c r="C544" s="0" t="s">
        <v>23</v>
      </c>
      <c r="D544" s="0" t="s">
        <v>48</v>
      </c>
      <c r="E544" s="10" t="n">
        <v>45742.3993055556</v>
      </c>
      <c r="F544" s="10"/>
      <c r="G544" s="0" t="n">
        <v>1001.58</v>
      </c>
      <c r="H544" s="0" t="n">
        <v>1001.98</v>
      </c>
      <c r="I544" s="11" t="n">
        <f aca="false">H544-G544</f>
        <v>0.399999999999977</v>
      </c>
      <c r="J544" s="5" t="n">
        <f aca="false">IF(G544=0,"",I544/G544)</f>
        <v>0.000399368996984741</v>
      </c>
      <c r="K544" s="0" t="n">
        <v>378.2</v>
      </c>
      <c r="M544" s="11" t="s">
        <v>43</v>
      </c>
      <c r="N544" s="12" t="n">
        <f aca="false">INT(E544)</f>
        <v>45742</v>
      </c>
      <c r="O544" s="12" t="str">
        <f aca="false">IF(F544="","",INT(F544))</f>
        <v/>
      </c>
    </row>
    <row r="545" customFormat="false" ht="15" hidden="false" customHeight="false" outlineLevel="0" collapsed="false">
      <c r="A545" s="0" t="s">
        <v>1130</v>
      </c>
      <c r="B545" s="0" t="s">
        <v>1131</v>
      </c>
      <c r="C545" s="0" t="s">
        <v>24</v>
      </c>
      <c r="D545" s="0" t="s">
        <v>42</v>
      </c>
      <c r="E545" s="10" t="n">
        <v>45742.4430555556</v>
      </c>
      <c r="F545" s="10" t="n">
        <v>45743.5524305556</v>
      </c>
      <c r="G545" s="0" t="n">
        <v>597.16</v>
      </c>
      <c r="H545" s="0" t="n">
        <v>613.45</v>
      </c>
      <c r="I545" s="11" t="n">
        <f aca="false">H545-G545</f>
        <v>16.2900000000001</v>
      </c>
      <c r="J545" s="5" t="n">
        <f aca="false">IF(G545=0,"",I545/G545)</f>
        <v>0.027279121173555</v>
      </c>
      <c r="K545" s="0" t="n">
        <v>194.4</v>
      </c>
      <c r="L545" s="0" t="n">
        <v>26.62</v>
      </c>
      <c r="M545" s="11" t="s">
        <v>43</v>
      </c>
      <c r="N545" s="12" t="n">
        <f aca="false">INT(E545)</f>
        <v>45742</v>
      </c>
      <c r="O545" s="12" t="n">
        <f aca="false">IF(F545="","",INT(F545))</f>
        <v>45743</v>
      </c>
    </row>
    <row r="546" customFormat="false" ht="15" hidden="false" customHeight="false" outlineLevel="0" collapsed="false">
      <c r="A546" s="0" t="s">
        <v>1132</v>
      </c>
      <c r="B546" s="0" t="s">
        <v>1133</v>
      </c>
      <c r="C546" s="0" t="s">
        <v>22</v>
      </c>
      <c r="D546" s="0" t="s">
        <v>42</v>
      </c>
      <c r="E546" s="10" t="n">
        <v>45742.4875</v>
      </c>
      <c r="F546" s="10" t="n">
        <v>45742.9159722222</v>
      </c>
      <c r="G546" s="0" t="n">
        <v>1149.09</v>
      </c>
      <c r="H546" s="0" t="n">
        <v>853.49</v>
      </c>
      <c r="I546" s="11" t="n">
        <f aca="false">H546-G546</f>
        <v>-295.6</v>
      </c>
      <c r="J546" s="5" t="n">
        <f aca="false">IF(G546=0,"",I546/G546)</f>
        <v>-0.257247038961265</v>
      </c>
      <c r="K546" s="0" t="n">
        <v>233.2</v>
      </c>
      <c r="L546" s="0" t="n">
        <v>10.28</v>
      </c>
      <c r="M546" s="11" t="s">
        <v>43</v>
      </c>
      <c r="N546" s="12" t="n">
        <f aca="false">INT(E546)</f>
        <v>45742</v>
      </c>
      <c r="O546" s="12" t="n">
        <f aca="false">IF(F546="","",INT(F546))</f>
        <v>45742</v>
      </c>
    </row>
    <row r="547" customFormat="false" ht="15" hidden="false" customHeight="false" outlineLevel="0" collapsed="false">
      <c r="A547" s="0" t="s">
        <v>1134</v>
      </c>
      <c r="B547" s="0" t="s">
        <v>1135</v>
      </c>
      <c r="C547" s="0" t="s">
        <v>23</v>
      </c>
      <c r="D547" s="0" t="s">
        <v>42</v>
      </c>
      <c r="E547" s="10" t="n">
        <v>45742.5034722222</v>
      </c>
      <c r="F547" s="10" t="n">
        <v>45746.3584837963</v>
      </c>
      <c r="G547" s="0" t="n">
        <v>301.32</v>
      </c>
      <c r="H547" s="0" t="n">
        <v>301.16</v>
      </c>
      <c r="I547" s="11" t="n">
        <f aca="false">H547-G547</f>
        <v>-0.159999999999968</v>
      </c>
      <c r="J547" s="5" t="n">
        <f aca="false">IF(G547=0,"",I547/G547)</f>
        <v>-0.00053099694676745</v>
      </c>
      <c r="K547" s="0" t="n">
        <v>115.1</v>
      </c>
      <c r="L547" s="0" t="n">
        <v>59.92</v>
      </c>
      <c r="M547" s="11" t="s">
        <v>43</v>
      </c>
      <c r="N547" s="12" t="n">
        <f aca="false">INT(E547)</f>
        <v>45742</v>
      </c>
      <c r="O547" s="12" t="n">
        <f aca="false">IF(F547="","",INT(F547))</f>
        <v>45746</v>
      </c>
    </row>
    <row r="548" customFormat="false" ht="15" hidden="false" customHeight="false" outlineLevel="0" collapsed="false">
      <c r="A548" s="0" t="s">
        <v>1136</v>
      </c>
      <c r="B548" s="0" t="s">
        <v>1137</v>
      </c>
      <c r="C548" s="0" t="s">
        <v>20</v>
      </c>
      <c r="D548" s="0" t="s">
        <v>42</v>
      </c>
      <c r="E548" s="10" t="n">
        <v>45742.5291666667</v>
      </c>
      <c r="F548" s="10" t="n">
        <v>45743.1247337963</v>
      </c>
      <c r="G548" s="0" t="n">
        <v>66.33</v>
      </c>
      <c r="H548" s="0" t="n">
        <v>66.08</v>
      </c>
      <c r="I548" s="11" t="n">
        <f aca="false">H548-G548</f>
        <v>-0.25</v>
      </c>
      <c r="J548" s="5" t="n">
        <f aca="false">IF(G548=0,"",I548/G548)</f>
        <v>-0.00376903361977989</v>
      </c>
      <c r="K548" s="0" t="n">
        <v>9.1</v>
      </c>
      <c r="L548" s="0" t="n">
        <v>14.29</v>
      </c>
      <c r="M548" s="11" t="s">
        <v>43</v>
      </c>
      <c r="N548" s="12" t="n">
        <f aca="false">INT(E548)</f>
        <v>45742</v>
      </c>
      <c r="O548" s="12" t="n">
        <f aca="false">IF(F548="","",INT(F548))</f>
        <v>45743</v>
      </c>
    </row>
    <row r="549" customFormat="false" ht="15" hidden="false" customHeight="false" outlineLevel="0" collapsed="false">
      <c r="A549" s="0" t="s">
        <v>1138</v>
      </c>
      <c r="B549" s="0" t="s">
        <v>1139</v>
      </c>
      <c r="C549" s="0" t="s">
        <v>20</v>
      </c>
      <c r="D549" s="0" t="s">
        <v>42</v>
      </c>
      <c r="E549" s="10" t="n">
        <v>45742.55625</v>
      </c>
      <c r="F549" s="10" t="n">
        <v>45744.0680208333</v>
      </c>
      <c r="G549" s="0" t="n">
        <v>481.62</v>
      </c>
      <c r="H549" s="0" t="n">
        <v>441.68</v>
      </c>
      <c r="I549" s="11" t="n">
        <f aca="false">H549-G549</f>
        <v>-39.94</v>
      </c>
      <c r="J549" s="5" t="n">
        <f aca="false">IF(G549=0,"",I549/G549)</f>
        <v>-0.082928449815207</v>
      </c>
      <c r="K549" s="0" t="n">
        <v>89.8</v>
      </c>
      <c r="L549" s="0" t="n">
        <v>36.28</v>
      </c>
      <c r="M549" s="11" t="s">
        <v>43</v>
      </c>
      <c r="N549" s="12" t="n">
        <f aca="false">INT(E549)</f>
        <v>45742</v>
      </c>
      <c r="O549" s="12" t="n">
        <f aca="false">IF(F549="","",INT(F549))</f>
        <v>45744</v>
      </c>
    </row>
    <row r="550" customFormat="false" ht="15" hidden="false" customHeight="false" outlineLevel="0" collapsed="false">
      <c r="A550" s="0" t="s">
        <v>1140</v>
      </c>
      <c r="B550" s="0" t="s">
        <v>1141</v>
      </c>
      <c r="C550" s="0" t="s">
        <v>20</v>
      </c>
      <c r="D550" s="0" t="s">
        <v>42</v>
      </c>
      <c r="E550" s="10" t="n">
        <v>45742.5701388889</v>
      </c>
      <c r="F550" s="10" t="n">
        <v>45743.2375</v>
      </c>
      <c r="G550" s="0" t="n">
        <v>667.38</v>
      </c>
      <c r="H550" s="0" t="n">
        <v>501.93</v>
      </c>
      <c r="I550" s="11" t="n">
        <f aca="false">H550-G550</f>
        <v>-165.45</v>
      </c>
      <c r="J550" s="5" t="n">
        <f aca="false">IF(G550=0,"",I550/G550)</f>
        <v>-0.247909736581857</v>
      </c>
      <c r="K550" s="0" t="n">
        <v>126.6</v>
      </c>
      <c r="L550" s="0" t="n">
        <v>16.02</v>
      </c>
      <c r="M550" s="11" t="s">
        <v>43</v>
      </c>
      <c r="N550" s="12" t="n">
        <f aca="false">INT(E550)</f>
        <v>45742</v>
      </c>
      <c r="O550" s="12" t="n">
        <f aca="false">IF(F550="","",INT(F550))</f>
        <v>45743</v>
      </c>
    </row>
    <row r="551" customFormat="false" ht="15" hidden="false" customHeight="false" outlineLevel="0" collapsed="false">
      <c r="A551" s="0" t="s">
        <v>1142</v>
      </c>
      <c r="B551" s="0" t="s">
        <v>1143</v>
      </c>
      <c r="C551" s="0" t="s">
        <v>19</v>
      </c>
      <c r="D551" s="0" t="s">
        <v>42</v>
      </c>
      <c r="E551" s="10" t="n">
        <v>45742.6104166667</v>
      </c>
      <c r="F551" s="10" t="n">
        <v>45743.3878472222</v>
      </c>
      <c r="G551" s="0" t="n">
        <v>604.54</v>
      </c>
      <c r="H551" s="0" t="n">
        <v>612.93</v>
      </c>
      <c r="I551" s="11" t="n">
        <f aca="false">H551-G551</f>
        <v>8.38999999999999</v>
      </c>
      <c r="J551" s="5" t="n">
        <f aca="false">IF(G551=0,"",I551/G551)</f>
        <v>0.013878320706653</v>
      </c>
      <c r="K551" s="0" t="n">
        <v>116.6</v>
      </c>
      <c r="L551" s="0" t="n">
        <v>18.66</v>
      </c>
      <c r="M551" s="11" t="s">
        <v>43</v>
      </c>
      <c r="N551" s="12" t="n">
        <f aca="false">INT(E551)</f>
        <v>45742</v>
      </c>
      <c r="O551" s="12" t="n">
        <f aca="false">IF(F551="","",INT(F551))</f>
        <v>45743</v>
      </c>
    </row>
    <row r="552" customFormat="false" ht="15" hidden="false" customHeight="false" outlineLevel="0" collapsed="false">
      <c r="A552" s="0" t="s">
        <v>1144</v>
      </c>
      <c r="B552" s="0" t="s">
        <v>1145</v>
      </c>
      <c r="C552" s="0" t="s">
        <v>21</v>
      </c>
      <c r="D552" s="0" t="s">
        <v>42</v>
      </c>
      <c r="E552" s="10" t="n">
        <v>45742.6201388889</v>
      </c>
      <c r="F552" s="10" t="n">
        <v>45744.0979166667</v>
      </c>
      <c r="G552" s="0" t="n">
        <v>142.5</v>
      </c>
      <c r="H552" s="0" t="n">
        <v>144.78</v>
      </c>
      <c r="I552" s="11" t="n">
        <f aca="false">H552-G552</f>
        <v>2.28</v>
      </c>
      <c r="J552" s="5" t="n">
        <f aca="false">IF(G552=0,"",I552/G552)</f>
        <v>0.016</v>
      </c>
      <c r="K552" s="0" t="n">
        <v>38.7</v>
      </c>
      <c r="L552" s="0" t="n">
        <v>35.47</v>
      </c>
      <c r="M552" s="11" t="s">
        <v>43</v>
      </c>
      <c r="N552" s="12" t="n">
        <f aca="false">INT(E552)</f>
        <v>45742</v>
      </c>
      <c r="O552" s="12" t="n">
        <f aca="false">IF(F552="","",INT(F552))</f>
        <v>45744</v>
      </c>
    </row>
    <row r="553" customFormat="false" ht="15" hidden="false" customHeight="false" outlineLevel="0" collapsed="false">
      <c r="A553" s="0" t="s">
        <v>1146</v>
      </c>
      <c r="B553" s="0" t="s">
        <v>1147</v>
      </c>
      <c r="C553" s="0" t="s">
        <v>23</v>
      </c>
      <c r="D553" s="0" t="s">
        <v>42</v>
      </c>
      <c r="E553" s="10" t="n">
        <v>45742.6208333333</v>
      </c>
      <c r="F553" s="10" t="n">
        <v>45743.4666666667</v>
      </c>
      <c r="G553" s="0" t="n">
        <v>165.22</v>
      </c>
      <c r="H553" s="0" t="n">
        <v>166.95</v>
      </c>
      <c r="I553" s="11" t="n">
        <f aca="false">H553-G553</f>
        <v>1.72999999999999</v>
      </c>
      <c r="J553" s="5" t="n">
        <f aca="false">IF(G553=0,"",I553/G553)</f>
        <v>0.0104708873017794</v>
      </c>
      <c r="K553" s="0" t="n">
        <v>55.7</v>
      </c>
      <c r="L553" s="0" t="n">
        <v>20.3</v>
      </c>
      <c r="M553" s="11" t="s">
        <v>43</v>
      </c>
      <c r="N553" s="12" t="n">
        <f aca="false">INT(E553)</f>
        <v>45742</v>
      </c>
      <c r="O553" s="12" t="n">
        <f aca="false">IF(F553="","",INT(F553))</f>
        <v>45743</v>
      </c>
    </row>
    <row r="554" customFormat="false" ht="15" hidden="false" customHeight="false" outlineLevel="0" collapsed="false">
      <c r="A554" s="0" t="s">
        <v>1148</v>
      </c>
      <c r="B554" s="0" t="s">
        <v>1149</v>
      </c>
      <c r="C554" s="0" t="s">
        <v>21</v>
      </c>
      <c r="D554" s="0" t="s">
        <v>42</v>
      </c>
      <c r="E554" s="10" t="n">
        <v>45742.6340277778</v>
      </c>
      <c r="F554" s="10" t="n">
        <v>45743.7119907407</v>
      </c>
      <c r="G554" s="0" t="n">
        <v>1429.53</v>
      </c>
      <c r="H554" s="0" t="n">
        <v>1427.44</v>
      </c>
      <c r="I554" s="11" t="n">
        <f aca="false">H554-G554</f>
        <v>-2.08999999999992</v>
      </c>
      <c r="J554" s="5" t="n">
        <f aca="false">IF(G554=0,"",I554/G554)</f>
        <v>-0.00146201898526083</v>
      </c>
      <c r="K554" s="0" t="n">
        <v>286.1</v>
      </c>
      <c r="L554" s="0" t="n">
        <v>25.87</v>
      </c>
      <c r="M554" s="11" t="s">
        <v>43</v>
      </c>
      <c r="N554" s="12" t="n">
        <f aca="false">INT(E554)</f>
        <v>45742</v>
      </c>
      <c r="O554" s="12" t="n">
        <f aca="false">IF(F554="","",INT(F554))</f>
        <v>45743</v>
      </c>
    </row>
    <row r="555" customFormat="false" ht="15" hidden="false" customHeight="false" outlineLevel="0" collapsed="false">
      <c r="A555" s="0" t="s">
        <v>1150</v>
      </c>
      <c r="B555" s="0" t="s">
        <v>1151</v>
      </c>
      <c r="C555" s="0" t="s">
        <v>19</v>
      </c>
      <c r="D555" s="0" t="s">
        <v>42</v>
      </c>
      <c r="E555" s="10" t="n">
        <v>45742.7076388889</v>
      </c>
      <c r="F555" s="10" t="n">
        <v>45743.0305555556</v>
      </c>
      <c r="G555" s="0" t="n">
        <v>346.34</v>
      </c>
      <c r="H555" s="0" t="n">
        <v>335.56</v>
      </c>
      <c r="I555" s="11" t="n">
        <f aca="false">H555-G555</f>
        <v>-10.78</v>
      </c>
      <c r="J555" s="5" t="n">
        <f aca="false">IF(G555=0,"",I555/G555)</f>
        <v>-0.031125483628804</v>
      </c>
      <c r="K555" s="0" t="n">
        <v>66</v>
      </c>
      <c r="L555" s="0" t="n">
        <v>7.75</v>
      </c>
      <c r="M555" s="11" t="s">
        <v>43</v>
      </c>
      <c r="N555" s="12" t="n">
        <f aca="false">INT(E555)</f>
        <v>45742</v>
      </c>
      <c r="O555" s="12" t="n">
        <f aca="false">IF(F555="","",INT(F555))</f>
        <v>45743</v>
      </c>
    </row>
    <row r="556" customFormat="false" ht="15" hidden="false" customHeight="false" outlineLevel="0" collapsed="false">
      <c r="A556" s="0" t="s">
        <v>1152</v>
      </c>
      <c r="B556" s="0" t="s">
        <v>1153</v>
      </c>
      <c r="C556" s="0" t="s">
        <v>21</v>
      </c>
      <c r="D556" s="0" t="s">
        <v>42</v>
      </c>
      <c r="E556" s="10" t="n">
        <v>45742.7291666667</v>
      </c>
      <c r="F556" s="10" t="n">
        <v>45743.1402777778</v>
      </c>
      <c r="G556" s="0" t="n">
        <v>335.84</v>
      </c>
      <c r="H556" s="0" t="n">
        <v>334.61</v>
      </c>
      <c r="I556" s="11" t="n">
        <f aca="false">H556-G556</f>
        <v>-1.22999999999996</v>
      </c>
      <c r="J556" s="5" t="n">
        <f aca="false">IF(G556=0,"",I556/G556)</f>
        <v>-0.0036624583134825</v>
      </c>
      <c r="K556" s="0" t="n">
        <v>61.9</v>
      </c>
      <c r="L556" s="0" t="n">
        <v>9.87</v>
      </c>
      <c r="M556" s="11" t="s">
        <v>43</v>
      </c>
      <c r="N556" s="12" t="n">
        <f aca="false">INT(E556)</f>
        <v>45742</v>
      </c>
      <c r="O556" s="12" t="n">
        <f aca="false">IF(F556="","",INT(F556))</f>
        <v>45743</v>
      </c>
    </row>
    <row r="557" customFormat="false" ht="15" hidden="false" customHeight="false" outlineLevel="0" collapsed="false">
      <c r="A557" s="0" t="s">
        <v>1154</v>
      </c>
      <c r="B557" s="0" t="s">
        <v>1155</v>
      </c>
      <c r="C557" s="0" t="s">
        <v>23</v>
      </c>
      <c r="D557" s="0" t="s">
        <v>42</v>
      </c>
      <c r="E557" s="10" t="n">
        <v>45743.3027777778</v>
      </c>
      <c r="F557" s="10" t="n">
        <v>45745.0930555556</v>
      </c>
      <c r="G557" s="0" t="n">
        <v>487.72</v>
      </c>
      <c r="H557" s="0" t="n">
        <v>497.53</v>
      </c>
      <c r="I557" s="11" t="n">
        <f aca="false">H557-G557</f>
        <v>9.80999999999995</v>
      </c>
      <c r="J557" s="5" t="n">
        <f aca="false">IF(G557=0,"",I557/G557)</f>
        <v>0.0201139998359713</v>
      </c>
      <c r="K557" s="0" t="n">
        <v>99.6</v>
      </c>
      <c r="L557" s="0" t="n">
        <v>40.73</v>
      </c>
      <c r="M557" s="11" t="s">
        <v>43</v>
      </c>
      <c r="N557" s="12" t="n">
        <f aca="false">INT(E557)</f>
        <v>45743</v>
      </c>
      <c r="O557" s="12" t="n">
        <f aca="false">IF(F557="","",INT(F557))</f>
        <v>45745</v>
      </c>
    </row>
    <row r="558" customFormat="false" ht="15" hidden="false" customHeight="false" outlineLevel="0" collapsed="false">
      <c r="A558" s="0" t="s">
        <v>1156</v>
      </c>
      <c r="B558" s="0" t="s">
        <v>1157</v>
      </c>
      <c r="C558" s="0" t="s">
        <v>23</v>
      </c>
      <c r="D558" s="0" t="s">
        <v>42</v>
      </c>
      <c r="E558" s="10" t="n">
        <v>45743.3451388889</v>
      </c>
      <c r="F558" s="10" t="n">
        <v>45743.7965277778</v>
      </c>
      <c r="G558" s="0" t="n">
        <v>151.85</v>
      </c>
      <c r="H558" s="0" t="n">
        <v>151.54</v>
      </c>
      <c r="I558" s="11" t="n">
        <f aca="false">H558-G558</f>
        <v>-0.310000000000002</v>
      </c>
      <c r="J558" s="5" t="n">
        <f aca="false">IF(G558=0,"",I558/G558)</f>
        <v>-0.00204148831083307</v>
      </c>
      <c r="K558" s="0" t="n">
        <v>29.9</v>
      </c>
      <c r="L558" s="0" t="n">
        <v>10.83</v>
      </c>
      <c r="M558" s="11" t="s">
        <v>43</v>
      </c>
      <c r="N558" s="12" t="n">
        <f aca="false">INT(E558)</f>
        <v>45743</v>
      </c>
      <c r="O558" s="12" t="n">
        <f aca="false">IF(F558="","",INT(F558))</f>
        <v>45743</v>
      </c>
    </row>
    <row r="559" customFormat="false" ht="15" hidden="false" customHeight="false" outlineLevel="0" collapsed="false">
      <c r="A559" s="0" t="s">
        <v>1158</v>
      </c>
      <c r="B559" s="0" t="s">
        <v>1159</v>
      </c>
      <c r="C559" s="0" t="s">
        <v>19</v>
      </c>
      <c r="D559" s="0" t="s">
        <v>42</v>
      </c>
      <c r="E559" s="10" t="n">
        <v>45743.3513888889</v>
      </c>
      <c r="F559" s="10" t="n">
        <v>45743.7946990741</v>
      </c>
      <c r="G559" s="0" t="n">
        <v>68.77</v>
      </c>
      <c r="H559" s="0" t="n">
        <v>70.4</v>
      </c>
      <c r="I559" s="11" t="n">
        <f aca="false">H559-G559</f>
        <v>1.63000000000001</v>
      </c>
      <c r="J559" s="5" t="n">
        <f aca="false">IF(G559=0,"",I559/G559)</f>
        <v>0.0237021957248802</v>
      </c>
      <c r="K559" s="0" t="n">
        <v>9.7</v>
      </c>
      <c r="L559" s="0" t="n">
        <v>10.64</v>
      </c>
      <c r="M559" s="11" t="s">
        <v>43</v>
      </c>
      <c r="N559" s="12" t="n">
        <f aca="false">INT(E559)</f>
        <v>45743</v>
      </c>
      <c r="O559" s="12" t="n">
        <f aca="false">IF(F559="","",INT(F559))</f>
        <v>45743</v>
      </c>
    </row>
    <row r="560" customFormat="false" ht="15" hidden="false" customHeight="false" outlineLevel="0" collapsed="false">
      <c r="A560" s="0" t="s">
        <v>1160</v>
      </c>
      <c r="B560" s="0" t="s">
        <v>1161</v>
      </c>
      <c r="C560" s="0" t="s">
        <v>21</v>
      </c>
      <c r="D560" s="0" t="s">
        <v>42</v>
      </c>
      <c r="E560" s="10" t="n">
        <v>45743.3534722222</v>
      </c>
      <c r="F560" s="10" t="n">
        <v>45743.8173611111</v>
      </c>
      <c r="G560" s="0" t="n">
        <v>371.08</v>
      </c>
      <c r="H560" s="0" t="n">
        <v>366.58</v>
      </c>
      <c r="I560" s="11" t="n">
        <f aca="false">H560-G560</f>
        <v>-4.5</v>
      </c>
      <c r="J560" s="5" t="n">
        <f aca="false">IF(G560=0,"",I560/G560)</f>
        <v>-0.0121267651180338</v>
      </c>
      <c r="K560" s="0" t="n">
        <v>79.6</v>
      </c>
      <c r="L560" s="0" t="n">
        <v>11.13</v>
      </c>
      <c r="M560" s="11" t="s">
        <v>43</v>
      </c>
      <c r="N560" s="12" t="n">
        <f aca="false">INT(E560)</f>
        <v>45743</v>
      </c>
      <c r="O560" s="12" t="n">
        <f aca="false">IF(F560="","",INT(F560))</f>
        <v>45743</v>
      </c>
    </row>
    <row r="561" customFormat="false" ht="15" hidden="false" customHeight="false" outlineLevel="0" collapsed="false">
      <c r="A561" s="0" t="s">
        <v>1162</v>
      </c>
      <c r="B561" s="0" t="s">
        <v>1163</v>
      </c>
      <c r="C561" s="0" t="s">
        <v>19</v>
      </c>
      <c r="D561" s="0" t="s">
        <v>42</v>
      </c>
      <c r="E561" s="10" t="n">
        <v>45743.3569444444</v>
      </c>
      <c r="F561" s="10" t="n">
        <v>45744.7277777778</v>
      </c>
      <c r="G561" s="0" t="n">
        <v>1029.04</v>
      </c>
      <c r="H561" s="0" t="n">
        <v>1042.77</v>
      </c>
      <c r="I561" s="11" t="n">
        <f aca="false">H561-G561</f>
        <v>13.73</v>
      </c>
      <c r="J561" s="5" t="n">
        <f aca="false">IF(G561=0,"",I561/G561)</f>
        <v>0.0133425328461479</v>
      </c>
      <c r="K561" s="0" t="n">
        <v>201.1</v>
      </c>
      <c r="L561" s="0" t="n">
        <v>32.9</v>
      </c>
      <c r="M561" s="11" t="s">
        <v>43</v>
      </c>
      <c r="N561" s="12" t="n">
        <f aca="false">INT(E561)</f>
        <v>45743</v>
      </c>
      <c r="O561" s="12" t="n">
        <f aca="false">IF(F561="","",INT(F561))</f>
        <v>45744</v>
      </c>
    </row>
    <row r="562" customFormat="false" ht="15" hidden="false" customHeight="false" outlineLevel="0" collapsed="false">
      <c r="A562" s="0" t="s">
        <v>1164</v>
      </c>
      <c r="B562" s="0" t="s">
        <v>1165</v>
      </c>
      <c r="C562" s="0" t="s">
        <v>20</v>
      </c>
      <c r="D562" s="0" t="s">
        <v>42</v>
      </c>
      <c r="E562" s="10" t="n">
        <v>45743.4027777778</v>
      </c>
      <c r="F562" s="10" t="n">
        <v>45744.6414236111</v>
      </c>
      <c r="G562" s="0" t="n">
        <v>190.51</v>
      </c>
      <c r="H562" s="0" t="n">
        <v>190.18</v>
      </c>
      <c r="I562" s="11" t="n">
        <f aca="false">H562-G562</f>
        <v>-0.329999999999984</v>
      </c>
      <c r="J562" s="5" t="n">
        <f aca="false">IF(G562=0,"",I562/G562)</f>
        <v>-0.00173219253582481</v>
      </c>
      <c r="K562" s="0" t="n">
        <v>19.1</v>
      </c>
      <c r="L562" s="0" t="n">
        <v>29.73</v>
      </c>
      <c r="M562" s="11" t="s">
        <v>43</v>
      </c>
      <c r="N562" s="12" t="n">
        <f aca="false">INT(E562)</f>
        <v>45743</v>
      </c>
      <c r="O562" s="12" t="n">
        <f aca="false">IF(F562="","",INT(F562))</f>
        <v>45744</v>
      </c>
    </row>
    <row r="563" customFormat="false" ht="15" hidden="false" customHeight="false" outlineLevel="0" collapsed="false">
      <c r="A563" s="0" t="s">
        <v>1166</v>
      </c>
      <c r="B563" s="0" t="s">
        <v>1167</v>
      </c>
      <c r="C563" s="0" t="s">
        <v>20</v>
      </c>
      <c r="D563" s="0" t="s">
        <v>42</v>
      </c>
      <c r="E563" s="10" t="n">
        <v>45743.4055555556</v>
      </c>
      <c r="F563" s="10" t="n">
        <v>45744.6806365741</v>
      </c>
      <c r="G563" s="0" t="n">
        <v>1041.81</v>
      </c>
      <c r="H563" s="0" t="n">
        <v>1039.44</v>
      </c>
      <c r="I563" s="11" t="n">
        <f aca="false">H563-G563</f>
        <v>-2.36999999999989</v>
      </c>
      <c r="J563" s="5" t="n">
        <f aca="false">IF(G563=0,"",I563/G563)</f>
        <v>-0.00227488697555206</v>
      </c>
      <c r="K563" s="0" t="n">
        <v>186.1</v>
      </c>
      <c r="L563" s="0" t="n">
        <v>30.6</v>
      </c>
      <c r="M563" s="11" t="s">
        <v>43</v>
      </c>
      <c r="N563" s="12" t="n">
        <f aca="false">INT(E563)</f>
        <v>45743</v>
      </c>
      <c r="O563" s="12" t="n">
        <f aca="false">IF(F563="","",INT(F563))</f>
        <v>45744</v>
      </c>
    </row>
    <row r="564" customFormat="false" ht="15" hidden="false" customHeight="false" outlineLevel="0" collapsed="false">
      <c r="A564" s="0" t="s">
        <v>1168</v>
      </c>
      <c r="B564" s="0" t="s">
        <v>1169</v>
      </c>
      <c r="C564" s="0" t="s">
        <v>19</v>
      </c>
      <c r="D564" s="0" t="s">
        <v>42</v>
      </c>
      <c r="E564" s="10" t="n">
        <v>45743.4069444445</v>
      </c>
      <c r="F564" s="10" t="n">
        <v>45744.0638888889</v>
      </c>
      <c r="G564" s="0" t="n">
        <v>152.59</v>
      </c>
      <c r="H564" s="0" t="n">
        <v>152</v>
      </c>
      <c r="I564" s="11" t="n">
        <f aca="false">H564-G564</f>
        <v>-0.590000000000003</v>
      </c>
      <c r="J564" s="5" t="n">
        <f aca="false">IF(G564=0,"",I564/G564)</f>
        <v>-0.00386657054852876</v>
      </c>
      <c r="K564" s="0" t="n">
        <v>12.8</v>
      </c>
      <c r="L564" s="0" t="n">
        <v>15.77</v>
      </c>
      <c r="M564" s="11" t="s">
        <v>43</v>
      </c>
      <c r="N564" s="12" t="n">
        <f aca="false">INT(E564)</f>
        <v>45743</v>
      </c>
      <c r="O564" s="12" t="n">
        <f aca="false">IF(F564="","",INT(F564))</f>
        <v>45744</v>
      </c>
    </row>
    <row r="565" customFormat="false" ht="15" hidden="false" customHeight="false" outlineLevel="0" collapsed="false">
      <c r="A565" s="0" t="s">
        <v>1170</v>
      </c>
      <c r="B565" s="0" t="s">
        <v>1171</v>
      </c>
      <c r="C565" s="0" t="s">
        <v>19</v>
      </c>
      <c r="D565" s="0" t="s">
        <v>42</v>
      </c>
      <c r="E565" s="10" t="n">
        <v>45743.4326388889</v>
      </c>
      <c r="F565" s="10" t="n">
        <v>45744.1583333333</v>
      </c>
      <c r="G565" s="0" t="n">
        <v>129.57</v>
      </c>
      <c r="H565" s="0" t="n">
        <v>130.19</v>
      </c>
      <c r="I565" s="11" t="n">
        <f aca="false">H565-G565</f>
        <v>0.620000000000005</v>
      </c>
      <c r="J565" s="5" t="n">
        <f aca="false">IF(G565=0,"",I565/G565)</f>
        <v>0.00478505826966122</v>
      </c>
      <c r="K565" s="0" t="n">
        <v>12.9</v>
      </c>
      <c r="L565" s="0" t="n">
        <v>17.42</v>
      </c>
      <c r="M565" s="11" t="s">
        <v>43</v>
      </c>
      <c r="N565" s="12" t="n">
        <f aca="false">INT(E565)</f>
        <v>45743</v>
      </c>
      <c r="O565" s="12" t="n">
        <f aca="false">IF(F565="","",INT(F565))</f>
        <v>45744</v>
      </c>
    </row>
    <row r="566" customFormat="false" ht="15" hidden="false" customHeight="false" outlineLevel="0" collapsed="false">
      <c r="A566" s="0" t="s">
        <v>1172</v>
      </c>
      <c r="B566" s="0" t="s">
        <v>1173</v>
      </c>
      <c r="C566" s="0" t="s">
        <v>24</v>
      </c>
      <c r="D566" s="0" t="s">
        <v>42</v>
      </c>
      <c r="E566" s="10" t="n">
        <v>45743.4375</v>
      </c>
      <c r="F566" s="10" t="n">
        <v>45745.3111111111</v>
      </c>
      <c r="G566" s="0" t="n">
        <v>687.01</v>
      </c>
      <c r="H566" s="0" t="n">
        <v>650.6</v>
      </c>
      <c r="I566" s="11" t="n">
        <f aca="false">H566-G566</f>
        <v>-36.41</v>
      </c>
      <c r="J566" s="5" t="n">
        <f aca="false">IF(G566=0,"",I566/G566)</f>
        <v>-0.0529977729581811</v>
      </c>
      <c r="K566" s="0" t="n">
        <v>284.2</v>
      </c>
      <c r="L566" s="0" t="n">
        <v>37.5</v>
      </c>
      <c r="M566" s="11" t="s">
        <v>43</v>
      </c>
      <c r="N566" s="12" t="n">
        <f aca="false">INT(E566)</f>
        <v>45743</v>
      </c>
      <c r="O566" s="12" t="n">
        <f aca="false">IF(F566="","",INT(F566))</f>
        <v>45745</v>
      </c>
    </row>
    <row r="567" customFormat="false" ht="15" hidden="false" customHeight="false" outlineLevel="0" collapsed="false">
      <c r="A567" s="0" t="s">
        <v>1174</v>
      </c>
      <c r="B567" s="0" t="s">
        <v>1175</v>
      </c>
      <c r="C567" s="0" t="s">
        <v>23</v>
      </c>
      <c r="D567" s="0" t="s">
        <v>42</v>
      </c>
      <c r="E567" s="10" t="n">
        <v>45743.4833333333</v>
      </c>
      <c r="F567" s="10" t="n">
        <v>45745.0819444444</v>
      </c>
      <c r="G567" s="0" t="n">
        <v>1291.21</v>
      </c>
      <c r="H567" s="0" t="n">
        <v>1273.14</v>
      </c>
      <c r="I567" s="11" t="n">
        <f aca="false">H567-G567</f>
        <v>-18.0699999999999</v>
      </c>
      <c r="J567" s="5" t="n">
        <f aca="false">IF(G567=0,"",I567/G567)</f>
        <v>-0.013994625196521</v>
      </c>
      <c r="K567" s="0" t="n">
        <v>445</v>
      </c>
      <c r="L567" s="0" t="n">
        <v>36.4</v>
      </c>
      <c r="M567" s="11" t="s">
        <v>43</v>
      </c>
      <c r="N567" s="12" t="n">
        <f aca="false">INT(E567)</f>
        <v>45743</v>
      </c>
      <c r="O567" s="12" t="n">
        <f aca="false">IF(F567="","",INT(F567))</f>
        <v>45745</v>
      </c>
    </row>
    <row r="568" customFormat="false" ht="15" hidden="false" customHeight="false" outlineLevel="0" collapsed="false">
      <c r="A568" s="0" t="s">
        <v>1176</v>
      </c>
      <c r="B568" s="0" t="s">
        <v>1177</v>
      </c>
      <c r="C568" s="0" t="s">
        <v>22</v>
      </c>
      <c r="D568" s="0" t="s">
        <v>42</v>
      </c>
      <c r="E568" s="10" t="n">
        <v>45743.4854166667</v>
      </c>
      <c r="F568" s="10" t="n">
        <v>45745.0890277778</v>
      </c>
      <c r="G568" s="0" t="n">
        <v>497.37</v>
      </c>
      <c r="H568" s="0" t="n">
        <v>493.78</v>
      </c>
      <c r="I568" s="11" t="n">
        <f aca="false">H568-G568</f>
        <v>-3.59000000000003</v>
      </c>
      <c r="J568" s="5" t="n">
        <f aca="false">IF(G568=0,"",I568/G568)</f>
        <v>-0.00721796650381011</v>
      </c>
      <c r="K568" s="0" t="n">
        <v>75.7</v>
      </c>
      <c r="L568" s="0" t="n">
        <v>36.35</v>
      </c>
      <c r="M568" s="11" t="s">
        <v>43</v>
      </c>
      <c r="N568" s="12" t="n">
        <f aca="false">INT(E568)</f>
        <v>45743</v>
      </c>
      <c r="O568" s="12" t="n">
        <f aca="false">IF(F568="","",INT(F568))</f>
        <v>45745</v>
      </c>
    </row>
    <row r="569" customFormat="false" ht="15" hidden="false" customHeight="false" outlineLevel="0" collapsed="false">
      <c r="A569" s="0" t="s">
        <v>1178</v>
      </c>
      <c r="B569" s="0" t="s">
        <v>1179</v>
      </c>
      <c r="C569" s="0" t="s">
        <v>19</v>
      </c>
      <c r="D569" s="0" t="s">
        <v>42</v>
      </c>
      <c r="E569" s="10" t="n">
        <v>45743.5159722222</v>
      </c>
      <c r="F569" s="10" t="n">
        <v>45744.615625</v>
      </c>
      <c r="G569" s="0" t="n">
        <v>394.25</v>
      </c>
      <c r="H569" s="0" t="n">
        <v>394.06</v>
      </c>
      <c r="I569" s="11" t="n">
        <f aca="false">H569-G569</f>
        <v>-0.189999999999998</v>
      </c>
      <c r="J569" s="5" t="n">
        <f aca="false">IF(G569=0,"",I569/G569)</f>
        <v>-0.000481927710843368</v>
      </c>
      <c r="K569" s="0" t="n">
        <v>42.7</v>
      </c>
      <c r="L569" s="0" t="n">
        <v>26.39</v>
      </c>
      <c r="M569" s="11" t="s">
        <v>43</v>
      </c>
      <c r="N569" s="12" t="n">
        <f aca="false">INT(E569)</f>
        <v>45743</v>
      </c>
      <c r="O569" s="12" t="n">
        <f aca="false">IF(F569="","",INT(F569))</f>
        <v>45744</v>
      </c>
    </row>
    <row r="570" customFormat="false" ht="15" hidden="false" customHeight="false" outlineLevel="0" collapsed="false">
      <c r="A570" s="0" t="s">
        <v>1180</v>
      </c>
      <c r="B570" s="0" t="s">
        <v>1181</v>
      </c>
      <c r="C570" s="0" t="s">
        <v>22</v>
      </c>
      <c r="D570" s="0" t="s">
        <v>42</v>
      </c>
      <c r="E570" s="10" t="n">
        <v>45743.5166666667</v>
      </c>
      <c r="F570" s="10" t="n">
        <v>45744.1604050926</v>
      </c>
      <c r="G570" s="0" t="n">
        <v>396.48</v>
      </c>
      <c r="H570" s="0" t="n">
        <v>395.88</v>
      </c>
      <c r="I570" s="11" t="n">
        <f aca="false">H570-G570</f>
        <v>-0.600000000000023</v>
      </c>
      <c r="J570" s="5" t="n">
        <f aca="false">IF(G570=0,"",I570/G570)</f>
        <v>-0.00151331719128335</v>
      </c>
      <c r="K570" s="0" t="n">
        <v>56</v>
      </c>
      <c r="L570" s="0" t="n">
        <v>15.45</v>
      </c>
      <c r="M570" s="11" t="s">
        <v>43</v>
      </c>
      <c r="N570" s="12" t="n">
        <f aca="false">INT(E570)</f>
        <v>45743</v>
      </c>
      <c r="O570" s="12" t="n">
        <f aca="false">IF(F570="","",INT(F570))</f>
        <v>45744</v>
      </c>
    </row>
    <row r="571" customFormat="false" ht="15" hidden="false" customHeight="false" outlineLevel="0" collapsed="false">
      <c r="A571" s="0" t="s">
        <v>1182</v>
      </c>
      <c r="B571" s="0" t="s">
        <v>1183</v>
      </c>
      <c r="C571" s="0" t="s">
        <v>21</v>
      </c>
      <c r="D571" s="0" t="s">
        <v>42</v>
      </c>
      <c r="E571" s="10" t="n">
        <v>45743.5409722222</v>
      </c>
      <c r="F571" s="10" t="n">
        <v>45744.2666666667</v>
      </c>
      <c r="G571" s="0" t="n">
        <v>427.76</v>
      </c>
      <c r="H571" s="0" t="n">
        <v>424.88</v>
      </c>
      <c r="I571" s="11" t="n">
        <f aca="false">H571-G571</f>
        <v>-2.88</v>
      </c>
      <c r="J571" s="5" t="n">
        <f aca="false">IF(G571=0,"",I571/G571)</f>
        <v>-0.00673274733495417</v>
      </c>
      <c r="K571" s="0" t="n">
        <v>101</v>
      </c>
      <c r="L571" s="0" t="n">
        <v>17.42</v>
      </c>
      <c r="M571" s="11" t="s">
        <v>43</v>
      </c>
      <c r="N571" s="12" t="n">
        <f aca="false">INT(E571)</f>
        <v>45743</v>
      </c>
      <c r="O571" s="12" t="n">
        <f aca="false">IF(F571="","",INT(F571))</f>
        <v>45744</v>
      </c>
    </row>
    <row r="572" customFormat="false" ht="15" hidden="false" customHeight="false" outlineLevel="0" collapsed="false">
      <c r="A572" s="0" t="s">
        <v>1184</v>
      </c>
      <c r="B572" s="0" t="s">
        <v>1185</v>
      </c>
      <c r="C572" s="0" t="s">
        <v>20</v>
      </c>
      <c r="D572" s="0" t="s">
        <v>42</v>
      </c>
      <c r="E572" s="10" t="n">
        <v>45743.5513888889</v>
      </c>
      <c r="F572" s="10" t="n">
        <v>45744.6256944445</v>
      </c>
      <c r="G572" s="0" t="n">
        <v>256.87</v>
      </c>
      <c r="H572" s="0" t="n">
        <v>250.8</v>
      </c>
      <c r="I572" s="11" t="n">
        <f aca="false">H572-G572</f>
        <v>-6.06999999999999</v>
      </c>
      <c r="J572" s="5" t="n">
        <f aca="false">IF(G572=0,"",I572/G572)</f>
        <v>-0.0236306302799081</v>
      </c>
      <c r="K572" s="0" t="n">
        <v>42.8</v>
      </c>
      <c r="L572" s="0" t="n">
        <v>25.78</v>
      </c>
      <c r="M572" s="11" t="s">
        <v>43</v>
      </c>
      <c r="N572" s="12" t="n">
        <f aca="false">INT(E572)</f>
        <v>45743</v>
      </c>
      <c r="O572" s="12" t="n">
        <f aca="false">IF(F572="","",INT(F572))</f>
        <v>45744</v>
      </c>
    </row>
    <row r="573" customFormat="false" ht="15" hidden="false" customHeight="false" outlineLevel="0" collapsed="false">
      <c r="A573" s="0" t="s">
        <v>1186</v>
      </c>
      <c r="B573" s="0" t="s">
        <v>1187</v>
      </c>
      <c r="C573" s="0" t="s">
        <v>21</v>
      </c>
      <c r="D573" s="0" t="s">
        <v>42</v>
      </c>
      <c r="E573" s="10" t="n">
        <v>45743.5569444444</v>
      </c>
      <c r="F573" s="10" t="n">
        <v>45745.05</v>
      </c>
      <c r="G573" s="0" t="n">
        <v>3827.62</v>
      </c>
      <c r="H573" s="0" t="n">
        <v>3827.19</v>
      </c>
      <c r="I573" s="11" t="n">
        <f aca="false">H573-G573</f>
        <v>-0.429999999999836</v>
      </c>
      <c r="J573" s="5" t="n">
        <f aca="false">IF(G573=0,"",I573/G573)</f>
        <v>-0.000112341350499746</v>
      </c>
      <c r="K573" s="0" t="n">
        <v>641.5</v>
      </c>
      <c r="L573" s="0" t="n">
        <v>34.63</v>
      </c>
      <c r="M573" s="11" t="s">
        <v>43</v>
      </c>
      <c r="N573" s="12" t="n">
        <f aca="false">INT(E573)</f>
        <v>45743</v>
      </c>
      <c r="O573" s="12" t="n">
        <f aca="false">IF(F573="","",INT(F573))</f>
        <v>45745</v>
      </c>
    </row>
    <row r="574" customFormat="false" ht="15" hidden="false" customHeight="false" outlineLevel="0" collapsed="false">
      <c r="A574" s="0" t="s">
        <v>1188</v>
      </c>
      <c r="B574" s="0" t="s">
        <v>1189</v>
      </c>
      <c r="C574" s="0" t="s">
        <v>23</v>
      </c>
      <c r="D574" s="0" t="s">
        <v>42</v>
      </c>
      <c r="E574" s="10" t="n">
        <v>45743.5916666667</v>
      </c>
      <c r="F574" s="10" t="n">
        <v>45744.3694444444</v>
      </c>
      <c r="G574" s="0" t="n">
        <v>256.19</v>
      </c>
      <c r="H574" s="0" t="n">
        <v>254.87</v>
      </c>
      <c r="I574" s="11" t="n">
        <f aca="false">H574-G574</f>
        <v>-1.31999999999999</v>
      </c>
      <c r="J574" s="5" t="n">
        <f aca="false">IF(G574=0,"",I574/G574)</f>
        <v>-0.00515242593387717</v>
      </c>
      <c r="K574" s="0" t="n">
        <v>111.1</v>
      </c>
      <c r="L574" s="0" t="n">
        <v>18.67</v>
      </c>
      <c r="M574" s="11" t="s">
        <v>43</v>
      </c>
      <c r="N574" s="12" t="n">
        <f aca="false">INT(E574)</f>
        <v>45743</v>
      </c>
      <c r="O574" s="12" t="n">
        <f aca="false">IF(F574="","",INT(F574))</f>
        <v>45744</v>
      </c>
    </row>
    <row r="575" customFormat="false" ht="15" hidden="false" customHeight="false" outlineLevel="0" collapsed="false">
      <c r="A575" s="0" t="s">
        <v>1190</v>
      </c>
      <c r="B575" s="0" t="s">
        <v>1191</v>
      </c>
      <c r="C575" s="0" t="s">
        <v>23</v>
      </c>
      <c r="D575" s="0" t="s">
        <v>48</v>
      </c>
      <c r="E575" s="10" t="n">
        <v>45743.5986111111</v>
      </c>
      <c r="F575" s="10"/>
      <c r="G575" s="0" t="n">
        <v>95</v>
      </c>
      <c r="H575" s="0" t="n">
        <v>95.97</v>
      </c>
      <c r="I575" s="11" t="n">
        <f aca="false">H575-G575</f>
        <v>0.969999999999999</v>
      </c>
      <c r="J575" s="5" t="n">
        <f aca="false">IF(G575=0,"",I575/G575)</f>
        <v>0.0102105263157895</v>
      </c>
      <c r="K575" s="0" t="n">
        <v>28.9</v>
      </c>
      <c r="M575" s="11" t="s">
        <v>43</v>
      </c>
      <c r="N575" s="12" t="n">
        <f aca="false">INT(E575)</f>
        <v>45743</v>
      </c>
      <c r="O575" s="12" t="str">
        <f aca="false">IF(F575="","",INT(F575))</f>
        <v/>
      </c>
    </row>
    <row r="576" customFormat="false" ht="15" hidden="false" customHeight="false" outlineLevel="0" collapsed="false">
      <c r="A576" s="0" t="s">
        <v>1192</v>
      </c>
      <c r="B576" s="0" t="s">
        <v>1193</v>
      </c>
      <c r="C576" s="0" t="s">
        <v>23</v>
      </c>
      <c r="D576" s="0" t="s">
        <v>42</v>
      </c>
      <c r="E576" s="10" t="n">
        <v>45743.6048611111</v>
      </c>
      <c r="F576" s="10" t="n">
        <v>45745.2576388889</v>
      </c>
      <c r="G576" s="0" t="n">
        <v>425.68</v>
      </c>
      <c r="H576" s="0" t="n">
        <v>429.44</v>
      </c>
      <c r="I576" s="11" t="n">
        <f aca="false">H576-G576</f>
        <v>3.75999999999999</v>
      </c>
      <c r="J576" s="5" t="n">
        <f aca="false">IF(G576=0,"",I576/G576)</f>
        <v>0.00883292614170267</v>
      </c>
      <c r="K576" s="0" t="n">
        <v>111.3</v>
      </c>
      <c r="L576" s="0" t="n">
        <v>33.48</v>
      </c>
      <c r="M576" s="11" t="s">
        <v>43</v>
      </c>
      <c r="N576" s="12" t="n">
        <f aca="false">INT(E576)</f>
        <v>45743</v>
      </c>
      <c r="O576" s="12" t="n">
        <f aca="false">IF(F576="","",INT(F576))</f>
        <v>45745</v>
      </c>
    </row>
    <row r="577" customFormat="false" ht="15" hidden="false" customHeight="false" outlineLevel="0" collapsed="false">
      <c r="A577" s="0" t="s">
        <v>1194</v>
      </c>
      <c r="B577" s="0" t="s">
        <v>1195</v>
      </c>
      <c r="C577" s="0" t="s">
        <v>23</v>
      </c>
      <c r="D577" s="0" t="s">
        <v>42</v>
      </c>
      <c r="E577" s="10" t="n">
        <v>45743.6083333333</v>
      </c>
      <c r="F577" s="10" t="n">
        <v>45744.4651273148</v>
      </c>
      <c r="G577" s="0" t="n">
        <v>403.14</v>
      </c>
      <c r="H577" s="0" t="n">
        <v>394.41</v>
      </c>
      <c r="I577" s="11" t="n">
        <f aca="false">H577-G577</f>
        <v>-8.72999999999996</v>
      </c>
      <c r="J577" s="5" t="n">
        <f aca="false">IF(G577=0,"",I577/G577)</f>
        <v>-0.0216550081857418</v>
      </c>
      <c r="K577" s="0" t="n">
        <v>173.3</v>
      </c>
      <c r="L577" s="0" t="n">
        <v>20.56</v>
      </c>
      <c r="M577" s="11" t="s">
        <v>43</v>
      </c>
      <c r="N577" s="12" t="n">
        <f aca="false">INT(E577)</f>
        <v>45743</v>
      </c>
      <c r="O577" s="12" t="n">
        <f aca="false">IF(F577="","",INT(F577))</f>
        <v>45744</v>
      </c>
    </row>
    <row r="578" customFormat="false" ht="15" hidden="false" customHeight="false" outlineLevel="0" collapsed="false">
      <c r="A578" s="0" t="s">
        <v>1196</v>
      </c>
      <c r="B578" s="0" t="s">
        <v>1197</v>
      </c>
      <c r="C578" s="0" t="s">
        <v>20</v>
      </c>
      <c r="D578" s="0" t="s">
        <v>42</v>
      </c>
      <c r="E578" s="10" t="n">
        <v>45743.625</v>
      </c>
      <c r="F578" s="10" t="n">
        <v>45744.1958333333</v>
      </c>
      <c r="G578" s="0" t="n">
        <v>178.27</v>
      </c>
      <c r="H578" s="0" t="n">
        <v>180.36</v>
      </c>
      <c r="I578" s="11" t="n">
        <f aca="false">H578-G578</f>
        <v>2.09</v>
      </c>
      <c r="J578" s="5" t="n">
        <f aca="false">IF(G578=0,"",I578/G578)</f>
        <v>0.01172378975711</v>
      </c>
      <c r="K578" s="0" t="n">
        <v>33.8</v>
      </c>
      <c r="L578" s="0" t="n">
        <v>13.7</v>
      </c>
      <c r="M578" s="11" t="s">
        <v>43</v>
      </c>
      <c r="N578" s="12" t="n">
        <f aca="false">INT(E578)</f>
        <v>45743</v>
      </c>
      <c r="O578" s="12" t="n">
        <f aca="false">IF(F578="","",INT(F578))</f>
        <v>45744</v>
      </c>
    </row>
    <row r="579" customFormat="false" ht="15" hidden="false" customHeight="false" outlineLevel="0" collapsed="false">
      <c r="A579" s="0" t="s">
        <v>1198</v>
      </c>
      <c r="B579" s="0" t="s">
        <v>1199</v>
      </c>
      <c r="C579" s="0" t="s">
        <v>21</v>
      </c>
      <c r="D579" s="0" t="s">
        <v>42</v>
      </c>
      <c r="E579" s="10" t="n">
        <v>45743.6951388889</v>
      </c>
      <c r="F579" s="10" t="n">
        <v>45744.2120486111</v>
      </c>
      <c r="G579" s="0" t="n">
        <v>889.08</v>
      </c>
      <c r="H579" s="0" t="n">
        <v>869.45</v>
      </c>
      <c r="I579" s="11" t="n">
        <f aca="false">H579-G579</f>
        <v>-19.63</v>
      </c>
      <c r="J579" s="5" t="n">
        <f aca="false">IF(G579=0,"",I579/G579)</f>
        <v>-0.0220790030143519</v>
      </c>
      <c r="K579" s="0" t="n">
        <v>115.8</v>
      </c>
      <c r="L579" s="0" t="n">
        <v>12.41</v>
      </c>
      <c r="M579" s="11" t="s">
        <v>43</v>
      </c>
      <c r="N579" s="12" t="n">
        <f aca="false">INT(E579)</f>
        <v>45743</v>
      </c>
      <c r="O579" s="12" t="n">
        <f aca="false">IF(F579="","",INT(F579))</f>
        <v>45744</v>
      </c>
    </row>
    <row r="580" customFormat="false" ht="15" hidden="false" customHeight="false" outlineLevel="0" collapsed="false">
      <c r="A580" s="0" t="s">
        <v>1200</v>
      </c>
      <c r="B580" s="0" t="s">
        <v>1201</v>
      </c>
      <c r="C580" s="0" t="s">
        <v>19</v>
      </c>
      <c r="D580" s="0" t="s">
        <v>42</v>
      </c>
      <c r="E580" s="10" t="n">
        <v>45743.6993055556</v>
      </c>
      <c r="F580" s="10" t="n">
        <v>45744.809212963</v>
      </c>
      <c r="G580" s="0" t="n">
        <v>186.15</v>
      </c>
      <c r="H580" s="0" t="n">
        <v>188.35</v>
      </c>
      <c r="I580" s="11" t="n">
        <f aca="false">H580-G580</f>
        <v>2.19999999999999</v>
      </c>
      <c r="J580" s="5" t="n">
        <f aca="false">IF(G580=0,"",I580/G580)</f>
        <v>0.0118184260005371</v>
      </c>
      <c r="K580" s="0" t="n">
        <v>17.5</v>
      </c>
      <c r="L580" s="0" t="n">
        <v>26.64</v>
      </c>
      <c r="M580" s="11" t="s">
        <v>43</v>
      </c>
      <c r="N580" s="12" t="n">
        <f aca="false">INT(E580)</f>
        <v>45743</v>
      </c>
      <c r="O580" s="12" t="n">
        <f aca="false">IF(F580="","",INT(F580))</f>
        <v>45744</v>
      </c>
    </row>
    <row r="581" customFormat="false" ht="15" hidden="false" customHeight="false" outlineLevel="0" collapsed="false">
      <c r="A581" s="0" t="s">
        <v>1202</v>
      </c>
      <c r="B581" s="0" t="s">
        <v>1203</v>
      </c>
      <c r="C581" s="0" t="s">
        <v>19</v>
      </c>
      <c r="D581" s="0" t="s">
        <v>42</v>
      </c>
      <c r="E581" s="10" t="n">
        <v>45743.7430555556</v>
      </c>
      <c r="F581" s="10" t="n">
        <v>45745.1763888889</v>
      </c>
      <c r="G581" s="0" t="n">
        <v>1041.29</v>
      </c>
      <c r="H581" s="0" t="n">
        <v>1066.88</v>
      </c>
      <c r="I581" s="11" t="n">
        <f aca="false">H581-G581</f>
        <v>25.5900000000001</v>
      </c>
      <c r="J581" s="5" t="n">
        <f aca="false">IF(G581=0,"",I581/G581)</f>
        <v>0.0245752864235709</v>
      </c>
      <c r="K581" s="0" t="n">
        <v>99.4</v>
      </c>
      <c r="L581" s="0" t="n">
        <v>30.17</v>
      </c>
      <c r="M581" s="11" t="s">
        <v>43</v>
      </c>
      <c r="N581" s="12" t="n">
        <f aca="false">INT(E581)</f>
        <v>45743</v>
      </c>
      <c r="O581" s="12" t="n">
        <f aca="false">IF(F581="","",INT(F581))</f>
        <v>45745</v>
      </c>
    </row>
    <row r="582" customFormat="false" ht="15" hidden="false" customHeight="false" outlineLevel="0" collapsed="false">
      <c r="A582" s="0" t="s">
        <v>1204</v>
      </c>
      <c r="B582" s="0" t="s">
        <v>1205</v>
      </c>
      <c r="C582" s="0" t="s">
        <v>22</v>
      </c>
      <c r="D582" s="0" t="s">
        <v>48</v>
      </c>
      <c r="E582" s="10" t="n">
        <v>45743.7680555556</v>
      </c>
      <c r="F582" s="10"/>
      <c r="G582" s="0" t="n">
        <v>587.05</v>
      </c>
      <c r="H582" s="0" t="n">
        <v>586.5</v>
      </c>
      <c r="I582" s="11" t="n">
        <f aca="false">H582-G582</f>
        <v>-0.549999999999955</v>
      </c>
      <c r="J582" s="5" t="n">
        <f aca="false">IF(G582=0,"",I582/G582)</f>
        <v>-0.000936887828975308</v>
      </c>
      <c r="K582" s="0" t="n">
        <v>82.6</v>
      </c>
      <c r="M582" s="11" t="s">
        <v>43</v>
      </c>
      <c r="N582" s="12" t="n">
        <f aca="false">INT(E582)</f>
        <v>45743</v>
      </c>
      <c r="O582" s="12" t="str">
        <f aca="false">IF(F582="","",INT(F582))</f>
        <v/>
      </c>
    </row>
    <row r="583" customFormat="false" ht="15" hidden="false" customHeight="false" outlineLevel="0" collapsed="false">
      <c r="A583" s="0" t="s">
        <v>1206</v>
      </c>
      <c r="B583" s="0" t="s">
        <v>1207</v>
      </c>
      <c r="C583" s="0" t="s">
        <v>19</v>
      </c>
      <c r="D583" s="0" t="s">
        <v>42</v>
      </c>
      <c r="E583" s="10" t="n">
        <v>45743.7902777778</v>
      </c>
      <c r="F583" s="10" t="n">
        <v>45744.1791782407</v>
      </c>
      <c r="G583" s="0" t="n">
        <v>1475.99</v>
      </c>
      <c r="H583" s="0" t="n">
        <v>1532.66</v>
      </c>
      <c r="I583" s="11" t="n">
        <f aca="false">H583-G583</f>
        <v>56.6700000000001</v>
      </c>
      <c r="J583" s="5" t="n">
        <f aca="false">IF(G583=0,"",I583/G583)</f>
        <v>0.0383945690688962</v>
      </c>
      <c r="K583" s="0" t="n">
        <v>200</v>
      </c>
      <c r="L583" s="0" t="n">
        <v>9.33</v>
      </c>
      <c r="M583" s="11" t="s">
        <v>43</v>
      </c>
      <c r="N583" s="12" t="n">
        <f aca="false">INT(E583)</f>
        <v>45743</v>
      </c>
      <c r="O583" s="12" t="n">
        <f aca="false">IF(F583="","",INT(F583))</f>
        <v>45744</v>
      </c>
    </row>
    <row r="584" customFormat="false" ht="15" hidden="false" customHeight="false" outlineLevel="0" collapsed="false">
      <c r="A584" s="0" t="s">
        <v>1208</v>
      </c>
      <c r="B584" s="0" t="s">
        <v>1209</v>
      </c>
      <c r="C584" s="0" t="s">
        <v>20</v>
      </c>
      <c r="D584" s="0" t="s">
        <v>42</v>
      </c>
      <c r="E584" s="10" t="n">
        <v>45743.7909722222</v>
      </c>
      <c r="F584" s="10" t="n">
        <v>45744.5111342593</v>
      </c>
      <c r="G584" s="0" t="n">
        <v>290.29</v>
      </c>
      <c r="H584" s="0" t="n">
        <v>291.01</v>
      </c>
      <c r="I584" s="11" t="n">
        <f aca="false">H584-G584</f>
        <v>0.71999999999997</v>
      </c>
      <c r="J584" s="5" t="n">
        <f aca="false">IF(G584=0,"",I584/G584)</f>
        <v>0.00248027834234721</v>
      </c>
      <c r="K584" s="0" t="n">
        <v>35.1</v>
      </c>
      <c r="L584" s="0" t="n">
        <v>17.28</v>
      </c>
      <c r="M584" s="11" t="s">
        <v>43</v>
      </c>
      <c r="N584" s="12" t="n">
        <f aca="false">INT(E584)</f>
        <v>45743</v>
      </c>
      <c r="O584" s="12" t="n">
        <f aca="false">IF(F584="","",INT(F584))</f>
        <v>45744</v>
      </c>
    </row>
    <row r="585" customFormat="false" ht="15" hidden="false" customHeight="false" outlineLevel="0" collapsed="false">
      <c r="A585" s="0" t="s">
        <v>1210</v>
      </c>
      <c r="B585" s="0" t="s">
        <v>1211</v>
      </c>
      <c r="C585" s="0" t="s">
        <v>19</v>
      </c>
      <c r="D585" s="0" t="s">
        <v>42</v>
      </c>
      <c r="E585" s="10" t="n">
        <v>45744.4243055556</v>
      </c>
      <c r="F585" s="10" t="n">
        <v>45745.3729166667</v>
      </c>
      <c r="G585" s="0" t="n">
        <v>752.81</v>
      </c>
      <c r="H585" s="0" t="n">
        <v>742.75</v>
      </c>
      <c r="I585" s="11" t="n">
        <f aca="false">H585-G585</f>
        <v>-10.0599999999999</v>
      </c>
      <c r="J585" s="5" t="n">
        <f aca="false">IF(G585=0,"",I585/G585)</f>
        <v>-0.0133632656314342</v>
      </c>
      <c r="K585" s="0" t="n">
        <v>82.4</v>
      </c>
      <c r="L585" s="0" t="n">
        <v>13.82</v>
      </c>
      <c r="M585" s="11" t="s">
        <v>43</v>
      </c>
      <c r="N585" s="12" t="n">
        <f aca="false">INT(E585)</f>
        <v>45744</v>
      </c>
      <c r="O585" s="12" t="n">
        <f aca="false">IF(F585="","",INT(F585))</f>
        <v>45745</v>
      </c>
    </row>
    <row r="586" customFormat="false" ht="15" hidden="false" customHeight="false" outlineLevel="0" collapsed="false">
      <c r="A586" s="0" t="s">
        <v>1212</v>
      </c>
      <c r="B586" s="0" t="s">
        <v>1213</v>
      </c>
      <c r="C586" s="0" t="s">
        <v>19</v>
      </c>
      <c r="D586" s="0" t="s">
        <v>42</v>
      </c>
      <c r="E586" s="10" t="n">
        <v>45744.4277777778</v>
      </c>
      <c r="F586" s="10" t="n">
        <v>45745.0263888889</v>
      </c>
      <c r="G586" s="0" t="n">
        <v>1301.73</v>
      </c>
      <c r="H586" s="0" t="n">
        <v>1286.71</v>
      </c>
      <c r="I586" s="11" t="n">
        <f aca="false">H586-G586</f>
        <v>-15.02</v>
      </c>
      <c r="J586" s="5" t="n">
        <f aca="false">IF(G586=0,"",I586/G586)</f>
        <v>-0.0115384910849408</v>
      </c>
      <c r="K586" s="0" t="n">
        <v>166.9</v>
      </c>
      <c r="L586" s="0" t="n">
        <v>13.73</v>
      </c>
      <c r="M586" s="11" t="s">
        <v>43</v>
      </c>
      <c r="N586" s="12" t="n">
        <f aca="false">INT(E586)</f>
        <v>45744</v>
      </c>
      <c r="O586" s="12" t="n">
        <f aca="false">IF(F586="","",INT(F586))</f>
        <v>45745</v>
      </c>
    </row>
    <row r="587" customFormat="false" ht="15" hidden="false" customHeight="false" outlineLevel="0" collapsed="false">
      <c r="A587" s="0" t="s">
        <v>1214</v>
      </c>
      <c r="B587" s="0" t="s">
        <v>1215</v>
      </c>
      <c r="C587" s="0" t="s">
        <v>19</v>
      </c>
      <c r="D587" s="0" t="s">
        <v>42</v>
      </c>
      <c r="E587" s="10" t="n">
        <v>45744.4527777778</v>
      </c>
      <c r="F587" s="10" t="n">
        <v>45745.5111111111</v>
      </c>
      <c r="G587" s="0" t="n">
        <v>381.77</v>
      </c>
      <c r="H587" s="0" t="n">
        <v>459.38</v>
      </c>
      <c r="I587" s="11" t="n">
        <f aca="false">H587-G587</f>
        <v>77.61</v>
      </c>
      <c r="J587" s="5" t="n">
        <f aca="false">IF(G587=0,"",I587/G587)</f>
        <v>0.203289938968489</v>
      </c>
      <c r="K587" s="0" t="n">
        <v>55.4</v>
      </c>
      <c r="L587" s="0" t="n">
        <v>13.13</v>
      </c>
      <c r="M587" s="11" t="s">
        <v>43</v>
      </c>
      <c r="N587" s="12" t="n">
        <f aca="false">INT(E587)</f>
        <v>45744</v>
      </c>
      <c r="O587" s="12" t="n">
        <f aca="false">IF(F587="","",INT(F587))</f>
        <v>45745</v>
      </c>
    </row>
    <row r="588" customFormat="false" ht="15" hidden="false" customHeight="false" outlineLevel="0" collapsed="false">
      <c r="A588" s="0" t="s">
        <v>1216</v>
      </c>
      <c r="B588" s="0" t="s">
        <v>1217</v>
      </c>
      <c r="C588" s="0" t="s">
        <v>23</v>
      </c>
      <c r="D588" s="0" t="s">
        <v>42</v>
      </c>
      <c r="E588" s="10" t="n">
        <v>45744.45625</v>
      </c>
      <c r="F588" s="10" t="n">
        <v>45746.0479976852</v>
      </c>
      <c r="G588" s="0" t="n">
        <v>983.38</v>
      </c>
      <c r="H588" s="0" t="n">
        <v>986.77</v>
      </c>
      <c r="I588" s="11" t="n">
        <f aca="false">H588-G588</f>
        <v>3.38999999999999</v>
      </c>
      <c r="J588" s="5" t="n">
        <f aca="false">IF(G588=0,"",I588/G588)</f>
        <v>0.00344729402672414</v>
      </c>
      <c r="K588" s="0" t="n">
        <v>359.5</v>
      </c>
      <c r="L588" s="0" t="n">
        <v>13.05</v>
      </c>
      <c r="M588" s="11" t="s">
        <v>43</v>
      </c>
      <c r="N588" s="12" t="n">
        <f aca="false">INT(E588)</f>
        <v>45744</v>
      </c>
      <c r="O588" s="12" t="n">
        <f aca="false">IF(F588="","",INT(F588))</f>
        <v>45746</v>
      </c>
    </row>
    <row r="589" customFormat="false" ht="15" hidden="false" customHeight="false" outlineLevel="0" collapsed="false">
      <c r="A589" s="0" t="s">
        <v>1218</v>
      </c>
      <c r="B589" s="0" t="s">
        <v>1219</v>
      </c>
      <c r="C589" s="0" t="s">
        <v>20</v>
      </c>
      <c r="D589" s="0" t="s">
        <v>42</v>
      </c>
      <c r="E589" s="10" t="n">
        <v>45744.45625</v>
      </c>
      <c r="F589" s="10" t="n">
        <v>45745.0186458333</v>
      </c>
      <c r="G589" s="0" t="n">
        <v>198.27</v>
      </c>
      <c r="H589" s="0" t="n">
        <v>148.91</v>
      </c>
      <c r="I589" s="11" t="n">
        <f aca="false">H589-G589</f>
        <v>-49.36</v>
      </c>
      <c r="J589" s="5" t="n">
        <f aca="false">IF(G589=0,"",I589/G589)</f>
        <v>-0.248953447319312</v>
      </c>
      <c r="K589" s="0" t="n">
        <v>42.4</v>
      </c>
      <c r="L589" s="0" t="n">
        <v>13.05</v>
      </c>
      <c r="M589" s="11" t="s">
        <v>43</v>
      </c>
      <c r="N589" s="12" t="n">
        <f aca="false">INT(E589)</f>
        <v>45744</v>
      </c>
      <c r="O589" s="12" t="n">
        <f aca="false">IF(F589="","",INT(F589))</f>
        <v>45745</v>
      </c>
    </row>
    <row r="590" customFormat="false" ht="15" hidden="false" customHeight="false" outlineLevel="0" collapsed="false">
      <c r="A590" s="0" t="s">
        <v>1220</v>
      </c>
      <c r="B590" s="0" t="s">
        <v>1221</v>
      </c>
      <c r="C590" s="0" t="s">
        <v>23</v>
      </c>
      <c r="D590" s="0" t="s">
        <v>42</v>
      </c>
      <c r="E590" s="10" t="n">
        <v>45744.48125</v>
      </c>
      <c r="F590" s="10" t="n">
        <v>45745.1110069445</v>
      </c>
      <c r="G590" s="0" t="n">
        <v>156.16</v>
      </c>
      <c r="H590" s="0" t="n">
        <v>159.37</v>
      </c>
      <c r="I590" s="11" t="n">
        <f aca="false">H590-G590</f>
        <v>3.21000000000001</v>
      </c>
      <c r="J590" s="5" t="n">
        <f aca="false">IF(G590=0,"",I590/G590)</f>
        <v>0.0205558401639345</v>
      </c>
      <c r="K590" s="0" t="n">
        <v>54.5</v>
      </c>
      <c r="L590" s="0" t="n">
        <v>12.45</v>
      </c>
      <c r="M590" s="11" t="s">
        <v>43</v>
      </c>
      <c r="N590" s="12" t="n">
        <f aca="false">INT(E590)</f>
        <v>45744</v>
      </c>
      <c r="O590" s="12" t="n">
        <f aca="false">IF(F590="","",INT(F590))</f>
        <v>45745</v>
      </c>
    </row>
    <row r="591" customFormat="false" ht="15" hidden="false" customHeight="false" outlineLevel="0" collapsed="false">
      <c r="A591" s="0" t="s">
        <v>1222</v>
      </c>
      <c r="B591" s="0" t="s">
        <v>1223</v>
      </c>
      <c r="C591" s="0" t="s">
        <v>21</v>
      </c>
      <c r="D591" s="0" t="s">
        <v>42</v>
      </c>
      <c r="E591" s="10" t="n">
        <v>45744.5027777778</v>
      </c>
      <c r="F591" s="10" t="n">
        <v>45744.8611111111</v>
      </c>
      <c r="G591" s="0" t="n">
        <v>607.48</v>
      </c>
      <c r="H591" s="0" t="n">
        <v>713</v>
      </c>
      <c r="I591" s="11" t="n">
        <f aca="false">H591-G591</f>
        <v>105.52</v>
      </c>
      <c r="J591" s="5" t="n">
        <f aca="false">IF(G591=0,"",I591/G591)</f>
        <v>0.173701191808784</v>
      </c>
      <c r="K591" s="0" t="n">
        <v>109.2</v>
      </c>
      <c r="L591" s="0" t="n">
        <v>8.6</v>
      </c>
      <c r="M591" s="11" t="s">
        <v>43</v>
      </c>
      <c r="N591" s="12" t="n">
        <f aca="false">INT(E591)</f>
        <v>45744</v>
      </c>
      <c r="O591" s="12" t="n">
        <f aca="false">IF(F591="","",INT(F591))</f>
        <v>45744</v>
      </c>
    </row>
    <row r="592" customFormat="false" ht="15" hidden="false" customHeight="false" outlineLevel="0" collapsed="false">
      <c r="A592" s="0" t="s">
        <v>1224</v>
      </c>
      <c r="B592" s="0" t="s">
        <v>1225</v>
      </c>
      <c r="C592" s="0" t="s">
        <v>20</v>
      </c>
      <c r="D592" s="0" t="s">
        <v>42</v>
      </c>
      <c r="E592" s="10" t="n">
        <v>45744.5152777778</v>
      </c>
      <c r="F592" s="10" t="n">
        <v>45745.2277777778</v>
      </c>
      <c r="G592" s="0" t="n">
        <v>522.91</v>
      </c>
      <c r="H592" s="0" t="n">
        <v>527.73</v>
      </c>
      <c r="I592" s="11" t="n">
        <f aca="false">H592-G592</f>
        <v>4.82000000000005</v>
      </c>
      <c r="J592" s="5" t="n">
        <f aca="false">IF(G592=0,"",I592/G592)</f>
        <v>0.00921764739630156</v>
      </c>
      <c r="K592" s="0" t="n">
        <v>116.1</v>
      </c>
      <c r="L592" s="0" t="n">
        <v>11.63</v>
      </c>
      <c r="M592" s="11" t="s">
        <v>43</v>
      </c>
      <c r="N592" s="12" t="n">
        <f aca="false">INT(E592)</f>
        <v>45744</v>
      </c>
      <c r="O592" s="12" t="n">
        <f aca="false">IF(F592="","",INT(F592))</f>
        <v>45745</v>
      </c>
    </row>
    <row r="593" customFormat="false" ht="15" hidden="false" customHeight="false" outlineLevel="0" collapsed="false">
      <c r="A593" s="0" t="s">
        <v>1226</v>
      </c>
      <c r="B593" s="0" t="s">
        <v>1227</v>
      </c>
      <c r="C593" s="0" t="s">
        <v>21</v>
      </c>
      <c r="D593" s="0" t="s">
        <v>42</v>
      </c>
      <c r="E593" s="10" t="n">
        <v>45744.5159722222</v>
      </c>
      <c r="F593" s="10" t="n">
        <v>45745.4416666667</v>
      </c>
      <c r="G593" s="0" t="n">
        <v>183.1</v>
      </c>
      <c r="H593" s="0" t="n">
        <v>178.34</v>
      </c>
      <c r="I593" s="11" t="n">
        <f aca="false">H593-G593</f>
        <v>-4.75999999999999</v>
      </c>
      <c r="J593" s="5" t="n">
        <f aca="false">IF(G593=0,"",I593/G593)</f>
        <v>-0.0259967231021299</v>
      </c>
      <c r="K593" s="0" t="n">
        <v>36.3</v>
      </c>
      <c r="L593" s="0" t="n">
        <v>11.62</v>
      </c>
      <c r="M593" s="11" t="s">
        <v>43</v>
      </c>
      <c r="N593" s="12" t="n">
        <f aca="false">INT(E593)</f>
        <v>45744</v>
      </c>
      <c r="O593" s="12" t="n">
        <f aca="false">IF(F593="","",INT(F593))</f>
        <v>45745</v>
      </c>
    </row>
    <row r="594" customFormat="false" ht="15" hidden="false" customHeight="false" outlineLevel="0" collapsed="false">
      <c r="A594" s="0" t="s">
        <v>1228</v>
      </c>
      <c r="B594" s="0" t="s">
        <v>1229</v>
      </c>
      <c r="C594" s="0" t="s">
        <v>21</v>
      </c>
      <c r="D594" s="0" t="s">
        <v>42</v>
      </c>
      <c r="E594" s="10" t="n">
        <v>45744.5208333333</v>
      </c>
      <c r="F594" s="10" t="n">
        <v>45745.0046643519</v>
      </c>
      <c r="G594" s="0" t="n">
        <v>559.61</v>
      </c>
      <c r="H594" s="0" t="n">
        <v>561.25</v>
      </c>
      <c r="I594" s="11" t="n">
        <f aca="false">H594-G594</f>
        <v>1.63999999999999</v>
      </c>
      <c r="J594" s="5" t="n">
        <f aca="false">IF(G594=0,"",I594/G594)</f>
        <v>0.00293061239077212</v>
      </c>
      <c r="K594" s="0" t="n">
        <v>147.3</v>
      </c>
      <c r="L594" s="0" t="n">
        <v>11.5</v>
      </c>
      <c r="M594" s="11" t="s">
        <v>43</v>
      </c>
      <c r="N594" s="12" t="n">
        <f aca="false">INT(E594)</f>
        <v>45744</v>
      </c>
      <c r="O594" s="12" t="n">
        <f aca="false">IF(F594="","",INT(F594))</f>
        <v>45745</v>
      </c>
    </row>
    <row r="595" customFormat="false" ht="15" hidden="false" customHeight="false" outlineLevel="0" collapsed="false">
      <c r="A595" s="0" t="s">
        <v>1230</v>
      </c>
      <c r="B595" s="0" t="s">
        <v>1231</v>
      </c>
      <c r="C595" s="0" t="s">
        <v>23</v>
      </c>
      <c r="D595" s="0" t="s">
        <v>42</v>
      </c>
      <c r="E595" s="10" t="n">
        <v>45744.5527777778</v>
      </c>
      <c r="F595" s="10" t="n">
        <v>45746.2967476852</v>
      </c>
      <c r="G595" s="0" t="n">
        <v>101.68</v>
      </c>
      <c r="H595" s="0" t="n">
        <v>102.59</v>
      </c>
      <c r="I595" s="11" t="n">
        <f aca="false">H595-G595</f>
        <v>0.909999999999997</v>
      </c>
      <c r="J595" s="5" t="n">
        <f aca="false">IF(G595=0,"",I595/G595)</f>
        <v>0.00894964594807235</v>
      </c>
      <c r="K595" s="0" t="n">
        <v>20</v>
      </c>
      <c r="L595" s="0" t="n">
        <v>10.73</v>
      </c>
      <c r="M595" s="11" t="s">
        <v>43</v>
      </c>
      <c r="N595" s="12" t="n">
        <f aca="false">INT(E595)</f>
        <v>45744</v>
      </c>
      <c r="O595" s="12" t="n">
        <f aca="false">IF(F595="","",INT(F595))</f>
        <v>45746</v>
      </c>
    </row>
    <row r="596" customFormat="false" ht="15" hidden="false" customHeight="false" outlineLevel="0" collapsed="false">
      <c r="A596" s="0" t="s">
        <v>1232</v>
      </c>
      <c r="B596" s="0" t="s">
        <v>1233</v>
      </c>
      <c r="C596" s="0" t="s">
        <v>23</v>
      </c>
      <c r="D596" s="0" t="s">
        <v>42</v>
      </c>
      <c r="E596" s="10" t="n">
        <v>45744.5597222222</v>
      </c>
      <c r="F596" s="10" t="n">
        <v>45746.8166666667</v>
      </c>
      <c r="G596" s="0" t="n">
        <v>1171.94</v>
      </c>
      <c r="H596" s="0" t="n">
        <v>1194.05</v>
      </c>
      <c r="I596" s="11" t="n">
        <f aca="false">H596-G596</f>
        <v>22.1099999999999</v>
      </c>
      <c r="J596" s="5" t="n">
        <f aca="false">IF(G596=0,"",I596/G596)</f>
        <v>0.0188661535573493</v>
      </c>
      <c r="K596" s="0" t="n">
        <v>265.4</v>
      </c>
      <c r="L596" s="0" t="n">
        <v>10.57</v>
      </c>
      <c r="M596" s="11" t="s">
        <v>43</v>
      </c>
      <c r="N596" s="12" t="n">
        <f aca="false">INT(E596)</f>
        <v>45744</v>
      </c>
      <c r="O596" s="12" t="n">
        <f aca="false">IF(F596="","",INT(F596))</f>
        <v>45746</v>
      </c>
    </row>
    <row r="597" customFormat="false" ht="15" hidden="false" customHeight="false" outlineLevel="0" collapsed="false">
      <c r="A597" s="0" t="s">
        <v>1234</v>
      </c>
      <c r="B597" s="0" t="s">
        <v>1235</v>
      </c>
      <c r="C597" s="0" t="s">
        <v>21</v>
      </c>
      <c r="D597" s="0" t="s">
        <v>42</v>
      </c>
      <c r="E597" s="10" t="n">
        <v>45744.5611111111</v>
      </c>
      <c r="F597" s="10" t="n">
        <v>45745.0076388889</v>
      </c>
      <c r="G597" s="0" t="n">
        <v>323.78</v>
      </c>
      <c r="H597" s="0" t="n">
        <v>321.72</v>
      </c>
      <c r="I597" s="11" t="n">
        <f aca="false">H597-G597</f>
        <v>-2.05999999999995</v>
      </c>
      <c r="J597" s="5" t="n">
        <f aca="false">IF(G597=0,"",I597/G597)</f>
        <v>-0.0063623448020259</v>
      </c>
      <c r="K597" s="0" t="n">
        <v>75</v>
      </c>
      <c r="L597" s="0" t="n">
        <v>10.53</v>
      </c>
      <c r="M597" s="11" t="s">
        <v>43</v>
      </c>
      <c r="N597" s="12" t="n">
        <f aca="false">INT(E597)</f>
        <v>45744</v>
      </c>
      <c r="O597" s="12" t="n">
        <f aca="false">IF(F597="","",INT(F597))</f>
        <v>45745</v>
      </c>
    </row>
    <row r="598" customFormat="false" ht="15" hidden="false" customHeight="false" outlineLevel="0" collapsed="false">
      <c r="A598" s="0" t="s">
        <v>1236</v>
      </c>
      <c r="B598" s="0" t="s">
        <v>1237</v>
      </c>
      <c r="C598" s="0" t="s">
        <v>24</v>
      </c>
      <c r="D598" s="0" t="s">
        <v>42</v>
      </c>
      <c r="E598" s="10" t="n">
        <v>45744.5923611111</v>
      </c>
      <c r="F598" s="10" t="n">
        <v>45745.5506944444</v>
      </c>
      <c r="G598" s="0" t="n">
        <v>1042.3</v>
      </c>
      <c r="H598" s="0" t="n">
        <v>1032.25</v>
      </c>
      <c r="I598" s="11" t="n">
        <f aca="false">H598-G598</f>
        <v>-10.05</v>
      </c>
      <c r="J598" s="5" t="n">
        <f aca="false">IF(G598=0,"",I598/G598)</f>
        <v>-0.0096421375803511</v>
      </c>
      <c r="K598" s="0" t="n">
        <v>312.5</v>
      </c>
      <c r="L598" s="0" t="n">
        <v>9.78</v>
      </c>
      <c r="M598" s="11" t="s">
        <v>43</v>
      </c>
      <c r="N598" s="12" t="n">
        <f aca="false">INT(E598)</f>
        <v>45744</v>
      </c>
      <c r="O598" s="12" t="n">
        <f aca="false">IF(F598="","",INT(F598))</f>
        <v>45745</v>
      </c>
    </row>
    <row r="599" customFormat="false" ht="15" hidden="false" customHeight="false" outlineLevel="0" collapsed="false">
      <c r="A599" s="0" t="s">
        <v>1238</v>
      </c>
      <c r="B599" s="0" t="s">
        <v>1239</v>
      </c>
      <c r="C599" s="0" t="s">
        <v>21</v>
      </c>
      <c r="D599" s="0" t="s">
        <v>42</v>
      </c>
      <c r="E599" s="10" t="n">
        <v>45744.5951388889</v>
      </c>
      <c r="F599" s="10" t="n">
        <v>45745.670162037</v>
      </c>
      <c r="G599" s="0" t="n">
        <v>313.41</v>
      </c>
      <c r="H599" s="0" t="n">
        <v>312.17</v>
      </c>
      <c r="I599" s="11" t="n">
        <f aca="false">H599-G599</f>
        <v>-1.24000000000001</v>
      </c>
      <c r="J599" s="5" t="n">
        <f aca="false">IF(G599=0,"",I599/G599)</f>
        <v>-0.00395647873392683</v>
      </c>
      <c r="K599" s="0" t="n">
        <v>63.3</v>
      </c>
      <c r="L599" s="0" t="n">
        <v>9.72</v>
      </c>
      <c r="M599" s="11" t="s">
        <v>43</v>
      </c>
      <c r="N599" s="12" t="n">
        <f aca="false">INT(E599)</f>
        <v>45744</v>
      </c>
      <c r="O599" s="12" t="n">
        <f aca="false">IF(F599="","",INT(F599))</f>
        <v>45745</v>
      </c>
    </row>
    <row r="600" customFormat="false" ht="15" hidden="false" customHeight="false" outlineLevel="0" collapsed="false">
      <c r="A600" s="0" t="s">
        <v>1240</v>
      </c>
      <c r="B600" s="0" t="s">
        <v>1241</v>
      </c>
      <c r="C600" s="0" t="s">
        <v>21</v>
      </c>
      <c r="D600" s="0" t="s">
        <v>42</v>
      </c>
      <c r="E600" s="10" t="n">
        <v>45744.6027777778</v>
      </c>
      <c r="F600" s="10" t="n">
        <v>45745.2030092593</v>
      </c>
      <c r="G600" s="0" t="n">
        <v>580.71</v>
      </c>
      <c r="H600" s="0" t="n">
        <v>585.94</v>
      </c>
      <c r="I600" s="11" t="n">
        <f aca="false">H600-G600</f>
        <v>5.23000000000002</v>
      </c>
      <c r="J600" s="5" t="n">
        <f aca="false">IF(G600=0,"",I600/G600)</f>
        <v>0.00900621652804329</v>
      </c>
      <c r="K600" s="0" t="n">
        <v>140.3</v>
      </c>
      <c r="L600" s="0" t="n">
        <v>9.53</v>
      </c>
      <c r="M600" s="11" t="s">
        <v>43</v>
      </c>
      <c r="N600" s="12" t="n">
        <f aca="false">INT(E600)</f>
        <v>45744</v>
      </c>
      <c r="O600" s="12" t="n">
        <f aca="false">IF(F600="","",INT(F600))</f>
        <v>45745</v>
      </c>
    </row>
    <row r="601" customFormat="false" ht="15" hidden="false" customHeight="false" outlineLevel="0" collapsed="false">
      <c r="A601" s="0" t="s">
        <v>1242</v>
      </c>
      <c r="B601" s="0" t="s">
        <v>1243</v>
      </c>
      <c r="C601" s="0" t="s">
        <v>22</v>
      </c>
      <c r="D601" s="0" t="s">
        <v>42</v>
      </c>
      <c r="E601" s="10" t="n">
        <v>45744.6229166667</v>
      </c>
      <c r="F601" s="10" t="n">
        <v>45745.26875</v>
      </c>
      <c r="G601" s="0" t="n">
        <v>158.39</v>
      </c>
      <c r="H601" s="0" t="n">
        <v>157.11</v>
      </c>
      <c r="I601" s="11" t="n">
        <f aca="false">H601-G601</f>
        <v>-1.27999999999997</v>
      </c>
      <c r="J601" s="5" t="n">
        <f aca="false">IF(G601=0,"",I601/G601)</f>
        <v>-0.00808131826504181</v>
      </c>
      <c r="K601" s="0" t="n">
        <v>27.9</v>
      </c>
      <c r="L601" s="0" t="n">
        <v>9.05</v>
      </c>
      <c r="M601" s="11" t="s">
        <v>43</v>
      </c>
      <c r="N601" s="12" t="n">
        <f aca="false">INT(E601)</f>
        <v>45744</v>
      </c>
      <c r="O601" s="12" t="n">
        <f aca="false">IF(F601="","",INT(F601))</f>
        <v>45745</v>
      </c>
    </row>
    <row r="602" customFormat="false" ht="15" hidden="false" customHeight="false" outlineLevel="0" collapsed="false">
      <c r="A602" s="0" t="s">
        <v>1244</v>
      </c>
      <c r="B602" s="0" t="s">
        <v>1245</v>
      </c>
      <c r="C602" s="0" t="s">
        <v>19</v>
      </c>
      <c r="D602" s="0" t="s">
        <v>42</v>
      </c>
      <c r="E602" s="10" t="n">
        <v>45744.6229166667</v>
      </c>
      <c r="F602" s="10" t="n">
        <v>45745.1085532407</v>
      </c>
      <c r="G602" s="0" t="n">
        <v>662.09</v>
      </c>
      <c r="H602" s="0" t="n">
        <v>680</v>
      </c>
      <c r="I602" s="11" t="n">
        <f aca="false">H602-G602</f>
        <v>17.91</v>
      </c>
      <c r="J602" s="5" t="n">
        <f aca="false">IF(G602=0,"",I602/G602)</f>
        <v>0.027050703076621</v>
      </c>
      <c r="K602" s="0" t="n">
        <v>116.3</v>
      </c>
      <c r="L602" s="0" t="n">
        <v>9.05</v>
      </c>
      <c r="M602" s="11" t="s">
        <v>43</v>
      </c>
      <c r="N602" s="12" t="n">
        <f aca="false">INT(E602)</f>
        <v>45744</v>
      </c>
      <c r="O602" s="12" t="n">
        <f aca="false">IF(F602="","",INT(F602))</f>
        <v>45745</v>
      </c>
    </row>
    <row r="603" customFormat="false" ht="15" hidden="false" customHeight="false" outlineLevel="0" collapsed="false">
      <c r="A603" s="0" t="s">
        <v>1246</v>
      </c>
      <c r="B603" s="0" t="s">
        <v>1247</v>
      </c>
      <c r="C603" s="0" t="s">
        <v>20</v>
      </c>
      <c r="D603" s="0" t="s">
        <v>42</v>
      </c>
      <c r="E603" s="10" t="n">
        <v>45744.6326388889</v>
      </c>
      <c r="F603" s="10" t="n">
        <v>45746.8798611111</v>
      </c>
      <c r="G603" s="0" t="n">
        <v>191.73</v>
      </c>
      <c r="H603" s="0" t="n">
        <v>194.51</v>
      </c>
      <c r="I603" s="11" t="n">
        <f aca="false">H603-G603</f>
        <v>2.78</v>
      </c>
      <c r="J603" s="5" t="n">
        <f aca="false">IF(G603=0,"",I603/G603)</f>
        <v>0.0144995566682314</v>
      </c>
      <c r="K603" s="0" t="n">
        <v>23.7</v>
      </c>
      <c r="L603" s="0" t="n">
        <v>8.82</v>
      </c>
      <c r="M603" s="11" t="s">
        <v>43</v>
      </c>
      <c r="N603" s="12" t="n">
        <f aca="false">INT(E603)</f>
        <v>45744</v>
      </c>
      <c r="O603" s="12" t="n">
        <f aca="false">IF(F603="","",INT(F603))</f>
        <v>45746</v>
      </c>
    </row>
    <row r="604" customFormat="false" ht="15" hidden="false" customHeight="false" outlineLevel="0" collapsed="false">
      <c r="A604" s="0" t="s">
        <v>1248</v>
      </c>
      <c r="B604" s="0" t="s">
        <v>1249</v>
      </c>
      <c r="C604" s="0" t="s">
        <v>22</v>
      </c>
      <c r="D604" s="0" t="s">
        <v>42</v>
      </c>
      <c r="E604" s="10" t="n">
        <v>45744.6909722222</v>
      </c>
      <c r="F604" s="10" t="n">
        <v>45745.0284722222</v>
      </c>
      <c r="G604" s="0" t="n">
        <v>535.85</v>
      </c>
      <c r="H604" s="0" t="n">
        <v>534.36</v>
      </c>
      <c r="I604" s="11" t="n">
        <f aca="false">H604-G604</f>
        <v>-1.49000000000001</v>
      </c>
      <c r="J604" s="5" t="n">
        <f aca="false">IF(G604=0,"",I604/G604)</f>
        <v>-0.00278062890734349</v>
      </c>
      <c r="K604" s="0" t="n">
        <v>68.5</v>
      </c>
      <c r="L604" s="0" t="n">
        <v>7.42</v>
      </c>
      <c r="M604" s="11" t="s">
        <v>43</v>
      </c>
      <c r="N604" s="12" t="n">
        <f aca="false">INT(E604)</f>
        <v>45744</v>
      </c>
      <c r="O604" s="12" t="n">
        <f aca="false">IF(F604="","",INT(F604))</f>
        <v>45745</v>
      </c>
    </row>
    <row r="605" customFormat="false" ht="15" hidden="false" customHeight="false" outlineLevel="0" collapsed="false">
      <c r="A605" s="0" t="s">
        <v>1250</v>
      </c>
      <c r="B605" s="0" t="s">
        <v>1251</v>
      </c>
      <c r="C605" s="0" t="s">
        <v>21</v>
      </c>
      <c r="D605" s="0" t="s">
        <v>42</v>
      </c>
      <c r="E605" s="10" t="n">
        <v>45744.6944444445</v>
      </c>
      <c r="F605" s="10" t="n">
        <v>45745.0486111111</v>
      </c>
      <c r="G605" s="0" t="n">
        <v>192.97</v>
      </c>
      <c r="H605" s="0" t="n">
        <v>137.18</v>
      </c>
      <c r="I605" s="11" t="n">
        <f aca="false">H605-G605</f>
        <v>-55.79</v>
      </c>
      <c r="J605" s="5" t="n">
        <f aca="false">IF(G605=0,"",I605/G605)</f>
        <v>-0.289112297248277</v>
      </c>
      <c r="K605" s="0" t="n">
        <v>32.9</v>
      </c>
      <c r="L605" s="0" t="n">
        <v>7.33</v>
      </c>
      <c r="M605" s="11" t="s">
        <v>43</v>
      </c>
      <c r="N605" s="12" t="n">
        <f aca="false">INT(E605)</f>
        <v>45744</v>
      </c>
      <c r="O605" s="12" t="n">
        <f aca="false">IF(F605="","",INT(F605))</f>
        <v>45745</v>
      </c>
    </row>
    <row r="606" customFormat="false" ht="15" hidden="false" customHeight="false" outlineLevel="0" collapsed="false">
      <c r="A606" s="0" t="s">
        <v>1252</v>
      </c>
      <c r="B606" s="0" t="s">
        <v>1253</v>
      </c>
      <c r="C606" s="0" t="s">
        <v>22</v>
      </c>
      <c r="D606" s="0" t="s">
        <v>42</v>
      </c>
      <c r="E606" s="10" t="n">
        <v>45744.7034722222</v>
      </c>
      <c r="F606" s="10" t="n">
        <v>45745.7597222222</v>
      </c>
      <c r="G606" s="0" t="n">
        <v>862.16</v>
      </c>
      <c r="H606" s="0" t="n">
        <v>856.28</v>
      </c>
      <c r="I606" s="11" t="n">
        <f aca="false">H606-G606</f>
        <v>-5.88</v>
      </c>
      <c r="J606" s="5" t="n">
        <f aca="false">IF(G606=0,"",I606/G606)</f>
        <v>-0.00682007979957316</v>
      </c>
      <c r="K606" s="0" t="n">
        <v>94.4</v>
      </c>
      <c r="L606" s="0" t="n">
        <v>7.12</v>
      </c>
      <c r="M606" s="11" t="s">
        <v>43</v>
      </c>
      <c r="N606" s="12" t="n">
        <f aca="false">INT(E606)</f>
        <v>45744</v>
      </c>
      <c r="O606" s="12" t="n">
        <f aca="false">IF(F606="","",INT(F606))</f>
        <v>45745</v>
      </c>
    </row>
    <row r="607" customFormat="false" ht="15" hidden="false" customHeight="false" outlineLevel="0" collapsed="false">
      <c r="A607" s="0" t="s">
        <v>1254</v>
      </c>
      <c r="B607" s="0" t="s">
        <v>1255</v>
      </c>
      <c r="C607" s="0" t="s">
        <v>20</v>
      </c>
      <c r="D607" s="0" t="s">
        <v>42</v>
      </c>
      <c r="E607" s="10" t="n">
        <v>45744.7229166667</v>
      </c>
      <c r="F607" s="10" t="n">
        <v>45745.8887962963</v>
      </c>
      <c r="G607" s="0" t="n">
        <v>264.62</v>
      </c>
      <c r="H607" s="0" t="n">
        <v>279.03</v>
      </c>
      <c r="I607" s="11" t="n">
        <f aca="false">H607-G607</f>
        <v>14.41</v>
      </c>
      <c r="J607" s="5" t="n">
        <f aca="false">IF(G607=0,"",I607/G607)</f>
        <v>0.0544554455445543</v>
      </c>
      <c r="K607" s="0" t="n">
        <v>58.4</v>
      </c>
      <c r="L607" s="0" t="n">
        <v>6.65</v>
      </c>
      <c r="M607" s="11" t="s">
        <v>43</v>
      </c>
      <c r="N607" s="12" t="n">
        <f aca="false">INT(E607)</f>
        <v>45744</v>
      </c>
      <c r="O607" s="12" t="n">
        <f aca="false">IF(F607="","",INT(F607))</f>
        <v>45745</v>
      </c>
    </row>
    <row r="608" customFormat="false" ht="15" hidden="false" customHeight="false" outlineLevel="0" collapsed="false">
      <c r="A608" s="0" t="s">
        <v>1256</v>
      </c>
      <c r="B608" s="0" t="s">
        <v>1257</v>
      </c>
      <c r="C608" s="0" t="s">
        <v>22</v>
      </c>
      <c r="D608" s="0" t="s">
        <v>42</v>
      </c>
      <c r="E608" s="10" t="n">
        <v>45744.7270833333</v>
      </c>
      <c r="F608" s="10" t="n">
        <v>45745.1888888889</v>
      </c>
      <c r="G608" s="0" t="n">
        <v>165.69</v>
      </c>
      <c r="H608" s="0" t="n">
        <v>181.3</v>
      </c>
      <c r="I608" s="11" t="n">
        <f aca="false">H608-G608</f>
        <v>15.61</v>
      </c>
      <c r="J608" s="5" t="n">
        <f aca="false">IF(G608=0,"",I608/G608)</f>
        <v>0.0942120828052388</v>
      </c>
      <c r="K608" s="0" t="n">
        <v>28.6</v>
      </c>
      <c r="L608" s="0" t="n">
        <v>6.55</v>
      </c>
      <c r="M608" s="11" t="s">
        <v>43</v>
      </c>
      <c r="N608" s="12" t="n">
        <f aca="false">INT(E608)</f>
        <v>45744</v>
      </c>
      <c r="O608" s="12" t="n">
        <f aca="false">IF(F608="","",INT(F608))</f>
        <v>45745</v>
      </c>
    </row>
    <row r="609" customFormat="false" ht="15" hidden="false" customHeight="false" outlineLevel="0" collapsed="false">
      <c r="A609" s="0" t="s">
        <v>1258</v>
      </c>
      <c r="B609" s="0" t="s">
        <v>1259</v>
      </c>
      <c r="C609" s="0" t="s">
        <v>20</v>
      </c>
      <c r="D609" s="0" t="s">
        <v>42</v>
      </c>
      <c r="E609" s="10" t="n">
        <v>45744.7430555556</v>
      </c>
      <c r="F609" s="10" t="n">
        <v>45745.7542708333</v>
      </c>
      <c r="G609" s="0" t="n">
        <v>662.69</v>
      </c>
      <c r="H609" s="0" t="n">
        <v>664.59</v>
      </c>
      <c r="I609" s="11" t="n">
        <f aca="false">H609-G609</f>
        <v>1.89999999999998</v>
      </c>
      <c r="J609" s="5" t="n">
        <f aca="false">IF(G609=0,"",I609/G609)</f>
        <v>0.00286710226501076</v>
      </c>
      <c r="K609" s="0" t="n">
        <v>95.9</v>
      </c>
      <c r="L609" s="0" t="n">
        <v>6.17</v>
      </c>
      <c r="M609" s="11" t="s">
        <v>43</v>
      </c>
      <c r="N609" s="12" t="n">
        <f aca="false">INT(E609)</f>
        <v>45744</v>
      </c>
      <c r="O609" s="12" t="n">
        <f aca="false">IF(F609="","",INT(F609))</f>
        <v>45745</v>
      </c>
    </row>
    <row r="610" customFormat="false" ht="15" hidden="false" customHeight="false" outlineLevel="0" collapsed="false">
      <c r="A610" s="0" t="s">
        <v>1260</v>
      </c>
      <c r="B610" s="0" t="s">
        <v>1261</v>
      </c>
      <c r="C610" s="0" t="s">
        <v>19</v>
      </c>
      <c r="D610" s="0" t="s">
        <v>42</v>
      </c>
      <c r="E610" s="10" t="n">
        <v>45744.7527777778</v>
      </c>
      <c r="F610" s="10" t="n">
        <v>45745.54875</v>
      </c>
      <c r="G610" s="0" t="n">
        <v>201.06</v>
      </c>
      <c r="H610" s="0" t="n">
        <v>205.67</v>
      </c>
      <c r="I610" s="11" t="n">
        <f aca="false">H610-G610</f>
        <v>4.60999999999999</v>
      </c>
      <c r="J610" s="5" t="n">
        <f aca="false">IF(G610=0,"",I610/G610)</f>
        <v>0.0229284790609768</v>
      </c>
      <c r="K610" s="0" t="n">
        <v>37.9</v>
      </c>
      <c r="L610" s="0" t="n">
        <v>5.93</v>
      </c>
      <c r="M610" s="11" t="s">
        <v>43</v>
      </c>
      <c r="N610" s="12" t="n">
        <f aca="false">INT(E610)</f>
        <v>45744</v>
      </c>
      <c r="O610" s="12" t="n">
        <f aca="false">IF(F610="","",INT(F610))</f>
        <v>45745</v>
      </c>
    </row>
    <row r="611" customFormat="false" ht="15" hidden="false" customHeight="false" outlineLevel="0" collapsed="false">
      <c r="A611" s="0" t="s">
        <v>1262</v>
      </c>
      <c r="B611" s="0" t="s">
        <v>1263</v>
      </c>
      <c r="C611" s="0" t="s">
        <v>22</v>
      </c>
      <c r="D611" s="0" t="s">
        <v>42</v>
      </c>
      <c r="E611" s="10" t="n">
        <v>45744.7534722222</v>
      </c>
      <c r="F611" s="10" t="n">
        <v>45745.0274074074</v>
      </c>
      <c r="G611" s="0" t="n">
        <v>818.35</v>
      </c>
      <c r="H611" s="0" t="n">
        <v>821.56</v>
      </c>
      <c r="I611" s="11" t="n">
        <f aca="false">H611-G611</f>
        <v>3.20999999999992</v>
      </c>
      <c r="J611" s="5" t="n">
        <f aca="false">IF(G611=0,"",I611/G611)</f>
        <v>0.00392252703610915</v>
      </c>
      <c r="K611" s="0" t="n">
        <v>165.4</v>
      </c>
      <c r="L611" s="0" t="n">
        <v>5.92</v>
      </c>
      <c r="M611" s="11" t="s">
        <v>43</v>
      </c>
      <c r="N611" s="12" t="n">
        <f aca="false">INT(E611)</f>
        <v>45744</v>
      </c>
      <c r="O611" s="12" t="n">
        <f aca="false">IF(F611="","",INT(F611))</f>
        <v>45745</v>
      </c>
    </row>
    <row r="612" customFormat="false" ht="15" hidden="false" customHeight="false" outlineLevel="0" collapsed="false">
      <c r="A612" s="0" t="s">
        <v>1264</v>
      </c>
      <c r="B612" s="0" t="s">
        <v>1265</v>
      </c>
      <c r="C612" s="0" t="s">
        <v>21</v>
      </c>
      <c r="D612" s="0" t="s">
        <v>42</v>
      </c>
      <c r="E612" s="10" t="n">
        <v>45744.7659722222</v>
      </c>
      <c r="F612" s="10" t="n">
        <v>45745.4375462963</v>
      </c>
      <c r="G612" s="0" t="n">
        <v>924.33</v>
      </c>
      <c r="H612" s="0" t="n">
        <v>876.68</v>
      </c>
      <c r="I612" s="11" t="n">
        <f aca="false">H612-G612</f>
        <v>-47.6500000000001</v>
      </c>
      <c r="J612" s="5" t="n">
        <f aca="false">IF(G612=0,"",I612/G612)</f>
        <v>-0.0515508530503176</v>
      </c>
      <c r="K612" s="0" t="n">
        <v>241.4</v>
      </c>
      <c r="L612" s="0" t="n">
        <v>5.62</v>
      </c>
      <c r="M612" s="11" t="s">
        <v>43</v>
      </c>
      <c r="N612" s="12" t="n">
        <f aca="false">INT(E612)</f>
        <v>45744</v>
      </c>
      <c r="O612" s="12" t="n">
        <f aca="false">IF(F612="","",INT(F612))</f>
        <v>45745</v>
      </c>
    </row>
    <row r="613" customFormat="false" ht="15" hidden="false" customHeight="false" outlineLevel="0" collapsed="false">
      <c r="A613" s="0" t="s">
        <v>1266</v>
      </c>
      <c r="B613" s="0" t="s">
        <v>1267</v>
      </c>
      <c r="C613" s="0" t="s">
        <v>24</v>
      </c>
      <c r="D613" s="0" t="s">
        <v>42</v>
      </c>
      <c r="E613" s="10" t="n">
        <v>45747.31875</v>
      </c>
      <c r="F613" s="10" t="n">
        <v>45750.65625</v>
      </c>
      <c r="G613" s="0" t="n">
        <v>865.72</v>
      </c>
      <c r="H613" s="0" t="n">
        <v>877.1</v>
      </c>
      <c r="I613" s="11" t="n">
        <f aca="false">H613-G613</f>
        <v>11.38</v>
      </c>
      <c r="J613" s="5" t="n">
        <f aca="false">IF(G613=0,"",I613/G613)</f>
        <v>0.0131451277549323</v>
      </c>
      <c r="K613" s="0" t="n">
        <v>239.1</v>
      </c>
      <c r="L613" s="0" t="n">
        <v>80.1</v>
      </c>
      <c r="M613" s="11" t="s">
        <v>43</v>
      </c>
      <c r="N613" s="12" t="n">
        <f aca="false">INT(E613)</f>
        <v>45747</v>
      </c>
      <c r="O613" s="12" t="n">
        <f aca="false">IF(F613="","",INT(F613))</f>
        <v>45750</v>
      </c>
    </row>
    <row r="614" customFormat="false" ht="15" hidden="false" customHeight="false" outlineLevel="0" collapsed="false">
      <c r="A614" s="0" t="s">
        <v>1268</v>
      </c>
      <c r="B614" s="0" t="s">
        <v>1269</v>
      </c>
      <c r="C614" s="0" t="s">
        <v>19</v>
      </c>
      <c r="D614" s="0" t="s">
        <v>42</v>
      </c>
      <c r="E614" s="10" t="n">
        <v>45747.3291666667</v>
      </c>
      <c r="F614" s="10" t="n">
        <v>45747.7634143519</v>
      </c>
      <c r="G614" s="0" t="n">
        <v>1427.9</v>
      </c>
      <c r="H614" s="0" t="n">
        <v>1439.61</v>
      </c>
      <c r="I614" s="11" t="n">
        <f aca="false">H614-G614</f>
        <v>11.7099999999998</v>
      </c>
      <c r="J614" s="5" t="n">
        <f aca="false">IF(G614=0,"",I614/G614)</f>
        <v>0.0082008544015686</v>
      </c>
      <c r="K614" s="0" t="n">
        <v>142.5</v>
      </c>
      <c r="L614" s="0" t="n">
        <v>10.42</v>
      </c>
      <c r="M614" s="11" t="s">
        <v>43</v>
      </c>
      <c r="N614" s="12" t="n">
        <f aca="false">INT(E614)</f>
        <v>45747</v>
      </c>
      <c r="O614" s="12" t="n">
        <f aca="false">IF(F614="","",INT(F614))</f>
        <v>45747</v>
      </c>
    </row>
    <row r="615" customFormat="false" ht="15" hidden="false" customHeight="false" outlineLevel="0" collapsed="false">
      <c r="A615" s="0" t="s">
        <v>1270</v>
      </c>
      <c r="B615" s="0" t="s">
        <v>1271</v>
      </c>
      <c r="C615" s="0" t="s">
        <v>21</v>
      </c>
      <c r="D615" s="0" t="s">
        <v>42</v>
      </c>
      <c r="E615" s="10" t="n">
        <v>45747.34375</v>
      </c>
      <c r="F615" s="10" t="n">
        <v>45748.0424884259</v>
      </c>
      <c r="G615" s="0" t="n">
        <v>1093.3</v>
      </c>
      <c r="H615" s="0" t="n">
        <v>1145.62</v>
      </c>
      <c r="I615" s="11" t="n">
        <f aca="false">H615-G615</f>
        <v>52.3199999999999</v>
      </c>
      <c r="J615" s="5" t="n">
        <f aca="false">IF(G615=0,"",I615/G615)</f>
        <v>0.0478551175340711</v>
      </c>
      <c r="K615" s="0" t="n">
        <v>199.2</v>
      </c>
      <c r="L615" s="0" t="n">
        <v>16.77</v>
      </c>
      <c r="M615" s="11" t="s">
        <v>43</v>
      </c>
      <c r="N615" s="12" t="n">
        <f aca="false">INT(E615)</f>
        <v>45747</v>
      </c>
      <c r="O615" s="12" t="n">
        <f aca="false">IF(F615="","",INT(F615))</f>
        <v>45748</v>
      </c>
    </row>
    <row r="616" customFormat="false" ht="15" hidden="false" customHeight="false" outlineLevel="0" collapsed="false">
      <c r="A616" s="0" t="s">
        <v>1272</v>
      </c>
      <c r="B616" s="0" t="s">
        <v>1273</v>
      </c>
      <c r="C616" s="0" t="s">
        <v>19</v>
      </c>
      <c r="D616" s="0" t="s">
        <v>42</v>
      </c>
      <c r="E616" s="10" t="n">
        <v>45747.3451388889</v>
      </c>
      <c r="F616" s="10" t="n">
        <v>45747.8368055556</v>
      </c>
      <c r="G616" s="0" t="n">
        <v>433.4</v>
      </c>
      <c r="H616" s="0" t="n">
        <v>434</v>
      </c>
      <c r="I616" s="11" t="n">
        <f aca="false">H616-G616</f>
        <v>0.600000000000023</v>
      </c>
      <c r="J616" s="5" t="n">
        <f aca="false">IF(G616=0,"",I616/G616)</f>
        <v>0.00138440239963088</v>
      </c>
      <c r="K616" s="0" t="n">
        <v>73.7</v>
      </c>
      <c r="L616" s="0" t="n">
        <v>11.8</v>
      </c>
      <c r="M616" s="11" t="s">
        <v>43</v>
      </c>
      <c r="N616" s="12" t="n">
        <f aca="false">INT(E616)</f>
        <v>45747</v>
      </c>
      <c r="O616" s="12" t="n">
        <f aca="false">IF(F616="","",INT(F616))</f>
        <v>45747</v>
      </c>
    </row>
    <row r="617" customFormat="false" ht="15" hidden="false" customHeight="false" outlineLevel="0" collapsed="false">
      <c r="A617" s="0" t="s">
        <v>1274</v>
      </c>
      <c r="B617" s="0" t="s">
        <v>1275</v>
      </c>
      <c r="C617" s="0" t="s">
        <v>20</v>
      </c>
      <c r="D617" s="0" t="s">
        <v>42</v>
      </c>
      <c r="E617" s="10" t="n">
        <v>45747.3493055556</v>
      </c>
      <c r="F617" s="10" t="n">
        <v>45750.922037037</v>
      </c>
      <c r="G617" s="0" t="n">
        <v>418.41</v>
      </c>
      <c r="H617" s="0" t="n">
        <v>424.55</v>
      </c>
      <c r="I617" s="11" t="n">
        <f aca="false">H617-G617</f>
        <v>6.13999999999999</v>
      </c>
      <c r="J617" s="5" t="n">
        <f aca="false">IF(G617=0,"",I617/G617)</f>
        <v>0.0146746014674601</v>
      </c>
      <c r="K617" s="0" t="n">
        <v>47.4</v>
      </c>
      <c r="L617" s="0" t="n">
        <v>85.75</v>
      </c>
      <c r="M617" s="11" t="s">
        <v>43</v>
      </c>
      <c r="N617" s="12" t="n">
        <f aca="false">INT(E617)</f>
        <v>45747</v>
      </c>
      <c r="O617" s="12" t="n">
        <f aca="false">IF(F617="","",INT(F617))</f>
        <v>45750</v>
      </c>
    </row>
    <row r="618" customFormat="false" ht="15" hidden="false" customHeight="false" outlineLevel="0" collapsed="false">
      <c r="A618" s="0" t="s">
        <v>1276</v>
      </c>
      <c r="B618" s="0" t="s">
        <v>1277</v>
      </c>
      <c r="C618" s="0" t="s">
        <v>23</v>
      </c>
      <c r="D618" s="0" t="s">
        <v>42</v>
      </c>
      <c r="E618" s="10" t="n">
        <v>45747.3506944445</v>
      </c>
      <c r="F618" s="10" t="n">
        <v>45748.5381944445</v>
      </c>
      <c r="G618" s="0" t="n">
        <v>1892.66</v>
      </c>
      <c r="H618" s="0" t="n">
        <v>1892.65</v>
      </c>
      <c r="I618" s="11" t="n">
        <f aca="false">H618-G618</f>
        <v>-0.00999999999999091</v>
      </c>
      <c r="J618" s="5" t="n">
        <f aca="false">IF(G618=0,"",I618/G618)</f>
        <v>-5.28356915663189E-006</v>
      </c>
      <c r="K618" s="0" t="n">
        <v>663.7</v>
      </c>
      <c r="L618" s="0" t="n">
        <v>28.5</v>
      </c>
      <c r="M618" s="11" t="s">
        <v>43</v>
      </c>
      <c r="N618" s="12" t="n">
        <f aca="false">INT(E618)</f>
        <v>45747</v>
      </c>
      <c r="O618" s="12" t="n">
        <f aca="false">IF(F618="","",INT(F618))</f>
        <v>45748</v>
      </c>
    </row>
    <row r="619" customFormat="false" ht="15" hidden="false" customHeight="false" outlineLevel="0" collapsed="false">
      <c r="A619" s="0" t="s">
        <v>1278</v>
      </c>
      <c r="B619" s="0" t="s">
        <v>1279</v>
      </c>
      <c r="C619" s="0" t="s">
        <v>19</v>
      </c>
      <c r="D619" s="0" t="s">
        <v>42</v>
      </c>
      <c r="E619" s="10" t="n">
        <v>45747.3638888889</v>
      </c>
      <c r="F619" s="10" t="n">
        <v>45748.43125</v>
      </c>
      <c r="G619" s="0" t="n">
        <v>313.48</v>
      </c>
      <c r="H619" s="0" t="n">
        <v>366.04</v>
      </c>
      <c r="I619" s="11" t="n">
        <f aca="false">H619-G619</f>
        <v>52.56</v>
      </c>
      <c r="J619" s="5" t="n">
        <f aca="false">IF(G619=0,"",I619/G619)</f>
        <v>0.167666198800561</v>
      </c>
      <c r="K619" s="0" t="n">
        <v>40.2</v>
      </c>
      <c r="L619" s="0" t="n">
        <v>25.62</v>
      </c>
      <c r="M619" s="11" t="s">
        <v>43</v>
      </c>
      <c r="N619" s="12" t="n">
        <f aca="false">INT(E619)</f>
        <v>45747</v>
      </c>
      <c r="O619" s="12" t="n">
        <f aca="false">IF(F619="","",INT(F619))</f>
        <v>45748</v>
      </c>
    </row>
    <row r="620" customFormat="false" ht="15" hidden="false" customHeight="false" outlineLevel="0" collapsed="false">
      <c r="A620" s="0" t="s">
        <v>1280</v>
      </c>
      <c r="B620" s="0" t="s">
        <v>1281</v>
      </c>
      <c r="C620" s="0" t="s">
        <v>20</v>
      </c>
      <c r="D620" s="0" t="s">
        <v>42</v>
      </c>
      <c r="E620" s="10" t="n">
        <v>45747.38125</v>
      </c>
      <c r="F620" s="10" t="n">
        <v>45748.1398958333</v>
      </c>
      <c r="G620" s="0" t="n">
        <v>644.53</v>
      </c>
      <c r="H620" s="0" t="n">
        <v>640.08</v>
      </c>
      <c r="I620" s="11" t="n">
        <f aca="false">H620-G620</f>
        <v>-4.44999999999993</v>
      </c>
      <c r="J620" s="5" t="n">
        <f aca="false">IF(G620=0,"",I620/G620)</f>
        <v>-0.0069042558143142</v>
      </c>
      <c r="K620" s="0" t="n">
        <v>106.1</v>
      </c>
      <c r="L620" s="0" t="n">
        <v>18.21</v>
      </c>
      <c r="M620" s="11" t="s">
        <v>43</v>
      </c>
      <c r="N620" s="12" t="n">
        <f aca="false">INT(E620)</f>
        <v>45747</v>
      </c>
      <c r="O620" s="12" t="n">
        <f aca="false">IF(F620="","",INT(F620))</f>
        <v>45748</v>
      </c>
    </row>
    <row r="621" customFormat="false" ht="15" hidden="false" customHeight="false" outlineLevel="0" collapsed="false">
      <c r="A621" s="0" t="s">
        <v>1282</v>
      </c>
      <c r="B621" s="0" t="s">
        <v>1283</v>
      </c>
      <c r="C621" s="0" t="s">
        <v>23</v>
      </c>
      <c r="D621" s="0" t="s">
        <v>42</v>
      </c>
      <c r="E621" s="10" t="n">
        <v>45747.4013888889</v>
      </c>
      <c r="F621" s="10" t="n">
        <v>45748.0534722222</v>
      </c>
      <c r="G621" s="0" t="n">
        <v>125.24</v>
      </c>
      <c r="H621" s="0" t="n">
        <v>124.25</v>
      </c>
      <c r="I621" s="11" t="n">
        <f aca="false">H621-G621</f>
        <v>-0.989999999999995</v>
      </c>
      <c r="J621" s="5" t="n">
        <f aca="false">IF(G621=0,"",I621/G621)</f>
        <v>-0.00790482274033851</v>
      </c>
      <c r="K621" s="0" t="n">
        <v>24.7</v>
      </c>
      <c r="L621" s="0" t="n">
        <v>15.65</v>
      </c>
      <c r="M621" s="11" t="s">
        <v>43</v>
      </c>
      <c r="N621" s="12" t="n">
        <f aca="false">INT(E621)</f>
        <v>45747</v>
      </c>
      <c r="O621" s="12" t="n">
        <f aca="false">IF(F621="","",INT(F621))</f>
        <v>45748</v>
      </c>
    </row>
    <row r="622" customFormat="false" ht="15" hidden="false" customHeight="false" outlineLevel="0" collapsed="false">
      <c r="A622" s="0" t="s">
        <v>1284</v>
      </c>
      <c r="B622" s="0" t="s">
        <v>1285</v>
      </c>
      <c r="C622" s="0" t="s">
        <v>23</v>
      </c>
      <c r="D622" s="0" t="s">
        <v>42</v>
      </c>
      <c r="E622" s="10" t="n">
        <v>45747.4020833333</v>
      </c>
      <c r="F622" s="10" t="n">
        <v>45747.8072337963</v>
      </c>
      <c r="G622" s="0" t="n">
        <v>588.24</v>
      </c>
      <c r="H622" s="0" t="n">
        <v>572.44</v>
      </c>
      <c r="I622" s="11" t="n">
        <f aca="false">H622-G622</f>
        <v>-15.8</v>
      </c>
      <c r="J622" s="5" t="n">
        <f aca="false">IF(G622=0,"",I622/G622)</f>
        <v>-0.0268597851217189</v>
      </c>
      <c r="K622" s="0" t="n">
        <v>124.1</v>
      </c>
      <c r="L622" s="0" t="n">
        <v>9.72</v>
      </c>
      <c r="M622" s="11" t="s">
        <v>43</v>
      </c>
      <c r="N622" s="12" t="n">
        <f aca="false">INT(E622)</f>
        <v>45747</v>
      </c>
      <c r="O622" s="12" t="n">
        <f aca="false">IF(F622="","",INT(F622))</f>
        <v>45747</v>
      </c>
    </row>
    <row r="623" customFormat="false" ht="15" hidden="false" customHeight="false" outlineLevel="0" collapsed="false">
      <c r="A623" s="0" t="s">
        <v>1286</v>
      </c>
      <c r="B623" s="0" t="s">
        <v>1287</v>
      </c>
      <c r="C623" s="0" t="s">
        <v>23</v>
      </c>
      <c r="D623" s="0" t="s">
        <v>42</v>
      </c>
      <c r="E623" s="10" t="n">
        <v>45747.4034722222</v>
      </c>
      <c r="F623" s="10" t="n">
        <v>45750.8571527778</v>
      </c>
      <c r="G623" s="0" t="n">
        <v>311.31</v>
      </c>
      <c r="H623" s="0" t="n">
        <v>340.65</v>
      </c>
      <c r="I623" s="11" t="n">
        <f aca="false">H623-G623</f>
        <v>29.34</v>
      </c>
      <c r="J623" s="5" t="n">
        <f aca="false">IF(G623=0,"",I623/G623)</f>
        <v>0.0942468921653656</v>
      </c>
      <c r="K623" s="0" t="n">
        <v>99</v>
      </c>
      <c r="L623" s="0" t="n">
        <v>82.89</v>
      </c>
      <c r="M623" s="11" t="s">
        <v>43</v>
      </c>
      <c r="N623" s="12" t="n">
        <f aca="false">INT(E623)</f>
        <v>45747</v>
      </c>
      <c r="O623" s="12" t="n">
        <f aca="false">IF(F623="","",INT(F623))</f>
        <v>45750</v>
      </c>
    </row>
    <row r="624" customFormat="false" ht="15" hidden="false" customHeight="false" outlineLevel="0" collapsed="false">
      <c r="A624" s="0" t="s">
        <v>1288</v>
      </c>
      <c r="B624" s="0" t="s">
        <v>1289</v>
      </c>
      <c r="C624" s="0" t="s">
        <v>20</v>
      </c>
      <c r="D624" s="0" t="s">
        <v>42</v>
      </c>
      <c r="E624" s="10" t="n">
        <v>45747.4215277778</v>
      </c>
      <c r="F624" s="10" t="n">
        <v>45749.1944444445</v>
      </c>
      <c r="G624" s="0" t="n">
        <v>170.51</v>
      </c>
      <c r="H624" s="0" t="n">
        <v>167.83</v>
      </c>
      <c r="I624" s="11" t="n">
        <f aca="false">H624-G624</f>
        <v>-2.67999999999998</v>
      </c>
      <c r="J624" s="5" t="n">
        <f aca="false">IF(G624=0,"",I624/G624)</f>
        <v>-0.0157175532226848</v>
      </c>
      <c r="K624" s="0" t="n">
        <v>24.9</v>
      </c>
      <c r="L624" s="0" t="n">
        <v>42.55</v>
      </c>
      <c r="M624" s="11" t="s">
        <v>43</v>
      </c>
      <c r="N624" s="12" t="n">
        <f aca="false">INT(E624)</f>
        <v>45747</v>
      </c>
      <c r="O624" s="12" t="n">
        <f aca="false">IF(F624="","",INT(F624))</f>
        <v>45749</v>
      </c>
    </row>
    <row r="625" customFormat="false" ht="15" hidden="false" customHeight="false" outlineLevel="0" collapsed="false">
      <c r="A625" s="0" t="s">
        <v>1290</v>
      </c>
      <c r="B625" s="0" t="s">
        <v>1291</v>
      </c>
      <c r="C625" s="0" t="s">
        <v>21</v>
      </c>
      <c r="D625" s="0" t="s">
        <v>42</v>
      </c>
      <c r="E625" s="10" t="n">
        <v>45747.4333333333</v>
      </c>
      <c r="F625" s="10" t="n">
        <v>45747.9152777778</v>
      </c>
      <c r="G625" s="0" t="n">
        <v>93.27</v>
      </c>
      <c r="H625" s="0" t="n">
        <v>96.02</v>
      </c>
      <c r="I625" s="11" t="n">
        <f aca="false">H625-G625</f>
        <v>2.75</v>
      </c>
      <c r="J625" s="5" t="n">
        <f aca="false">IF(G625=0,"",I625/G625)</f>
        <v>0.0294842929130481</v>
      </c>
      <c r="K625" s="0" t="n">
        <v>24.1</v>
      </c>
      <c r="L625" s="0" t="n">
        <v>11.57</v>
      </c>
      <c r="M625" s="11" t="s">
        <v>43</v>
      </c>
      <c r="N625" s="12" t="n">
        <f aca="false">INT(E625)</f>
        <v>45747</v>
      </c>
      <c r="O625" s="12" t="n">
        <f aca="false">IF(F625="","",INT(F625))</f>
        <v>45747</v>
      </c>
    </row>
    <row r="626" customFormat="false" ht="15" hidden="false" customHeight="false" outlineLevel="0" collapsed="false">
      <c r="A626" s="0" t="s">
        <v>1292</v>
      </c>
      <c r="B626" s="0" t="s">
        <v>1293</v>
      </c>
      <c r="C626" s="0" t="s">
        <v>23</v>
      </c>
      <c r="D626" s="0" t="s">
        <v>42</v>
      </c>
      <c r="E626" s="10" t="n">
        <v>45747.4368055556</v>
      </c>
      <c r="F626" s="10" t="n">
        <v>45747.8583333333</v>
      </c>
      <c r="G626" s="0" t="n">
        <v>325.08</v>
      </c>
      <c r="H626" s="0" t="n">
        <v>318.57</v>
      </c>
      <c r="I626" s="11" t="n">
        <f aca="false">H626-G626</f>
        <v>-6.50999999999999</v>
      </c>
      <c r="J626" s="5" t="n">
        <f aca="false">IF(G626=0,"",I626/G626)</f>
        <v>-0.0200258397932816</v>
      </c>
      <c r="K626" s="0" t="n">
        <v>118.1</v>
      </c>
      <c r="L626" s="0" t="n">
        <v>10.12</v>
      </c>
      <c r="M626" s="11" t="s">
        <v>43</v>
      </c>
      <c r="N626" s="12" t="n">
        <f aca="false">INT(E626)</f>
        <v>45747</v>
      </c>
      <c r="O626" s="12" t="n">
        <f aca="false">IF(F626="","",INT(F626))</f>
        <v>45747</v>
      </c>
    </row>
    <row r="627" customFormat="false" ht="15" hidden="false" customHeight="false" outlineLevel="0" collapsed="false">
      <c r="A627" s="0" t="s">
        <v>1294</v>
      </c>
      <c r="B627" s="0" t="s">
        <v>1295</v>
      </c>
      <c r="C627" s="0" t="s">
        <v>22</v>
      </c>
      <c r="D627" s="0" t="s">
        <v>42</v>
      </c>
      <c r="E627" s="10" t="n">
        <v>45747.4486111111</v>
      </c>
      <c r="F627" s="10" t="n">
        <v>45748.0597222222</v>
      </c>
      <c r="G627" s="0" t="n">
        <v>398.86</v>
      </c>
      <c r="H627" s="0" t="n">
        <v>391.75</v>
      </c>
      <c r="I627" s="11" t="n">
        <f aca="false">H627-G627</f>
        <v>-7.11000000000001</v>
      </c>
      <c r="J627" s="5" t="n">
        <f aca="false">IF(G627=0,"",I627/G627)</f>
        <v>-0.0178258035400893</v>
      </c>
      <c r="K627" s="0" t="n">
        <v>66.6</v>
      </c>
      <c r="L627" s="0" t="n">
        <v>14.67</v>
      </c>
      <c r="M627" s="11" t="s">
        <v>43</v>
      </c>
      <c r="N627" s="12" t="n">
        <f aca="false">INT(E627)</f>
        <v>45747</v>
      </c>
      <c r="O627" s="12" t="n">
        <f aca="false">IF(F627="","",INT(F627))</f>
        <v>45748</v>
      </c>
    </row>
    <row r="628" customFormat="false" ht="15" hidden="false" customHeight="false" outlineLevel="0" collapsed="false">
      <c r="A628" s="0" t="s">
        <v>1296</v>
      </c>
      <c r="B628" s="0" t="s">
        <v>1297</v>
      </c>
      <c r="C628" s="0" t="s">
        <v>24</v>
      </c>
      <c r="D628" s="0" t="s">
        <v>42</v>
      </c>
      <c r="E628" s="10" t="n">
        <v>45747.4583333333</v>
      </c>
      <c r="F628" s="10" t="n">
        <v>45748.5449074074</v>
      </c>
      <c r="G628" s="0" t="n">
        <v>214.36</v>
      </c>
      <c r="H628" s="0" t="n">
        <v>214.65</v>
      </c>
      <c r="I628" s="11" t="n">
        <f aca="false">H628-G628</f>
        <v>0.289999999999992</v>
      </c>
      <c r="J628" s="5" t="n">
        <f aca="false">IF(G628=0,"",I628/G628)</f>
        <v>0.00135286434036197</v>
      </c>
      <c r="K628" s="0" t="n">
        <v>72</v>
      </c>
      <c r="L628" s="0" t="n">
        <v>26.08</v>
      </c>
      <c r="M628" s="11" t="s">
        <v>43</v>
      </c>
      <c r="N628" s="12" t="n">
        <f aca="false">INT(E628)</f>
        <v>45747</v>
      </c>
      <c r="O628" s="12" t="n">
        <f aca="false">IF(F628="","",INT(F628))</f>
        <v>45748</v>
      </c>
    </row>
    <row r="629" customFormat="false" ht="15" hidden="false" customHeight="false" outlineLevel="0" collapsed="false">
      <c r="A629" s="0" t="s">
        <v>1298</v>
      </c>
      <c r="B629" s="0" t="s">
        <v>1299</v>
      </c>
      <c r="C629" s="0" t="s">
        <v>23</v>
      </c>
      <c r="D629" s="0" t="s">
        <v>42</v>
      </c>
      <c r="E629" s="10" t="n">
        <v>45747.4861111111</v>
      </c>
      <c r="F629" s="10" t="n">
        <v>45748.0527430556</v>
      </c>
      <c r="G629" s="0" t="n">
        <v>1248.91</v>
      </c>
      <c r="H629" s="0" t="n">
        <v>1249.51</v>
      </c>
      <c r="I629" s="11" t="n">
        <f aca="false">H629-G629</f>
        <v>0.599999999999909</v>
      </c>
      <c r="J629" s="5" t="n">
        <f aca="false">IF(G629=0,"",I629/G629)</f>
        <v>0.000480418925302791</v>
      </c>
      <c r="K629" s="0" t="n">
        <v>519.7</v>
      </c>
      <c r="L629" s="0" t="n">
        <v>13.6</v>
      </c>
      <c r="M629" s="11" t="s">
        <v>43</v>
      </c>
      <c r="N629" s="12" t="n">
        <f aca="false">INT(E629)</f>
        <v>45747</v>
      </c>
      <c r="O629" s="12" t="n">
        <f aca="false">IF(F629="","",INT(F629))</f>
        <v>45748</v>
      </c>
    </row>
    <row r="630" customFormat="false" ht="15" hidden="false" customHeight="false" outlineLevel="0" collapsed="false">
      <c r="A630" s="0" t="s">
        <v>1300</v>
      </c>
      <c r="B630" s="0" t="s">
        <v>1301</v>
      </c>
      <c r="C630" s="0" t="s">
        <v>21</v>
      </c>
      <c r="D630" s="0" t="s">
        <v>42</v>
      </c>
      <c r="E630" s="10" t="n">
        <v>45747.5027777778</v>
      </c>
      <c r="F630" s="10" t="n">
        <v>45747.8590277778</v>
      </c>
      <c r="G630" s="0" t="n">
        <v>369.14</v>
      </c>
      <c r="H630" s="0" t="n">
        <v>361.66</v>
      </c>
      <c r="I630" s="11" t="n">
        <f aca="false">H630-G630</f>
        <v>-7.47999999999996</v>
      </c>
      <c r="J630" s="5" t="n">
        <f aca="false">IF(G630=0,"",I630/G630)</f>
        <v>-0.0202633147315381</v>
      </c>
      <c r="K630" s="0" t="n">
        <v>77</v>
      </c>
      <c r="L630" s="0" t="n">
        <v>8.55</v>
      </c>
      <c r="M630" s="11" t="s">
        <v>43</v>
      </c>
      <c r="N630" s="12" t="n">
        <f aca="false">INT(E630)</f>
        <v>45747</v>
      </c>
      <c r="O630" s="12" t="n">
        <f aca="false">IF(F630="","",INT(F630))</f>
        <v>45747</v>
      </c>
    </row>
    <row r="631" customFormat="false" ht="15" hidden="false" customHeight="false" outlineLevel="0" collapsed="false">
      <c r="A631" s="0" t="s">
        <v>1302</v>
      </c>
      <c r="B631" s="0" t="s">
        <v>1303</v>
      </c>
      <c r="C631" s="0" t="s">
        <v>23</v>
      </c>
      <c r="D631" s="0" t="s">
        <v>42</v>
      </c>
      <c r="E631" s="10" t="n">
        <v>45747.55625</v>
      </c>
      <c r="F631" s="10" t="n">
        <v>45748.0236342593</v>
      </c>
      <c r="G631" s="0" t="n">
        <v>344.83</v>
      </c>
      <c r="H631" s="0" t="n">
        <v>354.11</v>
      </c>
      <c r="I631" s="11" t="n">
        <f aca="false">H631-G631</f>
        <v>9.28000000000003</v>
      </c>
      <c r="J631" s="5" t="n">
        <f aca="false">IF(G631=0,"",I631/G631)</f>
        <v>0.0269118116173188</v>
      </c>
      <c r="K631" s="0" t="n">
        <v>150.3</v>
      </c>
      <c r="L631" s="0" t="n">
        <v>11.22</v>
      </c>
      <c r="M631" s="11" t="s">
        <v>43</v>
      </c>
      <c r="N631" s="12" t="n">
        <f aca="false">INT(E631)</f>
        <v>45747</v>
      </c>
      <c r="O631" s="12" t="n">
        <f aca="false">IF(F631="","",INT(F631))</f>
        <v>45748</v>
      </c>
    </row>
    <row r="632" customFormat="false" ht="15" hidden="false" customHeight="false" outlineLevel="0" collapsed="false">
      <c r="A632" s="0" t="s">
        <v>1304</v>
      </c>
      <c r="B632" s="0" t="s">
        <v>1305</v>
      </c>
      <c r="C632" s="0" t="s">
        <v>24</v>
      </c>
      <c r="D632" s="0" t="s">
        <v>42</v>
      </c>
      <c r="E632" s="10" t="n">
        <v>45747.5756944444</v>
      </c>
      <c r="F632" s="10" t="n">
        <v>45753.4858101852</v>
      </c>
      <c r="G632" s="0" t="n">
        <v>280.14</v>
      </c>
      <c r="H632" s="0" t="n">
        <v>282.04</v>
      </c>
      <c r="I632" s="11" t="n">
        <f aca="false">H632-G632</f>
        <v>1.90000000000003</v>
      </c>
      <c r="J632" s="5" t="n">
        <f aca="false">IF(G632=0,"",I632/G632)</f>
        <v>0.00678232312415233</v>
      </c>
      <c r="K632" s="0" t="n">
        <v>116.6</v>
      </c>
      <c r="L632" s="0" t="n">
        <v>106.18</v>
      </c>
      <c r="M632" s="11" t="s">
        <v>43</v>
      </c>
      <c r="N632" s="12" t="n">
        <f aca="false">INT(E632)</f>
        <v>45747</v>
      </c>
      <c r="O632" s="12" t="n">
        <f aca="false">IF(F632="","",INT(F632))</f>
        <v>45753</v>
      </c>
    </row>
    <row r="633" customFormat="false" ht="15" hidden="false" customHeight="false" outlineLevel="0" collapsed="false">
      <c r="A633" s="0" t="s">
        <v>1306</v>
      </c>
      <c r="B633" s="0" t="s">
        <v>1307</v>
      </c>
      <c r="C633" s="0" t="s">
        <v>23</v>
      </c>
      <c r="D633" s="0" t="s">
        <v>42</v>
      </c>
      <c r="E633" s="10" t="n">
        <v>45747.6173611111</v>
      </c>
      <c r="F633" s="10" t="n">
        <v>45748.957974537</v>
      </c>
      <c r="G633" s="0" t="n">
        <v>167.31</v>
      </c>
      <c r="H633" s="0" t="n">
        <v>170.83</v>
      </c>
      <c r="I633" s="11" t="n">
        <f aca="false">H633-G633</f>
        <v>3.52000000000001</v>
      </c>
      <c r="J633" s="5" t="n">
        <f aca="false">IF(G633=0,"",I633/G633)</f>
        <v>0.0210387902695596</v>
      </c>
      <c r="K633" s="0" t="n">
        <v>48.3</v>
      </c>
      <c r="L633" s="0" t="n">
        <v>32.17</v>
      </c>
      <c r="M633" s="11" t="s">
        <v>43</v>
      </c>
      <c r="N633" s="12" t="n">
        <f aca="false">INT(E633)</f>
        <v>45747</v>
      </c>
      <c r="O633" s="12" t="n">
        <f aca="false">IF(F633="","",INT(F633))</f>
        <v>45748</v>
      </c>
    </row>
    <row r="634" customFormat="false" ht="15" hidden="false" customHeight="false" outlineLevel="0" collapsed="false">
      <c r="A634" s="0" t="s">
        <v>1308</v>
      </c>
      <c r="B634" s="0" t="s">
        <v>1309</v>
      </c>
      <c r="C634" s="0" t="s">
        <v>22</v>
      </c>
      <c r="D634" s="0" t="s">
        <v>42</v>
      </c>
      <c r="E634" s="10" t="n">
        <v>45747.6229166667</v>
      </c>
      <c r="F634" s="10" t="n">
        <v>45748.0834722222</v>
      </c>
      <c r="G634" s="0" t="n">
        <v>167.84</v>
      </c>
      <c r="H634" s="0" t="n">
        <v>168.99</v>
      </c>
      <c r="I634" s="11" t="n">
        <f aca="false">H634-G634</f>
        <v>1.15000000000001</v>
      </c>
      <c r="J634" s="5" t="n">
        <f aca="false">IF(G634=0,"",I634/G634)</f>
        <v>0.0068517635843661</v>
      </c>
      <c r="K634" s="0" t="n">
        <v>20.8</v>
      </c>
      <c r="L634" s="0" t="n">
        <v>11.05</v>
      </c>
      <c r="M634" s="11" t="s">
        <v>43</v>
      </c>
      <c r="N634" s="12" t="n">
        <f aca="false">INT(E634)</f>
        <v>45747</v>
      </c>
      <c r="O634" s="12" t="n">
        <f aca="false">IF(F634="","",INT(F634))</f>
        <v>45748</v>
      </c>
    </row>
    <row r="635" customFormat="false" ht="15" hidden="false" customHeight="false" outlineLevel="0" collapsed="false">
      <c r="A635" s="0" t="s">
        <v>1310</v>
      </c>
      <c r="B635" s="0" t="s">
        <v>1311</v>
      </c>
      <c r="C635" s="0" t="s">
        <v>23</v>
      </c>
      <c r="D635" s="0" t="s">
        <v>42</v>
      </c>
      <c r="E635" s="10" t="n">
        <v>45747.6506944444</v>
      </c>
      <c r="F635" s="10" t="n">
        <v>45749.2652777778</v>
      </c>
      <c r="G635" s="0" t="n">
        <v>360.89</v>
      </c>
      <c r="H635" s="0" t="n">
        <v>368.04</v>
      </c>
      <c r="I635" s="11" t="n">
        <f aca="false">H635-G635</f>
        <v>7.15000000000003</v>
      </c>
      <c r="J635" s="5" t="n">
        <f aca="false">IF(G635=0,"",I635/G635)</f>
        <v>0.0198121311202861</v>
      </c>
      <c r="K635" s="0" t="n">
        <v>101.5</v>
      </c>
      <c r="L635" s="0" t="n">
        <v>38.75</v>
      </c>
      <c r="M635" s="11" t="s">
        <v>43</v>
      </c>
      <c r="N635" s="12" t="n">
        <f aca="false">INT(E635)</f>
        <v>45747</v>
      </c>
      <c r="O635" s="12" t="n">
        <f aca="false">IF(F635="","",INT(F635))</f>
        <v>45749</v>
      </c>
    </row>
    <row r="636" customFormat="false" ht="15" hidden="false" customHeight="false" outlineLevel="0" collapsed="false">
      <c r="A636" s="0" t="s">
        <v>1312</v>
      </c>
      <c r="B636" s="0" t="s">
        <v>1313</v>
      </c>
      <c r="C636" s="0" t="s">
        <v>20</v>
      </c>
      <c r="D636" s="0" t="s">
        <v>42</v>
      </c>
      <c r="E636" s="10" t="n">
        <v>45747.6631944445</v>
      </c>
      <c r="F636" s="10" t="n">
        <v>45748.6381944444</v>
      </c>
      <c r="G636" s="0" t="n">
        <v>113.12</v>
      </c>
      <c r="H636" s="0" t="n">
        <v>109.8</v>
      </c>
      <c r="I636" s="11" t="n">
        <f aca="false">H636-G636</f>
        <v>-3.32000000000001</v>
      </c>
      <c r="J636" s="5" t="n">
        <f aca="false">IF(G636=0,"",I636/G636)</f>
        <v>-0.0293493635077794</v>
      </c>
      <c r="K636" s="0" t="n">
        <v>12</v>
      </c>
      <c r="L636" s="0" t="n">
        <v>23.4</v>
      </c>
      <c r="M636" s="11" t="s">
        <v>43</v>
      </c>
      <c r="N636" s="12" t="n">
        <f aca="false">INT(E636)</f>
        <v>45747</v>
      </c>
      <c r="O636" s="12" t="n">
        <f aca="false">IF(F636="","",INT(F636))</f>
        <v>45748</v>
      </c>
    </row>
    <row r="637" customFormat="false" ht="15" hidden="false" customHeight="false" outlineLevel="0" collapsed="false">
      <c r="A637" s="0" t="s">
        <v>1314</v>
      </c>
      <c r="B637" s="0" t="s">
        <v>1315</v>
      </c>
      <c r="C637" s="0" t="s">
        <v>23</v>
      </c>
      <c r="D637" s="0" t="s">
        <v>42</v>
      </c>
      <c r="E637" s="10" t="n">
        <v>45747.6694444444</v>
      </c>
      <c r="F637" s="10" t="n">
        <v>45748.36875</v>
      </c>
      <c r="G637" s="0" t="n">
        <v>554.61</v>
      </c>
      <c r="H637" s="0" t="n">
        <v>558.61</v>
      </c>
      <c r="I637" s="11" t="n">
        <f aca="false">H637-G637</f>
        <v>4</v>
      </c>
      <c r="J637" s="5" t="n">
        <f aca="false">IF(G637=0,"",I637/G637)</f>
        <v>0.00721227529254792</v>
      </c>
      <c r="K637" s="0" t="n">
        <v>167.1</v>
      </c>
      <c r="L637" s="0" t="n">
        <v>16.78</v>
      </c>
      <c r="M637" s="11" t="s">
        <v>43</v>
      </c>
      <c r="N637" s="12" t="n">
        <f aca="false">INT(E637)</f>
        <v>45747</v>
      </c>
      <c r="O637" s="12" t="n">
        <f aca="false">IF(F637="","",INT(F637))</f>
        <v>45748</v>
      </c>
    </row>
    <row r="638" customFormat="false" ht="15" hidden="false" customHeight="false" outlineLevel="0" collapsed="false">
      <c r="A638" s="0" t="s">
        <v>1316</v>
      </c>
      <c r="B638" s="0" t="s">
        <v>1317</v>
      </c>
      <c r="C638" s="0" t="s">
        <v>24</v>
      </c>
      <c r="D638" s="0" t="s">
        <v>42</v>
      </c>
      <c r="E638" s="10" t="n">
        <v>45747.6701388889</v>
      </c>
      <c r="F638" s="10" t="n">
        <v>45751.3625</v>
      </c>
      <c r="G638" s="0" t="n">
        <v>256.46</v>
      </c>
      <c r="H638" s="0" t="n">
        <v>253</v>
      </c>
      <c r="I638" s="11" t="n">
        <f aca="false">H638-G638</f>
        <v>-3.45999999999998</v>
      </c>
      <c r="J638" s="5" t="n">
        <f aca="false">IF(G638=0,"",I638/G638)</f>
        <v>-0.0134913826717616</v>
      </c>
      <c r="K638" s="0" t="n">
        <v>61</v>
      </c>
      <c r="L638" s="0" t="n">
        <v>88.62</v>
      </c>
      <c r="M638" s="11" t="s">
        <v>43</v>
      </c>
      <c r="N638" s="12" t="n">
        <f aca="false">INT(E638)</f>
        <v>45747</v>
      </c>
      <c r="O638" s="12" t="n">
        <f aca="false">IF(F638="","",INT(F638))</f>
        <v>45751</v>
      </c>
    </row>
    <row r="639" customFormat="false" ht="15" hidden="false" customHeight="false" outlineLevel="0" collapsed="false">
      <c r="A639" s="0" t="s">
        <v>1318</v>
      </c>
      <c r="B639" s="0" t="s">
        <v>1319</v>
      </c>
      <c r="C639" s="0" t="s">
        <v>22</v>
      </c>
      <c r="D639" s="0" t="s">
        <v>42</v>
      </c>
      <c r="E639" s="10" t="n">
        <v>45747.6784722222</v>
      </c>
      <c r="F639" s="10" t="n">
        <v>45748.3673611111</v>
      </c>
      <c r="G639" s="0" t="n">
        <v>362.57</v>
      </c>
      <c r="H639" s="0" t="n">
        <v>359.25</v>
      </c>
      <c r="I639" s="11" t="n">
        <f aca="false">H639-G639</f>
        <v>-3.31999999999999</v>
      </c>
      <c r="J639" s="5" t="n">
        <f aca="false">IF(G639=0,"",I639/G639)</f>
        <v>-0.00915685246986787</v>
      </c>
      <c r="K639" s="0" t="n">
        <v>75.1</v>
      </c>
      <c r="L639" s="0" t="n">
        <v>16.53</v>
      </c>
      <c r="M639" s="11" t="s">
        <v>43</v>
      </c>
      <c r="N639" s="12" t="n">
        <f aca="false">INT(E639)</f>
        <v>45747</v>
      </c>
      <c r="O639" s="12" t="n">
        <f aca="false">IF(F639="","",INT(F639))</f>
        <v>45748</v>
      </c>
    </row>
    <row r="640" customFormat="false" ht="15" hidden="false" customHeight="false" outlineLevel="0" collapsed="false">
      <c r="A640" s="0" t="s">
        <v>1320</v>
      </c>
      <c r="B640" s="0" t="s">
        <v>1321</v>
      </c>
      <c r="C640" s="0" t="s">
        <v>23</v>
      </c>
      <c r="D640" s="0" t="s">
        <v>42</v>
      </c>
      <c r="E640" s="10" t="n">
        <v>45747.6819444444</v>
      </c>
      <c r="F640" s="10" t="n">
        <v>45749.2493055556</v>
      </c>
      <c r="G640" s="0" t="n">
        <v>424.11</v>
      </c>
      <c r="H640" s="0" t="n">
        <v>418.76</v>
      </c>
      <c r="I640" s="11" t="n">
        <f aca="false">H640-G640</f>
        <v>-5.35000000000002</v>
      </c>
      <c r="J640" s="5" t="n">
        <f aca="false">IF(G640=0,"",I640/G640)</f>
        <v>-0.0126146518591875</v>
      </c>
      <c r="K640" s="0" t="n">
        <v>128.9</v>
      </c>
      <c r="L640" s="0" t="n">
        <v>37.62</v>
      </c>
      <c r="M640" s="11" t="s">
        <v>43</v>
      </c>
      <c r="N640" s="12" t="n">
        <f aca="false">INT(E640)</f>
        <v>45747</v>
      </c>
      <c r="O640" s="12" t="n">
        <f aca="false">IF(F640="","",INT(F640))</f>
        <v>45749</v>
      </c>
    </row>
    <row r="641" customFormat="false" ht="15" hidden="false" customHeight="false" outlineLevel="0" collapsed="false">
      <c r="A641" s="0" t="s">
        <v>1322</v>
      </c>
      <c r="B641" s="0" t="s">
        <v>1323</v>
      </c>
      <c r="C641" s="0" t="s">
        <v>21</v>
      </c>
      <c r="D641" s="0" t="s">
        <v>42</v>
      </c>
      <c r="E641" s="10" t="n">
        <v>45747.6881944445</v>
      </c>
      <c r="F641" s="10" t="n">
        <v>45748.5701388889</v>
      </c>
      <c r="G641" s="0" t="n">
        <v>722.21</v>
      </c>
      <c r="H641" s="0" t="n">
        <v>715.94</v>
      </c>
      <c r="I641" s="11" t="n">
        <f aca="false">H641-G641</f>
        <v>-6.26999999999998</v>
      </c>
      <c r="J641" s="5" t="n">
        <f aca="false">IF(G641=0,"",I641/G641)</f>
        <v>-0.00868168538236798</v>
      </c>
      <c r="K641" s="0" t="n">
        <v>94.5</v>
      </c>
      <c r="L641" s="0" t="n">
        <v>21.17</v>
      </c>
      <c r="M641" s="11" t="s">
        <v>43</v>
      </c>
      <c r="N641" s="12" t="n">
        <f aca="false">INT(E641)</f>
        <v>45747</v>
      </c>
      <c r="O641" s="12" t="n">
        <f aca="false">IF(F641="","",INT(F641))</f>
        <v>45748</v>
      </c>
    </row>
    <row r="642" customFormat="false" ht="15" hidden="false" customHeight="false" outlineLevel="0" collapsed="false">
      <c r="A642" s="0" t="s">
        <v>1324</v>
      </c>
      <c r="B642" s="0" t="s">
        <v>1325</v>
      </c>
      <c r="C642" s="0" t="s">
        <v>24</v>
      </c>
      <c r="D642" s="0" t="s">
        <v>42</v>
      </c>
      <c r="E642" s="10" t="n">
        <v>45747.7326388889</v>
      </c>
      <c r="F642" s="10" t="n">
        <v>45749.4916666667</v>
      </c>
      <c r="G642" s="0" t="n">
        <v>86.66</v>
      </c>
      <c r="H642" s="0" t="n">
        <v>84.15</v>
      </c>
      <c r="I642" s="11" t="n">
        <f aca="false">H642-G642</f>
        <v>-2.50999999999999</v>
      </c>
      <c r="J642" s="5" t="n">
        <f aca="false">IF(G642=0,"",I642/G642)</f>
        <v>-0.0289637664435725</v>
      </c>
      <c r="K642" s="0" t="n">
        <v>27.5</v>
      </c>
      <c r="L642" s="0" t="n">
        <v>42.22</v>
      </c>
      <c r="M642" s="11" t="s">
        <v>43</v>
      </c>
      <c r="N642" s="12" t="n">
        <f aca="false">INT(E642)</f>
        <v>45747</v>
      </c>
      <c r="O642" s="12" t="n">
        <f aca="false">IF(F642="","",INT(F642))</f>
        <v>45749</v>
      </c>
    </row>
    <row r="643" customFormat="false" ht="15" hidden="false" customHeight="false" outlineLevel="0" collapsed="false">
      <c r="A643" s="0" t="s">
        <v>1326</v>
      </c>
      <c r="B643" s="0" t="s">
        <v>1327</v>
      </c>
      <c r="C643" s="0" t="s">
        <v>23</v>
      </c>
      <c r="D643" s="0" t="s">
        <v>42</v>
      </c>
      <c r="E643" s="10" t="n">
        <v>45747.7770833333</v>
      </c>
      <c r="F643" s="10" t="n">
        <v>45749.2010300926</v>
      </c>
      <c r="G643" s="0" t="n">
        <v>576.26</v>
      </c>
      <c r="H643" s="0" t="n">
        <v>553.84</v>
      </c>
      <c r="I643" s="11" t="n">
        <f aca="false">H643-G643</f>
        <v>-22.42</v>
      </c>
      <c r="J643" s="5" t="n">
        <f aca="false">IF(G643=0,"",I643/G643)</f>
        <v>-0.0389060493527227</v>
      </c>
      <c r="K643" s="0" t="n">
        <v>145.1</v>
      </c>
      <c r="L643" s="0" t="n">
        <v>34.17</v>
      </c>
      <c r="M643" s="11" t="s">
        <v>43</v>
      </c>
      <c r="N643" s="12" t="n">
        <f aca="false">INT(E643)</f>
        <v>45747</v>
      </c>
      <c r="O643" s="12" t="n">
        <f aca="false">IF(F643="","",INT(F643))</f>
        <v>45749</v>
      </c>
    </row>
    <row r="644" customFormat="false" ht="15" hidden="false" customHeight="false" outlineLevel="0" collapsed="false">
      <c r="A644" s="0" t="s">
        <v>1328</v>
      </c>
      <c r="B644" s="0" t="s">
        <v>1329</v>
      </c>
      <c r="C644" s="0" t="s">
        <v>19</v>
      </c>
      <c r="D644" s="0" t="s">
        <v>42</v>
      </c>
      <c r="E644" s="10" t="n">
        <v>45747.78125</v>
      </c>
      <c r="F644" s="10" t="n">
        <v>45749.1298611111</v>
      </c>
      <c r="G644" s="0" t="n">
        <v>780.18</v>
      </c>
      <c r="H644" s="0" t="n">
        <v>804.21</v>
      </c>
      <c r="I644" s="11" t="n">
        <f aca="false">H644-G644</f>
        <v>24.0300000000001</v>
      </c>
      <c r="J644" s="5" t="n">
        <f aca="false">IF(G644=0,"",I644/G644)</f>
        <v>0.0308005844805046</v>
      </c>
      <c r="K644" s="0" t="n">
        <v>120.6</v>
      </c>
      <c r="L644" s="0" t="n">
        <v>32.37</v>
      </c>
      <c r="M644" s="11" t="s">
        <v>43</v>
      </c>
      <c r="N644" s="12" t="n">
        <f aca="false">INT(E644)</f>
        <v>45747</v>
      </c>
      <c r="O644" s="12" t="n">
        <f aca="false">IF(F644="","",INT(F644))</f>
        <v>45749</v>
      </c>
    </row>
    <row r="645" customFormat="false" ht="15" hidden="false" customHeight="false" outlineLevel="0" collapsed="false">
      <c r="A645" s="0" t="s">
        <v>1330</v>
      </c>
      <c r="B645" s="0" t="s">
        <v>1331</v>
      </c>
      <c r="C645" s="0" t="s">
        <v>23</v>
      </c>
      <c r="D645" s="0" t="s">
        <v>42</v>
      </c>
      <c r="E645" s="10" t="n">
        <v>45748.3618055556</v>
      </c>
      <c r="F645" s="10" t="n">
        <v>45750.7923611111</v>
      </c>
      <c r="G645" s="0" t="n">
        <v>685.11</v>
      </c>
      <c r="H645" s="0" t="n">
        <v>694.56</v>
      </c>
      <c r="I645" s="11" t="n">
        <f aca="false">H645-G645</f>
        <v>9.44999999999993</v>
      </c>
      <c r="J645" s="5" t="n">
        <f aca="false">IF(G645=0,"",I645/G645)</f>
        <v>0.0137934054385426</v>
      </c>
      <c r="K645" s="0" t="n">
        <v>206.2</v>
      </c>
      <c r="L645" s="0" t="n">
        <v>58.33</v>
      </c>
      <c r="M645" s="11" t="s">
        <v>1332</v>
      </c>
      <c r="N645" s="12" t="n">
        <f aca="false">INT(E645)</f>
        <v>45748</v>
      </c>
      <c r="O645" s="12" t="n">
        <f aca="false">IF(F645="","",INT(F645))</f>
        <v>45750</v>
      </c>
    </row>
    <row r="646" customFormat="false" ht="15" hidden="false" customHeight="false" outlineLevel="0" collapsed="false">
      <c r="A646" s="0" t="s">
        <v>1333</v>
      </c>
      <c r="B646" s="0" t="s">
        <v>1334</v>
      </c>
      <c r="C646" s="0" t="s">
        <v>22</v>
      </c>
      <c r="D646" s="0" t="s">
        <v>42</v>
      </c>
      <c r="E646" s="10" t="n">
        <v>45748.3777777778</v>
      </c>
      <c r="F646" s="10" t="n">
        <v>45748.9406018519</v>
      </c>
      <c r="G646" s="0" t="n">
        <v>821.53</v>
      </c>
      <c r="H646" s="0" t="n">
        <v>799.73</v>
      </c>
      <c r="I646" s="11" t="n">
        <f aca="false">H646-G646</f>
        <v>-21.8</v>
      </c>
      <c r="J646" s="5" t="n">
        <f aca="false">IF(G646=0,"",I646/G646)</f>
        <v>-0.0265358538337005</v>
      </c>
      <c r="K646" s="0" t="n">
        <v>170.1</v>
      </c>
      <c r="L646" s="0" t="n">
        <v>13.51</v>
      </c>
      <c r="M646" s="11" t="s">
        <v>1332</v>
      </c>
      <c r="N646" s="12" t="n">
        <f aca="false">INT(E646)</f>
        <v>45748</v>
      </c>
      <c r="O646" s="12" t="n">
        <f aca="false">IF(F646="","",INT(F646))</f>
        <v>45748</v>
      </c>
    </row>
    <row r="647" customFormat="false" ht="15" hidden="false" customHeight="false" outlineLevel="0" collapsed="false">
      <c r="A647" s="0" t="s">
        <v>1335</v>
      </c>
      <c r="B647" s="0" t="s">
        <v>1336</v>
      </c>
      <c r="C647" s="0" t="s">
        <v>19</v>
      </c>
      <c r="D647" s="0" t="s">
        <v>42</v>
      </c>
      <c r="E647" s="10" t="n">
        <v>45748.3944444444</v>
      </c>
      <c r="F647" s="10" t="n">
        <v>45748.7486111111</v>
      </c>
      <c r="G647" s="0" t="n">
        <v>818.05</v>
      </c>
      <c r="H647" s="0" t="n">
        <v>816.4</v>
      </c>
      <c r="I647" s="11" t="n">
        <f aca="false">H647-G647</f>
        <v>-1.64999999999998</v>
      </c>
      <c r="J647" s="5" t="n">
        <f aca="false">IF(G647=0,"",I647/G647)</f>
        <v>-0.00201699162642867</v>
      </c>
      <c r="K647" s="0" t="n">
        <v>108.8</v>
      </c>
      <c r="L647" s="0" t="n">
        <v>8.5</v>
      </c>
      <c r="M647" s="11" t="s">
        <v>1332</v>
      </c>
      <c r="N647" s="12" t="n">
        <f aca="false">INT(E647)</f>
        <v>45748</v>
      </c>
      <c r="O647" s="12" t="n">
        <f aca="false">IF(F647="","",INT(F647))</f>
        <v>45748</v>
      </c>
    </row>
    <row r="648" customFormat="false" ht="15" hidden="false" customHeight="false" outlineLevel="0" collapsed="false">
      <c r="A648" s="0" t="s">
        <v>1337</v>
      </c>
      <c r="B648" s="0" t="s">
        <v>1338</v>
      </c>
      <c r="C648" s="0" t="s">
        <v>20</v>
      </c>
      <c r="D648" s="0" t="s">
        <v>42</v>
      </c>
      <c r="E648" s="10" t="n">
        <v>45748.4125</v>
      </c>
      <c r="F648" s="10" t="n">
        <v>45748.9488078704</v>
      </c>
      <c r="G648" s="0" t="n">
        <v>1214.09</v>
      </c>
      <c r="H648" s="0" t="n">
        <v>1502.74</v>
      </c>
      <c r="I648" s="11" t="n">
        <f aca="false">H648-G648</f>
        <v>288.65</v>
      </c>
      <c r="J648" s="5" t="n">
        <f aca="false">IF(G648=0,"",I648/G648)</f>
        <v>0.237750084425372</v>
      </c>
      <c r="K648" s="0" t="n">
        <v>118.8</v>
      </c>
      <c r="L648" s="0" t="n">
        <v>12.87</v>
      </c>
      <c r="M648" s="11" t="s">
        <v>1332</v>
      </c>
      <c r="N648" s="12" t="n">
        <f aca="false">INT(E648)</f>
        <v>45748</v>
      </c>
      <c r="O648" s="12" t="n">
        <f aca="false">IF(F648="","",INT(F648))</f>
        <v>45748</v>
      </c>
    </row>
    <row r="649" customFormat="false" ht="15" hidden="false" customHeight="false" outlineLevel="0" collapsed="false">
      <c r="A649" s="0" t="s">
        <v>1339</v>
      </c>
      <c r="B649" s="0" t="s">
        <v>1340</v>
      </c>
      <c r="C649" s="0" t="s">
        <v>23</v>
      </c>
      <c r="D649" s="0" t="s">
        <v>42</v>
      </c>
      <c r="E649" s="10" t="n">
        <v>45748.4368055556</v>
      </c>
      <c r="F649" s="10" t="n">
        <v>45750.1381944444</v>
      </c>
      <c r="G649" s="0" t="n">
        <v>609.71</v>
      </c>
      <c r="H649" s="0" t="n">
        <v>622.21</v>
      </c>
      <c r="I649" s="11" t="n">
        <f aca="false">H649-G649</f>
        <v>12.5</v>
      </c>
      <c r="J649" s="5" t="n">
        <f aca="false">IF(G649=0,"",I649/G649)</f>
        <v>0.0205015499171737</v>
      </c>
      <c r="K649" s="0" t="n">
        <v>123</v>
      </c>
      <c r="L649" s="0" t="n">
        <v>40.83</v>
      </c>
      <c r="M649" s="11" t="s">
        <v>1332</v>
      </c>
      <c r="N649" s="12" t="n">
        <f aca="false">INT(E649)</f>
        <v>45748</v>
      </c>
      <c r="O649" s="12" t="n">
        <f aca="false">IF(F649="","",INT(F649))</f>
        <v>45750</v>
      </c>
    </row>
    <row r="650" customFormat="false" ht="15" hidden="false" customHeight="false" outlineLevel="0" collapsed="false">
      <c r="A650" s="0" t="s">
        <v>1341</v>
      </c>
      <c r="B650" s="0" t="s">
        <v>1342</v>
      </c>
      <c r="C650" s="0" t="s">
        <v>23</v>
      </c>
      <c r="D650" s="0" t="s">
        <v>42</v>
      </c>
      <c r="E650" s="10" t="n">
        <v>45748.4479166667</v>
      </c>
      <c r="F650" s="10" t="n">
        <v>45749.985787037</v>
      </c>
      <c r="G650" s="0" t="n">
        <v>267.17</v>
      </c>
      <c r="H650" s="0" t="n">
        <v>273.86</v>
      </c>
      <c r="I650" s="11" t="n">
        <f aca="false">H650-G650</f>
        <v>6.69</v>
      </c>
      <c r="J650" s="5" t="n">
        <f aca="false">IF(G650=0,"",I650/G650)</f>
        <v>0.0250402365535053</v>
      </c>
      <c r="K650" s="0" t="n">
        <v>66.9</v>
      </c>
      <c r="L650" s="0" t="n">
        <v>36.91</v>
      </c>
      <c r="M650" s="11" t="s">
        <v>1332</v>
      </c>
      <c r="N650" s="12" t="n">
        <f aca="false">INT(E650)</f>
        <v>45748</v>
      </c>
      <c r="O650" s="12" t="n">
        <f aca="false">IF(F650="","",INT(F650))</f>
        <v>45749</v>
      </c>
    </row>
    <row r="651" customFormat="false" ht="15" hidden="false" customHeight="false" outlineLevel="0" collapsed="false">
      <c r="A651" s="0" t="s">
        <v>1343</v>
      </c>
      <c r="B651" s="0" t="s">
        <v>1344</v>
      </c>
      <c r="C651" s="0" t="s">
        <v>19</v>
      </c>
      <c r="D651" s="0" t="s">
        <v>42</v>
      </c>
      <c r="E651" s="10" t="n">
        <v>45748.45625</v>
      </c>
      <c r="F651" s="10" t="n">
        <v>45749.8826388889</v>
      </c>
      <c r="G651" s="0" t="n">
        <v>325.79</v>
      </c>
      <c r="H651" s="0" t="n">
        <v>327.03</v>
      </c>
      <c r="I651" s="11" t="n">
        <f aca="false">H651-G651</f>
        <v>1.23999999999995</v>
      </c>
      <c r="J651" s="5" t="n">
        <f aca="false">IF(G651=0,"",I651/G651)</f>
        <v>0.00380613278492266</v>
      </c>
      <c r="K651" s="0" t="n">
        <v>47.3</v>
      </c>
      <c r="L651" s="0" t="n">
        <v>34.23</v>
      </c>
      <c r="M651" s="11" t="s">
        <v>1332</v>
      </c>
      <c r="N651" s="12" t="n">
        <f aca="false">INT(E651)</f>
        <v>45748</v>
      </c>
      <c r="O651" s="12" t="n">
        <f aca="false">IF(F651="","",INT(F651))</f>
        <v>45749</v>
      </c>
    </row>
    <row r="652" customFormat="false" ht="15" hidden="false" customHeight="false" outlineLevel="0" collapsed="false">
      <c r="A652" s="0" t="s">
        <v>1345</v>
      </c>
      <c r="B652" s="0" t="s">
        <v>1346</v>
      </c>
      <c r="C652" s="0" t="s">
        <v>23</v>
      </c>
      <c r="D652" s="0" t="s">
        <v>42</v>
      </c>
      <c r="E652" s="10" t="n">
        <v>45748.4631944444</v>
      </c>
      <c r="F652" s="10" t="n">
        <v>45748.9888888889</v>
      </c>
      <c r="G652" s="0" t="n">
        <v>803.74</v>
      </c>
      <c r="H652" s="0" t="n">
        <v>786.17</v>
      </c>
      <c r="I652" s="11" t="n">
        <f aca="false">H652-G652</f>
        <v>-17.5700000000001</v>
      </c>
      <c r="J652" s="5" t="n">
        <f aca="false">IF(G652=0,"",I652/G652)</f>
        <v>-0.0218603030830866</v>
      </c>
      <c r="K652" s="0" t="n">
        <v>166.9</v>
      </c>
      <c r="L652" s="0" t="n">
        <v>12.62</v>
      </c>
      <c r="M652" s="11" t="s">
        <v>1332</v>
      </c>
      <c r="N652" s="12" t="n">
        <f aca="false">INT(E652)</f>
        <v>45748</v>
      </c>
      <c r="O652" s="12" t="n">
        <f aca="false">IF(F652="","",INT(F652))</f>
        <v>45748</v>
      </c>
    </row>
    <row r="653" customFormat="false" ht="15" hidden="false" customHeight="false" outlineLevel="0" collapsed="false">
      <c r="A653" s="0" t="s">
        <v>1347</v>
      </c>
      <c r="B653" s="0" t="s">
        <v>1348</v>
      </c>
      <c r="C653" s="0" t="s">
        <v>23</v>
      </c>
      <c r="D653" s="0" t="s">
        <v>48</v>
      </c>
      <c r="E653" s="10" t="n">
        <v>45748.4652777778</v>
      </c>
      <c r="F653" s="10"/>
      <c r="G653" s="0" t="n">
        <v>713.62</v>
      </c>
      <c r="H653" s="0" t="n">
        <v>693.04</v>
      </c>
      <c r="I653" s="11" t="n">
        <f aca="false">H653-G653</f>
        <v>-20.58</v>
      </c>
      <c r="J653" s="5" t="n">
        <f aca="false">IF(G653=0,"",I653/G653)</f>
        <v>-0.0288388778341415</v>
      </c>
      <c r="K653" s="0" t="n">
        <v>187.3</v>
      </c>
      <c r="M653" s="11" t="s">
        <v>1332</v>
      </c>
      <c r="N653" s="12" t="n">
        <f aca="false">INT(E653)</f>
        <v>45748</v>
      </c>
      <c r="O653" s="12" t="str">
        <f aca="false">IF(F653="","",INT(F653))</f>
        <v/>
      </c>
    </row>
    <row r="654" customFormat="false" ht="15" hidden="false" customHeight="false" outlineLevel="0" collapsed="false">
      <c r="A654" s="0" t="s">
        <v>1349</v>
      </c>
      <c r="B654" s="0" t="s">
        <v>1350</v>
      </c>
      <c r="C654" s="0" t="s">
        <v>21</v>
      </c>
      <c r="D654" s="0" t="s">
        <v>42</v>
      </c>
      <c r="E654" s="10" t="n">
        <v>45748.4902777778</v>
      </c>
      <c r="F654" s="10" t="n">
        <v>45748.9895833333</v>
      </c>
      <c r="G654" s="0" t="n">
        <v>1745.44</v>
      </c>
      <c r="H654" s="0" t="n">
        <v>1670.61</v>
      </c>
      <c r="I654" s="11" t="n">
        <f aca="false">H654-G654</f>
        <v>-74.8300000000002</v>
      </c>
      <c r="J654" s="5" t="n">
        <f aca="false">IF(G654=0,"",I654/G654)</f>
        <v>-0.0428717114309287</v>
      </c>
      <c r="K654" s="0" t="n">
        <v>411.1</v>
      </c>
      <c r="L654" s="0" t="n">
        <v>11.98</v>
      </c>
      <c r="M654" s="11" t="s">
        <v>1332</v>
      </c>
      <c r="N654" s="12" t="n">
        <f aca="false">INT(E654)</f>
        <v>45748</v>
      </c>
      <c r="O654" s="12" t="n">
        <f aca="false">IF(F654="","",INT(F654))</f>
        <v>45748</v>
      </c>
    </row>
    <row r="655" customFormat="false" ht="15" hidden="false" customHeight="false" outlineLevel="0" collapsed="false">
      <c r="A655" s="0" t="s">
        <v>1351</v>
      </c>
      <c r="B655" s="0" t="s">
        <v>1352</v>
      </c>
      <c r="C655" s="0" t="s">
        <v>23</v>
      </c>
      <c r="D655" s="0" t="s">
        <v>42</v>
      </c>
      <c r="E655" s="10" t="n">
        <v>45748.4944444444</v>
      </c>
      <c r="F655" s="10" t="n">
        <v>45749.8333333333</v>
      </c>
      <c r="G655" s="0" t="n">
        <v>371</v>
      </c>
      <c r="H655" s="0" t="n">
        <v>370.46</v>
      </c>
      <c r="I655" s="11" t="n">
        <f aca="false">H655-G655</f>
        <v>-0.540000000000021</v>
      </c>
      <c r="J655" s="5" t="n">
        <f aca="false">IF(G655=0,"",I655/G655)</f>
        <v>-0.00145552560646906</v>
      </c>
      <c r="K655" s="0" t="n">
        <v>100.1</v>
      </c>
      <c r="L655" s="0" t="n">
        <v>32.13</v>
      </c>
      <c r="M655" s="11" t="s">
        <v>1332</v>
      </c>
      <c r="N655" s="12" t="n">
        <f aca="false">INT(E655)</f>
        <v>45748</v>
      </c>
      <c r="O655" s="12" t="n">
        <f aca="false">IF(F655="","",INT(F655))</f>
        <v>45749</v>
      </c>
    </row>
    <row r="656" customFormat="false" ht="15" hidden="false" customHeight="false" outlineLevel="0" collapsed="false">
      <c r="A656" s="0" t="s">
        <v>1353</v>
      </c>
      <c r="B656" s="0" t="s">
        <v>1354</v>
      </c>
      <c r="C656" s="0" t="s">
        <v>20</v>
      </c>
      <c r="D656" s="0" t="s">
        <v>42</v>
      </c>
      <c r="E656" s="10" t="n">
        <v>45748.5368055556</v>
      </c>
      <c r="F656" s="10" t="n">
        <v>45749.0888888889</v>
      </c>
      <c r="G656" s="0" t="n">
        <v>219.31</v>
      </c>
      <c r="H656" s="0" t="n">
        <v>224.67</v>
      </c>
      <c r="I656" s="11" t="n">
        <f aca="false">H656-G656</f>
        <v>5.35999999999999</v>
      </c>
      <c r="J656" s="5" t="n">
        <f aca="false">IF(G656=0,"",I656/G656)</f>
        <v>0.0244402900004559</v>
      </c>
      <c r="K656" s="0" t="n">
        <v>21.8</v>
      </c>
      <c r="L656" s="0" t="n">
        <v>13.25</v>
      </c>
      <c r="M656" s="11" t="s">
        <v>1332</v>
      </c>
      <c r="N656" s="12" t="n">
        <f aca="false">INT(E656)</f>
        <v>45748</v>
      </c>
      <c r="O656" s="12" t="n">
        <f aca="false">IF(F656="","",INT(F656))</f>
        <v>45749</v>
      </c>
    </row>
    <row r="657" customFormat="false" ht="15" hidden="false" customHeight="false" outlineLevel="0" collapsed="false">
      <c r="A657" s="0" t="s">
        <v>1355</v>
      </c>
      <c r="B657" s="0" t="s">
        <v>1356</v>
      </c>
      <c r="C657" s="0" t="s">
        <v>23</v>
      </c>
      <c r="D657" s="0" t="s">
        <v>42</v>
      </c>
      <c r="E657" s="10" t="n">
        <v>45748.5395833333</v>
      </c>
      <c r="F657" s="10" t="n">
        <v>45749.7345023148</v>
      </c>
      <c r="G657" s="0" t="n">
        <v>162.81</v>
      </c>
      <c r="H657" s="0" t="n">
        <v>163.16</v>
      </c>
      <c r="I657" s="11" t="n">
        <f aca="false">H657-G657</f>
        <v>0.349999999999994</v>
      </c>
      <c r="J657" s="5" t="n">
        <f aca="false">IF(G657=0,"",I657/G657)</f>
        <v>0.0021497451016522</v>
      </c>
      <c r="K657" s="0" t="n">
        <v>47.8</v>
      </c>
      <c r="L657" s="0" t="n">
        <v>28.68</v>
      </c>
      <c r="M657" s="11" t="s">
        <v>1332</v>
      </c>
      <c r="N657" s="12" t="n">
        <f aca="false">INT(E657)</f>
        <v>45748</v>
      </c>
      <c r="O657" s="12" t="n">
        <f aca="false">IF(F657="","",INT(F657))</f>
        <v>45749</v>
      </c>
    </row>
    <row r="658" customFormat="false" ht="15" hidden="false" customHeight="false" outlineLevel="0" collapsed="false">
      <c r="A658" s="0" t="s">
        <v>1357</v>
      </c>
      <c r="B658" s="0" t="s">
        <v>1358</v>
      </c>
      <c r="C658" s="0" t="s">
        <v>21</v>
      </c>
      <c r="D658" s="0" t="s">
        <v>42</v>
      </c>
      <c r="E658" s="10" t="n">
        <v>45748.5520833333</v>
      </c>
      <c r="F658" s="10" t="n">
        <v>45749.426875</v>
      </c>
      <c r="G658" s="0" t="n">
        <v>418.77</v>
      </c>
      <c r="H658" s="0" t="n">
        <v>406.01</v>
      </c>
      <c r="I658" s="11" t="n">
        <f aca="false">H658-G658</f>
        <v>-12.76</v>
      </c>
      <c r="J658" s="5" t="n">
        <f aca="false">IF(G658=0,"",I658/G658)</f>
        <v>-0.0304701864985553</v>
      </c>
      <c r="K658" s="0" t="n">
        <v>72.5</v>
      </c>
      <c r="L658" s="0" t="n">
        <v>21</v>
      </c>
      <c r="M658" s="11" t="s">
        <v>1332</v>
      </c>
      <c r="N658" s="12" t="n">
        <f aca="false">INT(E658)</f>
        <v>45748</v>
      </c>
      <c r="O658" s="12" t="n">
        <f aca="false">IF(F658="","",INT(F658))</f>
        <v>45749</v>
      </c>
    </row>
    <row r="659" customFormat="false" ht="15" hidden="false" customHeight="false" outlineLevel="0" collapsed="false">
      <c r="A659" s="0" t="s">
        <v>1359</v>
      </c>
      <c r="B659" s="0" t="s">
        <v>1360</v>
      </c>
      <c r="C659" s="0" t="s">
        <v>21</v>
      </c>
      <c r="D659" s="0" t="s">
        <v>42</v>
      </c>
      <c r="E659" s="10" t="n">
        <v>45748.5597222222</v>
      </c>
      <c r="F659" s="10" t="n">
        <v>45748.8881944444</v>
      </c>
      <c r="G659" s="0" t="n">
        <v>523.38</v>
      </c>
      <c r="H659" s="0" t="n">
        <v>512.02</v>
      </c>
      <c r="I659" s="11" t="n">
        <f aca="false">H659-G659</f>
        <v>-11.36</v>
      </c>
      <c r="J659" s="5" t="n">
        <f aca="false">IF(G659=0,"",I659/G659)</f>
        <v>-0.0217050708853988</v>
      </c>
      <c r="K659" s="0" t="n">
        <v>77.4</v>
      </c>
      <c r="L659" s="0" t="n">
        <v>7.88</v>
      </c>
      <c r="M659" s="11" t="s">
        <v>1332</v>
      </c>
      <c r="N659" s="12" t="n">
        <f aca="false">INT(E659)</f>
        <v>45748</v>
      </c>
      <c r="O659" s="12" t="n">
        <f aca="false">IF(F659="","",INT(F659))</f>
        <v>45748</v>
      </c>
    </row>
    <row r="660" customFormat="false" ht="15" hidden="false" customHeight="false" outlineLevel="0" collapsed="false">
      <c r="A660" s="0" t="s">
        <v>1361</v>
      </c>
      <c r="B660" s="0" t="s">
        <v>1362</v>
      </c>
      <c r="C660" s="0" t="s">
        <v>20</v>
      </c>
      <c r="D660" s="0" t="s">
        <v>48</v>
      </c>
      <c r="E660" s="10" t="n">
        <v>45748.5597222222</v>
      </c>
      <c r="F660" s="10"/>
      <c r="G660" s="0" t="n">
        <v>213.07</v>
      </c>
      <c r="H660" s="0" t="n">
        <v>185.88</v>
      </c>
      <c r="I660" s="11" t="n">
        <f aca="false">H660-G660</f>
        <v>-27.19</v>
      </c>
      <c r="J660" s="5" t="n">
        <f aca="false">IF(G660=0,"",I660/G660)</f>
        <v>-0.127610644389168</v>
      </c>
      <c r="K660" s="0" t="n">
        <v>45.3</v>
      </c>
      <c r="M660" s="11" t="s">
        <v>1332</v>
      </c>
      <c r="N660" s="12" t="n">
        <f aca="false">INT(E660)</f>
        <v>45748</v>
      </c>
      <c r="O660" s="12" t="str">
        <f aca="false">IF(F660="","",INT(F660))</f>
        <v/>
      </c>
    </row>
    <row r="661" customFormat="false" ht="15" hidden="false" customHeight="false" outlineLevel="0" collapsed="false">
      <c r="A661" s="0" t="s">
        <v>1363</v>
      </c>
      <c r="B661" s="0" t="s">
        <v>1364</v>
      </c>
      <c r="C661" s="0" t="s">
        <v>24</v>
      </c>
      <c r="D661" s="0" t="s">
        <v>42</v>
      </c>
      <c r="E661" s="10" t="n">
        <v>45748.5784722222</v>
      </c>
      <c r="F661" s="10" t="n">
        <v>45750.025</v>
      </c>
      <c r="G661" s="0" t="n">
        <v>340.37</v>
      </c>
      <c r="H661" s="0" t="n">
        <v>345.81</v>
      </c>
      <c r="I661" s="11" t="n">
        <f aca="false">H661-G661</f>
        <v>5.44</v>
      </c>
      <c r="J661" s="5" t="n">
        <f aca="false">IF(G661=0,"",I661/G661)</f>
        <v>0.0159826071627934</v>
      </c>
      <c r="K661" s="0" t="n">
        <v>87.2</v>
      </c>
      <c r="L661" s="0" t="n">
        <v>34.72</v>
      </c>
      <c r="M661" s="11" t="s">
        <v>1332</v>
      </c>
      <c r="N661" s="12" t="n">
        <f aca="false">INT(E661)</f>
        <v>45748</v>
      </c>
      <c r="O661" s="12" t="n">
        <f aca="false">IF(F661="","",INT(F661))</f>
        <v>45750</v>
      </c>
    </row>
    <row r="662" customFormat="false" ht="15" hidden="false" customHeight="false" outlineLevel="0" collapsed="false">
      <c r="A662" s="0" t="s">
        <v>1365</v>
      </c>
      <c r="B662" s="0" t="s">
        <v>1366</v>
      </c>
      <c r="C662" s="0" t="s">
        <v>23</v>
      </c>
      <c r="D662" s="0" t="s">
        <v>42</v>
      </c>
      <c r="E662" s="10" t="n">
        <v>45748.6145833333</v>
      </c>
      <c r="F662" s="10" t="n">
        <v>45749.7340277778</v>
      </c>
      <c r="G662" s="0" t="n">
        <v>638.54</v>
      </c>
      <c r="H662" s="0" t="n">
        <v>637.78</v>
      </c>
      <c r="I662" s="11" t="n">
        <f aca="false">H662-G662</f>
        <v>-0.759999999999991</v>
      </c>
      <c r="J662" s="5" t="n">
        <f aca="false">IF(G662=0,"",I662/G662)</f>
        <v>-0.00119021517837566</v>
      </c>
      <c r="K662" s="0" t="n">
        <v>232.9</v>
      </c>
      <c r="L662" s="0" t="n">
        <v>26.87</v>
      </c>
      <c r="M662" s="11" t="s">
        <v>1332</v>
      </c>
      <c r="N662" s="12" t="n">
        <f aca="false">INT(E662)</f>
        <v>45748</v>
      </c>
      <c r="O662" s="12" t="n">
        <f aca="false">IF(F662="","",INT(F662))</f>
        <v>45749</v>
      </c>
    </row>
    <row r="663" customFormat="false" ht="15" hidden="false" customHeight="false" outlineLevel="0" collapsed="false">
      <c r="A663" s="0" t="s">
        <v>1367</v>
      </c>
      <c r="B663" s="0" t="s">
        <v>1368</v>
      </c>
      <c r="C663" s="0" t="s">
        <v>21</v>
      </c>
      <c r="D663" s="0" t="s">
        <v>42</v>
      </c>
      <c r="E663" s="10" t="n">
        <v>45748.6180555556</v>
      </c>
      <c r="F663" s="10" t="n">
        <v>45749.5694444445</v>
      </c>
      <c r="G663" s="0" t="n">
        <v>706.77</v>
      </c>
      <c r="H663" s="0" t="n">
        <v>728.27</v>
      </c>
      <c r="I663" s="11" t="n">
        <f aca="false">H663-G663</f>
        <v>21.5</v>
      </c>
      <c r="J663" s="5" t="n">
        <f aca="false">IF(G663=0,"",I663/G663)</f>
        <v>0.0304200800826294</v>
      </c>
      <c r="K663" s="0" t="n">
        <v>99.6</v>
      </c>
      <c r="L663" s="0" t="n">
        <v>22.83</v>
      </c>
      <c r="M663" s="11" t="s">
        <v>1332</v>
      </c>
      <c r="N663" s="12" t="n">
        <f aca="false">INT(E663)</f>
        <v>45748</v>
      </c>
      <c r="O663" s="12" t="n">
        <f aca="false">IF(F663="","",INT(F663))</f>
        <v>45749</v>
      </c>
    </row>
    <row r="664" customFormat="false" ht="15" hidden="false" customHeight="false" outlineLevel="0" collapsed="false">
      <c r="A664" s="0" t="s">
        <v>1369</v>
      </c>
      <c r="B664" s="0" t="s">
        <v>1370</v>
      </c>
      <c r="C664" s="0" t="s">
        <v>23</v>
      </c>
      <c r="D664" s="0" t="s">
        <v>42</v>
      </c>
      <c r="E664" s="10" t="n">
        <v>45748.6326388889</v>
      </c>
      <c r="F664" s="10" t="n">
        <v>45749.8277777778</v>
      </c>
      <c r="G664" s="0" t="n">
        <v>2918.67</v>
      </c>
      <c r="H664" s="0" t="n">
        <v>2842.03</v>
      </c>
      <c r="I664" s="11" t="n">
        <f aca="false">H664-G664</f>
        <v>-76.6399999999999</v>
      </c>
      <c r="J664" s="5" t="n">
        <f aca="false">IF(G664=0,"",I664/G664)</f>
        <v>-0.026258535565857</v>
      </c>
      <c r="K664" s="0" t="n">
        <v>607.5</v>
      </c>
      <c r="L664" s="0" t="n">
        <v>28.68</v>
      </c>
      <c r="M664" s="11" t="s">
        <v>1332</v>
      </c>
      <c r="N664" s="12" t="n">
        <f aca="false">INT(E664)</f>
        <v>45748</v>
      </c>
      <c r="O664" s="12" t="n">
        <f aca="false">IF(F664="","",INT(F664))</f>
        <v>45749</v>
      </c>
    </row>
    <row r="665" customFormat="false" ht="15" hidden="false" customHeight="false" outlineLevel="0" collapsed="false">
      <c r="A665" s="0" t="s">
        <v>1371</v>
      </c>
      <c r="B665" s="0" t="s">
        <v>1372</v>
      </c>
      <c r="C665" s="0" t="s">
        <v>20</v>
      </c>
      <c r="D665" s="0" t="s">
        <v>42</v>
      </c>
      <c r="E665" s="10" t="n">
        <v>45748.6333333333</v>
      </c>
      <c r="F665" s="10" t="n">
        <v>45749.3744560185</v>
      </c>
      <c r="G665" s="0" t="n">
        <v>215.78</v>
      </c>
      <c r="H665" s="0" t="n">
        <v>211.42</v>
      </c>
      <c r="I665" s="11" t="n">
        <f aca="false">H665-G665</f>
        <v>-4.36000000000001</v>
      </c>
      <c r="J665" s="5" t="n">
        <f aca="false">IF(G665=0,"",I665/G665)</f>
        <v>-0.0202057651311522</v>
      </c>
      <c r="K665" s="0" t="n">
        <v>35.1</v>
      </c>
      <c r="L665" s="0" t="n">
        <v>17.79</v>
      </c>
      <c r="M665" s="11" t="s">
        <v>1332</v>
      </c>
      <c r="N665" s="12" t="n">
        <f aca="false">INT(E665)</f>
        <v>45748</v>
      </c>
      <c r="O665" s="12" t="n">
        <f aca="false">IF(F665="","",INT(F665))</f>
        <v>45749</v>
      </c>
    </row>
    <row r="666" customFormat="false" ht="15" hidden="false" customHeight="false" outlineLevel="0" collapsed="false">
      <c r="A666" s="0" t="s">
        <v>1373</v>
      </c>
      <c r="B666" s="0" t="s">
        <v>1374</v>
      </c>
      <c r="C666" s="0" t="s">
        <v>20</v>
      </c>
      <c r="D666" s="0" t="s">
        <v>42</v>
      </c>
      <c r="E666" s="10" t="n">
        <v>45748.6673611111</v>
      </c>
      <c r="F666" s="10" t="n">
        <v>45749.4181134259</v>
      </c>
      <c r="G666" s="0" t="n">
        <v>485.5</v>
      </c>
      <c r="H666" s="0" t="n">
        <v>484.54</v>
      </c>
      <c r="I666" s="11" t="n">
        <f aca="false">H666-G666</f>
        <v>-0.95999999999998</v>
      </c>
      <c r="J666" s="5" t="n">
        <f aca="false">IF(G666=0,"",I666/G666)</f>
        <v>-0.00197734294541705</v>
      </c>
      <c r="K666" s="0" t="n">
        <v>82.6</v>
      </c>
      <c r="L666" s="0" t="n">
        <v>18.02</v>
      </c>
      <c r="M666" s="11" t="s">
        <v>1332</v>
      </c>
      <c r="N666" s="12" t="n">
        <f aca="false">INT(E666)</f>
        <v>45748</v>
      </c>
      <c r="O666" s="12" t="n">
        <f aca="false">IF(F666="","",INT(F666))</f>
        <v>45749</v>
      </c>
    </row>
    <row r="667" customFormat="false" ht="15" hidden="false" customHeight="false" outlineLevel="0" collapsed="false">
      <c r="A667" s="0" t="s">
        <v>1375</v>
      </c>
      <c r="B667" s="0" t="s">
        <v>1376</v>
      </c>
      <c r="C667" s="0" t="s">
        <v>22</v>
      </c>
      <c r="D667" s="0" t="s">
        <v>42</v>
      </c>
      <c r="E667" s="10" t="n">
        <v>45748.675</v>
      </c>
      <c r="F667" s="10" t="n">
        <v>45749.223912037</v>
      </c>
      <c r="G667" s="0" t="n">
        <v>673.06</v>
      </c>
      <c r="H667" s="0" t="n">
        <v>655.72</v>
      </c>
      <c r="I667" s="11" t="n">
        <f aca="false">H667-G667</f>
        <v>-17.3399999999999</v>
      </c>
      <c r="J667" s="5" t="n">
        <f aca="false">IF(G667=0,"",I667/G667)</f>
        <v>-0.0257629334680414</v>
      </c>
      <c r="K667" s="0" t="n">
        <v>123.9</v>
      </c>
      <c r="L667" s="0" t="n">
        <v>13.17</v>
      </c>
      <c r="M667" s="11" t="s">
        <v>1332</v>
      </c>
      <c r="N667" s="12" t="n">
        <f aca="false">INT(E667)</f>
        <v>45748</v>
      </c>
      <c r="O667" s="12" t="n">
        <f aca="false">IF(F667="","",INT(F667))</f>
        <v>45749</v>
      </c>
    </row>
    <row r="668" customFormat="false" ht="15" hidden="false" customHeight="false" outlineLevel="0" collapsed="false">
      <c r="A668" s="0" t="s">
        <v>1377</v>
      </c>
      <c r="B668" s="0" t="s">
        <v>1378</v>
      </c>
      <c r="C668" s="0" t="s">
        <v>22</v>
      </c>
      <c r="D668" s="0" t="s">
        <v>42</v>
      </c>
      <c r="E668" s="10" t="n">
        <v>45748.6777777778</v>
      </c>
      <c r="F668" s="10" t="n">
        <v>45749.1085185185</v>
      </c>
      <c r="G668" s="0" t="n">
        <v>607.64</v>
      </c>
      <c r="H668" s="0" t="n">
        <v>608.48</v>
      </c>
      <c r="I668" s="11" t="n">
        <f aca="false">H668-G668</f>
        <v>0.840000000000032</v>
      </c>
      <c r="J668" s="5" t="n">
        <f aca="false">IF(G668=0,"",I668/G668)</f>
        <v>0.00138239747218753</v>
      </c>
      <c r="K668" s="0" t="n">
        <v>56.3</v>
      </c>
      <c r="L668" s="0" t="n">
        <v>10.34</v>
      </c>
      <c r="M668" s="11" t="s">
        <v>1332</v>
      </c>
      <c r="N668" s="12" t="n">
        <f aca="false">INT(E668)</f>
        <v>45748</v>
      </c>
      <c r="O668" s="12" t="n">
        <f aca="false">IF(F668="","",INT(F668))</f>
        <v>45749</v>
      </c>
    </row>
    <row r="669" customFormat="false" ht="15" hidden="false" customHeight="false" outlineLevel="0" collapsed="false">
      <c r="A669" s="0" t="s">
        <v>1379</v>
      </c>
      <c r="B669" s="0" t="s">
        <v>1380</v>
      </c>
      <c r="C669" s="0" t="s">
        <v>23</v>
      </c>
      <c r="D669" s="0" t="s">
        <v>42</v>
      </c>
      <c r="E669" s="10" t="n">
        <v>45748.6798611111</v>
      </c>
      <c r="F669" s="10" t="n">
        <v>45750.45625</v>
      </c>
      <c r="G669" s="0" t="n">
        <v>385.97</v>
      </c>
      <c r="H669" s="0" t="n">
        <v>384.26</v>
      </c>
      <c r="I669" s="11" t="n">
        <f aca="false">H669-G669</f>
        <v>-1.71000000000004</v>
      </c>
      <c r="J669" s="5" t="n">
        <f aca="false">IF(G669=0,"",I669/G669)</f>
        <v>-0.00443039614477819</v>
      </c>
      <c r="K669" s="0" t="n">
        <v>172.4</v>
      </c>
      <c r="L669" s="0" t="n">
        <v>42.63</v>
      </c>
      <c r="M669" s="11" t="s">
        <v>1332</v>
      </c>
      <c r="N669" s="12" t="n">
        <f aca="false">INT(E669)</f>
        <v>45748</v>
      </c>
      <c r="O669" s="12" t="n">
        <f aca="false">IF(F669="","",INT(F669))</f>
        <v>45750</v>
      </c>
    </row>
    <row r="670" customFormat="false" ht="15" hidden="false" customHeight="false" outlineLevel="0" collapsed="false">
      <c r="A670" s="0" t="s">
        <v>1381</v>
      </c>
      <c r="B670" s="0" t="s">
        <v>1382</v>
      </c>
      <c r="C670" s="0" t="s">
        <v>21</v>
      </c>
      <c r="D670" s="0" t="s">
        <v>42</v>
      </c>
      <c r="E670" s="10" t="n">
        <v>45748.7027777778</v>
      </c>
      <c r="F670" s="10" t="n">
        <v>45749.7000578704</v>
      </c>
      <c r="G670" s="0" t="n">
        <v>927.78</v>
      </c>
      <c r="H670" s="0" t="n">
        <v>926.17</v>
      </c>
      <c r="I670" s="11" t="n">
        <f aca="false">H670-G670</f>
        <v>-1.61000000000001</v>
      </c>
      <c r="J670" s="5" t="n">
        <f aca="false">IF(G670=0,"",I670/G670)</f>
        <v>-0.00173532518484987</v>
      </c>
      <c r="K670" s="0" t="n">
        <v>240.1</v>
      </c>
      <c r="L670" s="0" t="n">
        <v>23.93</v>
      </c>
      <c r="M670" s="11" t="s">
        <v>1332</v>
      </c>
      <c r="N670" s="12" t="n">
        <f aca="false">INT(E670)</f>
        <v>45748</v>
      </c>
      <c r="O670" s="12" t="n">
        <f aca="false">IF(F670="","",INT(F670))</f>
        <v>45749</v>
      </c>
    </row>
    <row r="671" customFormat="false" ht="15" hidden="false" customHeight="false" outlineLevel="0" collapsed="false">
      <c r="A671" s="0" t="s">
        <v>1383</v>
      </c>
      <c r="B671" s="0" t="s">
        <v>1384</v>
      </c>
      <c r="C671" s="0" t="s">
        <v>20</v>
      </c>
      <c r="D671" s="0" t="s">
        <v>42</v>
      </c>
      <c r="E671" s="10" t="n">
        <v>45748.7097222222</v>
      </c>
      <c r="F671" s="10" t="n">
        <v>45749.3578703704</v>
      </c>
      <c r="G671" s="0" t="n">
        <v>351.72</v>
      </c>
      <c r="H671" s="0" t="n">
        <v>344.24</v>
      </c>
      <c r="I671" s="11" t="n">
        <f aca="false">H671-G671</f>
        <v>-7.48000000000002</v>
      </c>
      <c r="J671" s="5" t="n">
        <f aca="false">IF(G671=0,"",I671/G671)</f>
        <v>-0.0212669168656887</v>
      </c>
      <c r="K671" s="0" t="n">
        <v>64.3</v>
      </c>
      <c r="L671" s="0" t="n">
        <v>15.56</v>
      </c>
      <c r="M671" s="11" t="s">
        <v>1332</v>
      </c>
      <c r="N671" s="12" t="n">
        <f aca="false">INT(E671)</f>
        <v>45748</v>
      </c>
      <c r="O671" s="12" t="n">
        <f aca="false">IF(F671="","",INT(F671))</f>
        <v>45749</v>
      </c>
    </row>
    <row r="672" customFormat="false" ht="15" hidden="false" customHeight="false" outlineLevel="0" collapsed="false">
      <c r="A672" s="0" t="s">
        <v>1385</v>
      </c>
      <c r="B672" s="0" t="s">
        <v>1386</v>
      </c>
      <c r="C672" s="0" t="s">
        <v>23</v>
      </c>
      <c r="D672" s="0" t="s">
        <v>42</v>
      </c>
      <c r="E672" s="10" t="n">
        <v>45748.7263888889</v>
      </c>
      <c r="F672" s="10" t="n">
        <v>45749.2805555556</v>
      </c>
      <c r="G672" s="0" t="n">
        <v>307.99</v>
      </c>
      <c r="H672" s="0" t="n">
        <v>312.9</v>
      </c>
      <c r="I672" s="11" t="n">
        <f aca="false">H672-G672</f>
        <v>4.90999999999997</v>
      </c>
      <c r="J672" s="5" t="n">
        <f aca="false">IF(G672=0,"",I672/G672)</f>
        <v>0.0159420760414298</v>
      </c>
      <c r="K672" s="0" t="n">
        <v>84.5</v>
      </c>
      <c r="L672" s="0" t="n">
        <v>13.3</v>
      </c>
      <c r="M672" s="11" t="s">
        <v>1332</v>
      </c>
      <c r="N672" s="12" t="n">
        <f aca="false">INT(E672)</f>
        <v>45748</v>
      </c>
      <c r="O672" s="12" t="n">
        <f aca="false">IF(F672="","",INT(F672))</f>
        <v>45749</v>
      </c>
    </row>
    <row r="673" customFormat="false" ht="15" hidden="false" customHeight="false" outlineLevel="0" collapsed="false">
      <c r="A673" s="0" t="s">
        <v>1387</v>
      </c>
      <c r="B673" s="0" t="s">
        <v>1388</v>
      </c>
      <c r="C673" s="0" t="s">
        <v>24</v>
      </c>
      <c r="D673" s="0" t="s">
        <v>42</v>
      </c>
      <c r="E673" s="10" t="n">
        <v>45748.7291666667</v>
      </c>
      <c r="F673" s="10" t="n">
        <v>45751.6944444445</v>
      </c>
      <c r="G673" s="0" t="n">
        <v>192.45</v>
      </c>
      <c r="H673" s="0" t="n">
        <v>197.76</v>
      </c>
      <c r="I673" s="11" t="n">
        <f aca="false">H673-G673</f>
        <v>5.31</v>
      </c>
      <c r="J673" s="5" t="n">
        <f aca="false">IF(G673=0,"",I673/G673)</f>
        <v>0.0275915822291504</v>
      </c>
      <c r="K673" s="0" t="n">
        <v>65.7</v>
      </c>
      <c r="L673" s="0" t="n">
        <v>71.17</v>
      </c>
      <c r="M673" s="11" t="s">
        <v>1332</v>
      </c>
      <c r="N673" s="12" t="n">
        <f aca="false">INT(E673)</f>
        <v>45748</v>
      </c>
      <c r="O673" s="12" t="n">
        <f aca="false">IF(F673="","",INT(F673))</f>
        <v>45751</v>
      </c>
    </row>
    <row r="674" customFormat="false" ht="15" hidden="false" customHeight="false" outlineLevel="0" collapsed="false">
      <c r="A674" s="0" t="s">
        <v>1389</v>
      </c>
      <c r="B674" s="0" t="s">
        <v>1390</v>
      </c>
      <c r="C674" s="0" t="s">
        <v>20</v>
      </c>
      <c r="D674" s="0" t="s">
        <v>42</v>
      </c>
      <c r="E674" s="10" t="n">
        <v>45748.7743055556</v>
      </c>
      <c r="F674" s="10" t="n">
        <v>45749.4090277778</v>
      </c>
      <c r="G674" s="0" t="n">
        <v>620.17</v>
      </c>
      <c r="H674" s="0" t="n">
        <v>629.4</v>
      </c>
      <c r="I674" s="11" t="n">
        <f aca="false">H674-G674</f>
        <v>9.23000000000002</v>
      </c>
      <c r="J674" s="5" t="n">
        <f aca="false">IF(G674=0,"",I674/G674)</f>
        <v>0.0148830159472403</v>
      </c>
      <c r="K674" s="0" t="n">
        <v>74.1</v>
      </c>
      <c r="L674" s="0" t="n">
        <v>15.23</v>
      </c>
      <c r="M674" s="11" t="s">
        <v>1332</v>
      </c>
      <c r="N674" s="12" t="n">
        <f aca="false">INT(E674)</f>
        <v>45748</v>
      </c>
      <c r="O674" s="12" t="n">
        <f aca="false">IF(F674="","",INT(F674))</f>
        <v>45749</v>
      </c>
    </row>
    <row r="675" customFormat="false" ht="15" hidden="false" customHeight="false" outlineLevel="0" collapsed="false">
      <c r="A675" s="0" t="s">
        <v>1391</v>
      </c>
      <c r="B675" s="0" t="s">
        <v>1392</v>
      </c>
      <c r="C675" s="0" t="s">
        <v>23</v>
      </c>
      <c r="D675" s="0" t="s">
        <v>42</v>
      </c>
      <c r="E675" s="10" t="n">
        <v>45749.2930555556</v>
      </c>
      <c r="F675" s="10" t="n">
        <v>45749.9270833333</v>
      </c>
      <c r="G675" s="0" t="n">
        <v>236.5</v>
      </c>
      <c r="H675" s="0" t="n">
        <v>214.16</v>
      </c>
      <c r="I675" s="11" t="n">
        <f aca="false">H675-G675</f>
        <v>-22.34</v>
      </c>
      <c r="J675" s="5" t="n">
        <f aca="false">IF(G675=0,"",I675/G675)</f>
        <v>-0.0944608879492601</v>
      </c>
      <c r="K675" s="0" t="n">
        <v>48.4</v>
      </c>
      <c r="L675" s="0" t="n">
        <v>15.22</v>
      </c>
      <c r="M675" s="11" t="s">
        <v>1332</v>
      </c>
      <c r="N675" s="12" t="n">
        <f aca="false">INT(E675)</f>
        <v>45749</v>
      </c>
      <c r="O675" s="12" t="n">
        <f aca="false">IF(F675="","",INT(F675))</f>
        <v>45749</v>
      </c>
    </row>
    <row r="676" customFormat="false" ht="15" hidden="false" customHeight="false" outlineLevel="0" collapsed="false">
      <c r="A676" s="0" t="s">
        <v>1393</v>
      </c>
      <c r="B676" s="0" t="s">
        <v>1394</v>
      </c>
      <c r="C676" s="0" t="s">
        <v>23</v>
      </c>
      <c r="D676" s="0" t="s">
        <v>42</v>
      </c>
      <c r="E676" s="10" t="n">
        <v>45749.3048611111</v>
      </c>
      <c r="F676" s="10" t="n">
        <v>45749.8222222222</v>
      </c>
      <c r="G676" s="0" t="n">
        <v>482.58</v>
      </c>
      <c r="H676" s="0" t="n">
        <v>493.57</v>
      </c>
      <c r="I676" s="11" t="n">
        <f aca="false">H676-G676</f>
        <v>10.99</v>
      </c>
      <c r="J676" s="5" t="n">
        <f aca="false">IF(G676=0,"",I676/G676)</f>
        <v>0.0227734261676821</v>
      </c>
      <c r="K676" s="0" t="n">
        <v>145.7</v>
      </c>
      <c r="L676" s="0" t="n">
        <v>12.42</v>
      </c>
      <c r="M676" s="11" t="s">
        <v>1332</v>
      </c>
      <c r="N676" s="12" t="n">
        <f aca="false">INT(E676)</f>
        <v>45749</v>
      </c>
      <c r="O676" s="12" t="n">
        <f aca="false">IF(F676="","",INT(F676))</f>
        <v>45749</v>
      </c>
    </row>
    <row r="677" customFormat="false" ht="15" hidden="false" customHeight="false" outlineLevel="0" collapsed="false">
      <c r="A677" s="0" t="s">
        <v>1395</v>
      </c>
      <c r="B677" s="0" t="s">
        <v>1396</v>
      </c>
      <c r="C677" s="0" t="s">
        <v>21</v>
      </c>
      <c r="D677" s="0" t="s">
        <v>42</v>
      </c>
      <c r="E677" s="10" t="n">
        <v>45749.33125</v>
      </c>
      <c r="F677" s="10" t="n">
        <v>45750.4340277778</v>
      </c>
      <c r="G677" s="0" t="n">
        <v>410.81</v>
      </c>
      <c r="H677" s="0" t="n">
        <v>396.1</v>
      </c>
      <c r="I677" s="11" t="n">
        <f aca="false">H677-G677</f>
        <v>-14.71</v>
      </c>
      <c r="J677" s="5" t="n">
        <f aca="false">IF(G677=0,"",I677/G677)</f>
        <v>-0.0358073075144227</v>
      </c>
      <c r="K677" s="0" t="n">
        <v>105.4</v>
      </c>
      <c r="L677" s="0" t="n">
        <v>26.47</v>
      </c>
      <c r="M677" s="11" t="s">
        <v>1332</v>
      </c>
      <c r="N677" s="12" t="n">
        <f aca="false">INT(E677)</f>
        <v>45749</v>
      </c>
      <c r="O677" s="12" t="n">
        <f aca="false">IF(F677="","",INT(F677))</f>
        <v>45750</v>
      </c>
    </row>
    <row r="678" customFormat="false" ht="15" hidden="false" customHeight="false" outlineLevel="0" collapsed="false">
      <c r="A678" s="0" t="s">
        <v>1397</v>
      </c>
      <c r="B678" s="0" t="s">
        <v>1398</v>
      </c>
      <c r="C678" s="0" t="s">
        <v>23</v>
      </c>
      <c r="D678" s="0" t="s">
        <v>42</v>
      </c>
      <c r="E678" s="10" t="n">
        <v>45749.3770833333</v>
      </c>
      <c r="F678" s="10" t="n">
        <v>45749.7726273148</v>
      </c>
      <c r="G678" s="0" t="n">
        <v>226.12</v>
      </c>
      <c r="H678" s="0" t="n">
        <v>231.24</v>
      </c>
      <c r="I678" s="11" t="n">
        <f aca="false">H678-G678</f>
        <v>5.12</v>
      </c>
      <c r="J678" s="5" t="n">
        <f aca="false">IF(G678=0,"",I678/G678)</f>
        <v>0.0226428445073413</v>
      </c>
      <c r="K678" s="0" t="n">
        <v>77.8</v>
      </c>
      <c r="L678" s="0" t="n">
        <v>9.49</v>
      </c>
      <c r="M678" s="11" t="s">
        <v>1332</v>
      </c>
      <c r="N678" s="12" t="n">
        <f aca="false">INT(E678)</f>
        <v>45749</v>
      </c>
      <c r="O678" s="12" t="n">
        <f aca="false">IF(F678="","",INT(F678))</f>
        <v>45749</v>
      </c>
    </row>
    <row r="679" customFormat="false" ht="15" hidden="false" customHeight="false" outlineLevel="0" collapsed="false">
      <c r="A679" s="0" t="s">
        <v>1399</v>
      </c>
      <c r="B679" s="0" t="s">
        <v>1400</v>
      </c>
      <c r="C679" s="0" t="s">
        <v>24</v>
      </c>
      <c r="D679" s="0" t="s">
        <v>42</v>
      </c>
      <c r="E679" s="10" t="n">
        <v>45749.39375</v>
      </c>
      <c r="F679" s="10" t="n">
        <v>45750.7180555556</v>
      </c>
      <c r="G679" s="0" t="n">
        <v>162.58</v>
      </c>
      <c r="H679" s="0" t="n">
        <v>167.03</v>
      </c>
      <c r="I679" s="11" t="n">
        <f aca="false">H679-G679</f>
        <v>4.44999999999999</v>
      </c>
      <c r="J679" s="5" t="n">
        <f aca="false">IF(G679=0,"",I679/G679)</f>
        <v>0.027371140361668</v>
      </c>
      <c r="K679" s="0" t="n">
        <v>62.2</v>
      </c>
      <c r="L679" s="0" t="n">
        <v>31.78</v>
      </c>
      <c r="M679" s="11" t="s">
        <v>1332</v>
      </c>
      <c r="N679" s="12" t="n">
        <f aca="false">INT(E679)</f>
        <v>45749</v>
      </c>
      <c r="O679" s="12" t="n">
        <f aca="false">IF(F679="","",INT(F679))</f>
        <v>45750</v>
      </c>
    </row>
    <row r="680" customFormat="false" ht="15" hidden="false" customHeight="false" outlineLevel="0" collapsed="false">
      <c r="A680" s="0" t="s">
        <v>1401</v>
      </c>
      <c r="B680" s="0" t="s">
        <v>1402</v>
      </c>
      <c r="C680" s="0" t="s">
        <v>23</v>
      </c>
      <c r="D680" s="0" t="s">
        <v>42</v>
      </c>
      <c r="E680" s="10" t="n">
        <v>45749.4</v>
      </c>
      <c r="F680" s="10" t="n">
        <v>45750.0902314815</v>
      </c>
      <c r="G680" s="0" t="n">
        <v>175.51</v>
      </c>
      <c r="H680" s="0" t="n">
        <v>173.62</v>
      </c>
      <c r="I680" s="11" t="n">
        <f aca="false">H680-G680</f>
        <v>-1.88999999999999</v>
      </c>
      <c r="J680" s="5" t="n">
        <f aca="false">IF(G680=0,"",I680/G680)</f>
        <v>-0.0107686171728106</v>
      </c>
      <c r="K680" s="0" t="n">
        <v>36.6</v>
      </c>
      <c r="L680" s="0" t="n">
        <v>16.57</v>
      </c>
      <c r="M680" s="11" t="s">
        <v>1332</v>
      </c>
      <c r="N680" s="12" t="n">
        <f aca="false">INT(E680)</f>
        <v>45749</v>
      </c>
      <c r="O680" s="12" t="n">
        <f aca="false">IF(F680="","",INT(F680))</f>
        <v>45750</v>
      </c>
    </row>
    <row r="681" customFormat="false" ht="15" hidden="false" customHeight="false" outlineLevel="0" collapsed="false">
      <c r="A681" s="0" t="s">
        <v>1403</v>
      </c>
      <c r="B681" s="0" t="s">
        <v>1404</v>
      </c>
      <c r="C681" s="0" t="s">
        <v>20</v>
      </c>
      <c r="D681" s="0" t="s">
        <v>42</v>
      </c>
      <c r="E681" s="10" t="n">
        <v>45749.4034722222</v>
      </c>
      <c r="F681" s="10" t="n">
        <v>45749.9607175926</v>
      </c>
      <c r="G681" s="0" t="n">
        <v>186.94</v>
      </c>
      <c r="H681" s="0" t="n">
        <v>184.45</v>
      </c>
      <c r="I681" s="11" t="n">
        <f aca="false">H681-G681</f>
        <v>-2.49000000000001</v>
      </c>
      <c r="J681" s="5" t="n">
        <f aca="false">IF(G681=0,"",I681/G681)</f>
        <v>-0.0133197817481545</v>
      </c>
      <c r="K681" s="0" t="n">
        <v>32.6</v>
      </c>
      <c r="L681" s="0" t="n">
        <v>13.37</v>
      </c>
      <c r="M681" s="11" t="s">
        <v>1332</v>
      </c>
      <c r="N681" s="12" t="n">
        <f aca="false">INT(E681)</f>
        <v>45749</v>
      </c>
      <c r="O681" s="12" t="n">
        <f aca="false">IF(F681="","",INT(F681))</f>
        <v>45749</v>
      </c>
    </row>
    <row r="682" customFormat="false" ht="15" hidden="false" customHeight="false" outlineLevel="0" collapsed="false">
      <c r="A682" s="0" t="s">
        <v>1405</v>
      </c>
      <c r="B682" s="0" t="s">
        <v>1406</v>
      </c>
      <c r="C682" s="0" t="s">
        <v>19</v>
      </c>
      <c r="D682" s="0" t="s">
        <v>42</v>
      </c>
      <c r="E682" s="10" t="n">
        <v>45749.4125</v>
      </c>
      <c r="F682" s="10" t="n">
        <v>45750.4729398148</v>
      </c>
      <c r="G682" s="0" t="n">
        <v>1602.31</v>
      </c>
      <c r="H682" s="0" t="n">
        <v>1618.48</v>
      </c>
      <c r="I682" s="11" t="n">
        <f aca="false">H682-G682</f>
        <v>16.1700000000001</v>
      </c>
      <c r="J682" s="5" t="n">
        <f aca="false">IF(G682=0,"",I682/G682)</f>
        <v>0.0100916801368025</v>
      </c>
      <c r="K682" s="0" t="n">
        <v>202.5</v>
      </c>
      <c r="L682" s="0" t="n">
        <v>25.45</v>
      </c>
      <c r="M682" s="11" t="s">
        <v>1332</v>
      </c>
      <c r="N682" s="12" t="n">
        <f aca="false">INT(E682)</f>
        <v>45749</v>
      </c>
      <c r="O682" s="12" t="n">
        <f aca="false">IF(F682="","",INT(F682))</f>
        <v>45750</v>
      </c>
    </row>
    <row r="683" customFormat="false" ht="15" hidden="false" customHeight="false" outlineLevel="0" collapsed="false">
      <c r="A683" s="0" t="s">
        <v>1407</v>
      </c>
      <c r="B683" s="0" t="s">
        <v>1408</v>
      </c>
      <c r="C683" s="0" t="s">
        <v>22</v>
      </c>
      <c r="D683" s="0" t="s">
        <v>42</v>
      </c>
      <c r="E683" s="10" t="n">
        <v>45749.4222222222</v>
      </c>
      <c r="F683" s="10" t="n">
        <v>45749.9097222222</v>
      </c>
      <c r="G683" s="0" t="n">
        <v>189.79</v>
      </c>
      <c r="H683" s="0" t="n">
        <v>186.43</v>
      </c>
      <c r="I683" s="11" t="n">
        <f aca="false">H683-G683</f>
        <v>-3.35999999999999</v>
      </c>
      <c r="J683" s="5" t="n">
        <f aca="false">IF(G683=0,"",I683/G683)</f>
        <v>-0.0177037778597396</v>
      </c>
      <c r="K683" s="0" t="n">
        <v>34</v>
      </c>
      <c r="L683" s="0" t="n">
        <v>11.7</v>
      </c>
      <c r="M683" s="11" t="s">
        <v>1332</v>
      </c>
      <c r="N683" s="12" t="n">
        <f aca="false">INT(E683)</f>
        <v>45749</v>
      </c>
      <c r="O683" s="12" t="n">
        <f aca="false">IF(F683="","",INT(F683))</f>
        <v>45749</v>
      </c>
    </row>
    <row r="684" customFormat="false" ht="15" hidden="false" customHeight="false" outlineLevel="0" collapsed="false">
      <c r="A684" s="0" t="s">
        <v>1409</v>
      </c>
      <c r="B684" s="0" t="s">
        <v>1410</v>
      </c>
      <c r="C684" s="0" t="s">
        <v>21</v>
      </c>
      <c r="D684" s="0" t="s">
        <v>42</v>
      </c>
      <c r="E684" s="10" t="n">
        <v>45749.4270833333</v>
      </c>
      <c r="F684" s="10" t="n">
        <v>45749.8912384259</v>
      </c>
      <c r="G684" s="0" t="n">
        <v>1837.6</v>
      </c>
      <c r="H684" s="0" t="n">
        <v>1866.23</v>
      </c>
      <c r="I684" s="11" t="n">
        <f aca="false">H684-G684</f>
        <v>28.6300000000001</v>
      </c>
      <c r="J684" s="5" t="n">
        <f aca="false">IF(G684=0,"",I684/G684)</f>
        <v>0.0155801044841098</v>
      </c>
      <c r="K684" s="0" t="n">
        <v>407.7</v>
      </c>
      <c r="L684" s="0" t="n">
        <v>11.14</v>
      </c>
      <c r="M684" s="11" t="s">
        <v>1332</v>
      </c>
      <c r="N684" s="12" t="n">
        <f aca="false">INT(E684)</f>
        <v>45749</v>
      </c>
      <c r="O684" s="12" t="n">
        <f aca="false">IF(F684="","",INT(F684))</f>
        <v>45749</v>
      </c>
    </row>
    <row r="685" customFormat="false" ht="15" hidden="false" customHeight="false" outlineLevel="0" collapsed="false">
      <c r="A685" s="0" t="s">
        <v>1411</v>
      </c>
      <c r="B685" s="0" t="s">
        <v>1412</v>
      </c>
      <c r="C685" s="0" t="s">
        <v>21</v>
      </c>
      <c r="D685" s="0" t="s">
        <v>42</v>
      </c>
      <c r="E685" s="10" t="n">
        <v>45749.4527777778</v>
      </c>
      <c r="F685" s="10" t="n">
        <v>45750.2409722222</v>
      </c>
      <c r="G685" s="0" t="n">
        <v>73.23</v>
      </c>
      <c r="H685" s="0" t="n">
        <v>74.46</v>
      </c>
      <c r="I685" s="11" t="n">
        <f aca="false">H685-G685</f>
        <v>1.22999999999999</v>
      </c>
      <c r="J685" s="5" t="n">
        <f aca="false">IF(G685=0,"",I685/G685)</f>
        <v>0.0167963949201146</v>
      </c>
      <c r="K685" s="0" t="n">
        <v>17.7</v>
      </c>
      <c r="L685" s="0" t="n">
        <v>18.92</v>
      </c>
      <c r="M685" s="11" t="s">
        <v>1332</v>
      </c>
      <c r="N685" s="12" t="n">
        <f aca="false">INT(E685)</f>
        <v>45749</v>
      </c>
      <c r="O685" s="12" t="n">
        <f aca="false">IF(F685="","",INT(F685))</f>
        <v>45750</v>
      </c>
    </row>
    <row r="686" customFormat="false" ht="15" hidden="false" customHeight="false" outlineLevel="0" collapsed="false">
      <c r="A686" s="0" t="s">
        <v>1413</v>
      </c>
      <c r="B686" s="0" t="s">
        <v>1414</v>
      </c>
      <c r="C686" s="0" t="s">
        <v>22</v>
      </c>
      <c r="D686" s="0" t="s">
        <v>42</v>
      </c>
      <c r="E686" s="10" t="n">
        <v>45749.4618055556</v>
      </c>
      <c r="F686" s="10" t="n">
        <v>45751.6392708333</v>
      </c>
      <c r="G686" s="0" t="n">
        <v>942.63</v>
      </c>
      <c r="H686" s="0" t="n">
        <v>935.75</v>
      </c>
      <c r="I686" s="11" t="n">
        <f aca="false">H686-G686</f>
        <v>-6.88</v>
      </c>
      <c r="J686" s="5" t="n">
        <f aca="false">IF(G686=0,"",I686/G686)</f>
        <v>-0.00729872802690345</v>
      </c>
      <c r="K686" s="0" t="n">
        <v>172.6</v>
      </c>
      <c r="L686" s="0" t="n">
        <v>52.26</v>
      </c>
      <c r="M686" s="11" t="s">
        <v>1332</v>
      </c>
      <c r="N686" s="12" t="n">
        <f aca="false">INT(E686)</f>
        <v>45749</v>
      </c>
      <c r="O686" s="12" t="n">
        <f aca="false">IF(F686="","",INT(F686))</f>
        <v>45751</v>
      </c>
    </row>
    <row r="687" customFormat="false" ht="15" hidden="false" customHeight="false" outlineLevel="0" collapsed="false">
      <c r="A687" s="0" t="s">
        <v>1415</v>
      </c>
      <c r="B687" s="0" t="s">
        <v>1416</v>
      </c>
      <c r="C687" s="0" t="s">
        <v>22</v>
      </c>
      <c r="D687" s="0" t="s">
        <v>42</v>
      </c>
      <c r="E687" s="10" t="n">
        <v>45749.4625</v>
      </c>
      <c r="F687" s="10" t="n">
        <v>45749.7748611111</v>
      </c>
      <c r="G687" s="0" t="n">
        <v>797.3</v>
      </c>
      <c r="H687" s="0" t="n">
        <v>785.61</v>
      </c>
      <c r="I687" s="11" t="n">
        <f aca="false">H687-G687</f>
        <v>-11.6899999999999</v>
      </c>
      <c r="J687" s="5" t="n">
        <f aca="false">IF(G687=0,"",I687/G687)</f>
        <v>-0.0146619841966637</v>
      </c>
      <c r="K687" s="0" t="n">
        <v>143.5</v>
      </c>
      <c r="L687" s="0" t="n">
        <v>7.5</v>
      </c>
      <c r="M687" s="11" t="s">
        <v>1332</v>
      </c>
      <c r="N687" s="12" t="n">
        <f aca="false">INT(E687)</f>
        <v>45749</v>
      </c>
      <c r="O687" s="12" t="n">
        <f aca="false">IF(F687="","",INT(F687))</f>
        <v>45749</v>
      </c>
    </row>
    <row r="688" customFormat="false" ht="15" hidden="false" customHeight="false" outlineLevel="0" collapsed="false">
      <c r="A688" s="0" t="s">
        <v>1417</v>
      </c>
      <c r="B688" s="0" t="s">
        <v>1418</v>
      </c>
      <c r="C688" s="0" t="s">
        <v>20</v>
      </c>
      <c r="D688" s="0" t="s">
        <v>42</v>
      </c>
      <c r="E688" s="10" t="n">
        <v>45749.4833333333</v>
      </c>
      <c r="F688" s="10" t="n">
        <v>45750.2152777778</v>
      </c>
      <c r="G688" s="0" t="n">
        <v>3199.27</v>
      </c>
      <c r="H688" s="0" t="n">
        <v>3255.73</v>
      </c>
      <c r="I688" s="11" t="n">
        <f aca="false">H688-G688</f>
        <v>56.46</v>
      </c>
      <c r="J688" s="5" t="n">
        <f aca="false">IF(G688=0,"",I688/G688)</f>
        <v>0.0176477758988769</v>
      </c>
      <c r="K688" s="0" t="n">
        <v>492.6</v>
      </c>
      <c r="L688" s="0" t="n">
        <v>17.57</v>
      </c>
      <c r="M688" s="11" t="s">
        <v>1332</v>
      </c>
      <c r="N688" s="12" t="n">
        <f aca="false">INT(E688)</f>
        <v>45749</v>
      </c>
      <c r="O688" s="12" t="n">
        <f aca="false">IF(F688="","",INT(F688))</f>
        <v>45750</v>
      </c>
    </row>
    <row r="689" customFormat="false" ht="15" hidden="false" customHeight="false" outlineLevel="0" collapsed="false">
      <c r="A689" s="0" t="s">
        <v>1419</v>
      </c>
      <c r="B689" s="0" t="s">
        <v>1420</v>
      </c>
      <c r="C689" s="0" t="s">
        <v>23</v>
      </c>
      <c r="D689" s="0" t="s">
        <v>42</v>
      </c>
      <c r="E689" s="10" t="n">
        <v>45749.5027777778</v>
      </c>
      <c r="F689" s="10" t="n">
        <v>45753.2111111111</v>
      </c>
      <c r="G689" s="0" t="n">
        <v>405.14</v>
      </c>
      <c r="H689" s="0" t="n">
        <v>401.83</v>
      </c>
      <c r="I689" s="11" t="n">
        <f aca="false">H689-G689</f>
        <v>-3.31</v>
      </c>
      <c r="J689" s="5" t="n">
        <f aca="false">IF(G689=0,"",I689/G689)</f>
        <v>-0.00817001530335193</v>
      </c>
      <c r="K689" s="0" t="n">
        <v>85.1</v>
      </c>
      <c r="L689" s="0" t="n">
        <v>59.93</v>
      </c>
      <c r="M689" s="11" t="s">
        <v>1332</v>
      </c>
      <c r="N689" s="12" t="n">
        <f aca="false">INT(E689)</f>
        <v>45749</v>
      </c>
      <c r="O689" s="12" t="n">
        <f aca="false">IF(F689="","",INT(F689))</f>
        <v>45753</v>
      </c>
    </row>
    <row r="690" customFormat="false" ht="15" hidden="false" customHeight="false" outlineLevel="0" collapsed="false">
      <c r="A690" s="0" t="s">
        <v>1421</v>
      </c>
      <c r="B690" s="0" t="s">
        <v>1422</v>
      </c>
      <c r="C690" s="0" t="s">
        <v>21</v>
      </c>
      <c r="D690" s="0" t="s">
        <v>42</v>
      </c>
      <c r="E690" s="10" t="n">
        <v>45749.5333333333</v>
      </c>
      <c r="F690" s="10" t="n">
        <v>45749.6547800926</v>
      </c>
      <c r="G690" s="0" t="n">
        <v>248.65</v>
      </c>
      <c r="H690" s="0" t="n">
        <v>250.95</v>
      </c>
      <c r="I690" s="11" t="n">
        <f aca="false">H690-G690</f>
        <v>2.29999999999998</v>
      </c>
      <c r="J690" s="5" t="n">
        <f aca="false">IF(G690=0,"",I690/G690)</f>
        <v>0.00924994972853402</v>
      </c>
      <c r="K690" s="0" t="n">
        <v>68.5</v>
      </c>
      <c r="L690" s="0" t="n">
        <v>2.91</v>
      </c>
      <c r="M690" s="11" t="s">
        <v>1332</v>
      </c>
      <c r="N690" s="12" t="n">
        <f aca="false">INT(E690)</f>
        <v>45749</v>
      </c>
      <c r="O690" s="12" t="n">
        <f aca="false">IF(F690="","",INT(F690))</f>
        <v>45749</v>
      </c>
    </row>
    <row r="691" customFormat="false" ht="15" hidden="false" customHeight="false" outlineLevel="0" collapsed="false">
      <c r="A691" s="0" t="s">
        <v>1423</v>
      </c>
      <c r="B691" s="0" t="s">
        <v>1424</v>
      </c>
      <c r="C691" s="0" t="s">
        <v>24</v>
      </c>
      <c r="D691" s="0" t="s">
        <v>42</v>
      </c>
      <c r="E691" s="10" t="n">
        <v>45749.5395833333</v>
      </c>
      <c r="F691" s="10" t="n">
        <v>45750.7479166667</v>
      </c>
      <c r="G691" s="0" t="n">
        <v>124.03</v>
      </c>
      <c r="H691" s="0" t="n">
        <v>123.34</v>
      </c>
      <c r="I691" s="11" t="n">
        <f aca="false">H691-G691</f>
        <v>-0.689999999999998</v>
      </c>
      <c r="J691" s="5" t="n">
        <f aca="false">IF(G691=0,"",I691/G691)</f>
        <v>-0.00556317020075786</v>
      </c>
      <c r="K691" s="0" t="n">
        <v>48</v>
      </c>
      <c r="L691" s="0" t="n">
        <v>29</v>
      </c>
      <c r="M691" s="11" t="s">
        <v>1332</v>
      </c>
      <c r="N691" s="12" t="n">
        <f aca="false">INT(E691)</f>
        <v>45749</v>
      </c>
      <c r="O691" s="12" t="n">
        <f aca="false">IF(F691="","",INT(F691))</f>
        <v>45750</v>
      </c>
    </row>
    <row r="692" customFormat="false" ht="15" hidden="false" customHeight="false" outlineLevel="0" collapsed="false">
      <c r="A692" s="0" t="s">
        <v>1425</v>
      </c>
      <c r="B692" s="0" t="s">
        <v>1426</v>
      </c>
      <c r="C692" s="0" t="s">
        <v>19</v>
      </c>
      <c r="D692" s="0" t="s">
        <v>42</v>
      </c>
      <c r="E692" s="10" t="n">
        <v>45749.5569444444</v>
      </c>
      <c r="F692" s="10" t="n">
        <v>45750.0765856481</v>
      </c>
      <c r="G692" s="0" t="n">
        <v>453.25</v>
      </c>
      <c r="H692" s="0" t="n">
        <v>463.14</v>
      </c>
      <c r="I692" s="11" t="n">
        <f aca="false">H692-G692</f>
        <v>9.88999999999999</v>
      </c>
      <c r="J692" s="5" t="n">
        <f aca="false">IF(G692=0,"",I692/G692)</f>
        <v>0.0218201875344732</v>
      </c>
      <c r="K692" s="0" t="n">
        <v>84.3</v>
      </c>
      <c r="L692" s="0" t="n">
        <v>12.47</v>
      </c>
      <c r="M692" s="11" t="s">
        <v>1332</v>
      </c>
      <c r="N692" s="12" t="n">
        <f aca="false">INT(E692)</f>
        <v>45749</v>
      </c>
      <c r="O692" s="12" t="n">
        <f aca="false">IF(F692="","",INT(F692))</f>
        <v>45750</v>
      </c>
    </row>
    <row r="693" customFormat="false" ht="15" hidden="false" customHeight="false" outlineLevel="0" collapsed="false">
      <c r="A693" s="0" t="s">
        <v>1427</v>
      </c>
      <c r="B693" s="0" t="s">
        <v>1428</v>
      </c>
      <c r="C693" s="0" t="s">
        <v>20</v>
      </c>
      <c r="D693" s="0" t="s">
        <v>48</v>
      </c>
      <c r="E693" s="10" t="n">
        <v>45749.5805555556</v>
      </c>
      <c r="F693" s="10"/>
      <c r="G693" s="0" t="n">
        <v>949.8</v>
      </c>
      <c r="H693" s="0" t="n">
        <v>976.77</v>
      </c>
      <c r="I693" s="11" t="n">
        <f aca="false">H693-G693</f>
        <v>26.97</v>
      </c>
      <c r="J693" s="5" t="n">
        <f aca="false">IF(G693=0,"",I693/G693)</f>
        <v>0.0283954516740367</v>
      </c>
      <c r="K693" s="0" t="n">
        <v>166.7</v>
      </c>
      <c r="M693" s="11" t="s">
        <v>1332</v>
      </c>
      <c r="N693" s="12" t="n">
        <f aca="false">INT(E693)</f>
        <v>45749</v>
      </c>
      <c r="O693" s="12" t="str">
        <f aca="false">IF(F693="","",INT(F693))</f>
        <v/>
      </c>
    </row>
    <row r="694" customFormat="false" ht="15" hidden="false" customHeight="false" outlineLevel="0" collapsed="false">
      <c r="A694" s="0" t="s">
        <v>1429</v>
      </c>
      <c r="B694" s="0" t="s">
        <v>1430</v>
      </c>
      <c r="C694" s="0" t="s">
        <v>21</v>
      </c>
      <c r="D694" s="0" t="s">
        <v>42</v>
      </c>
      <c r="E694" s="10" t="n">
        <v>45749.6208333333</v>
      </c>
      <c r="F694" s="10" t="n">
        <v>45750.3645833333</v>
      </c>
      <c r="G694" s="0" t="n">
        <v>579.23</v>
      </c>
      <c r="H694" s="0" t="n">
        <v>567.45</v>
      </c>
      <c r="I694" s="11" t="n">
        <f aca="false">H694-G694</f>
        <v>-11.78</v>
      </c>
      <c r="J694" s="5" t="n">
        <f aca="false">IF(G694=0,"",I694/G694)</f>
        <v>-0.0203373444055038</v>
      </c>
      <c r="K694" s="0" t="n">
        <v>76.3</v>
      </c>
      <c r="L694" s="0" t="n">
        <v>17.85</v>
      </c>
      <c r="M694" s="11" t="s">
        <v>1332</v>
      </c>
      <c r="N694" s="12" t="n">
        <f aca="false">INT(E694)</f>
        <v>45749</v>
      </c>
      <c r="O694" s="12" t="n">
        <f aca="false">IF(F694="","",INT(F694))</f>
        <v>45750</v>
      </c>
    </row>
    <row r="695" customFormat="false" ht="15" hidden="false" customHeight="false" outlineLevel="0" collapsed="false">
      <c r="A695" s="0" t="s">
        <v>1431</v>
      </c>
      <c r="B695" s="0" t="s">
        <v>1432</v>
      </c>
      <c r="C695" s="0" t="s">
        <v>19</v>
      </c>
      <c r="D695" s="0" t="s">
        <v>42</v>
      </c>
      <c r="E695" s="10" t="n">
        <v>45749.6576388889</v>
      </c>
      <c r="F695" s="10" t="n">
        <v>45750.2868055556</v>
      </c>
      <c r="G695" s="0" t="n">
        <v>223.96</v>
      </c>
      <c r="H695" s="0" t="n">
        <v>230.68</v>
      </c>
      <c r="I695" s="11" t="n">
        <f aca="false">H695-G695</f>
        <v>6.72</v>
      </c>
      <c r="J695" s="5" t="n">
        <f aca="false">IF(G695=0,"",I695/G695)</f>
        <v>0.0300053580996606</v>
      </c>
      <c r="K695" s="0" t="n">
        <v>40.7</v>
      </c>
      <c r="L695" s="0" t="n">
        <v>15.1</v>
      </c>
      <c r="M695" s="11" t="s">
        <v>1332</v>
      </c>
      <c r="N695" s="12" t="n">
        <f aca="false">INT(E695)</f>
        <v>45749</v>
      </c>
      <c r="O695" s="12" t="n">
        <f aca="false">IF(F695="","",INT(F695))</f>
        <v>45750</v>
      </c>
    </row>
    <row r="696" customFormat="false" ht="15" hidden="false" customHeight="false" outlineLevel="0" collapsed="false">
      <c r="A696" s="0" t="s">
        <v>1433</v>
      </c>
      <c r="B696" s="0" t="s">
        <v>1434</v>
      </c>
      <c r="C696" s="0" t="s">
        <v>19</v>
      </c>
      <c r="D696" s="0" t="s">
        <v>42</v>
      </c>
      <c r="E696" s="10" t="n">
        <v>45749.6701388889</v>
      </c>
      <c r="F696" s="10" t="n">
        <v>45750.2743055556</v>
      </c>
      <c r="G696" s="0" t="n">
        <v>333.15</v>
      </c>
      <c r="H696" s="0" t="n">
        <v>334.2</v>
      </c>
      <c r="I696" s="11" t="n">
        <f aca="false">H696-G696</f>
        <v>1.05000000000001</v>
      </c>
      <c r="J696" s="5" t="n">
        <f aca="false">IF(G696=0,"",I696/G696)</f>
        <v>0.0031517334533994</v>
      </c>
      <c r="K696" s="0" t="n">
        <v>47.6</v>
      </c>
      <c r="L696" s="0" t="n">
        <v>14.5</v>
      </c>
      <c r="M696" s="11" t="s">
        <v>1332</v>
      </c>
      <c r="N696" s="12" t="n">
        <f aca="false">INT(E696)</f>
        <v>45749</v>
      </c>
      <c r="O696" s="12" t="n">
        <f aca="false">IF(F696="","",INT(F696))</f>
        <v>45750</v>
      </c>
    </row>
    <row r="697" customFormat="false" ht="15" hidden="false" customHeight="false" outlineLevel="0" collapsed="false">
      <c r="A697" s="0" t="s">
        <v>1435</v>
      </c>
      <c r="B697" s="0" t="s">
        <v>1436</v>
      </c>
      <c r="C697" s="0" t="s">
        <v>23</v>
      </c>
      <c r="D697" s="0" t="s">
        <v>42</v>
      </c>
      <c r="E697" s="10" t="n">
        <v>45749.6805555556</v>
      </c>
      <c r="F697" s="10" t="n">
        <v>45751.2965972222</v>
      </c>
      <c r="G697" s="0" t="n">
        <v>346.29</v>
      </c>
      <c r="H697" s="0" t="n">
        <v>345.23</v>
      </c>
      <c r="I697" s="11" t="n">
        <f aca="false">H697-G697</f>
        <v>-1.06</v>
      </c>
      <c r="J697" s="5" t="n">
        <f aca="false">IF(G697=0,"",I697/G697)</f>
        <v>-0.00306101822172169</v>
      </c>
      <c r="K697" s="0" t="n">
        <v>87.3</v>
      </c>
      <c r="L697" s="0" t="n">
        <v>38.78</v>
      </c>
      <c r="M697" s="11" t="s">
        <v>1332</v>
      </c>
      <c r="N697" s="12" t="n">
        <f aca="false">INT(E697)</f>
        <v>45749</v>
      </c>
      <c r="O697" s="12" t="n">
        <f aca="false">IF(F697="","",INT(F697))</f>
        <v>45751</v>
      </c>
    </row>
    <row r="698" customFormat="false" ht="15" hidden="false" customHeight="false" outlineLevel="0" collapsed="false">
      <c r="A698" s="0" t="s">
        <v>1437</v>
      </c>
      <c r="B698" s="0" t="s">
        <v>1438</v>
      </c>
      <c r="C698" s="0" t="s">
        <v>24</v>
      </c>
      <c r="D698" s="0" t="s">
        <v>42</v>
      </c>
      <c r="E698" s="10" t="n">
        <v>45749.6868055556</v>
      </c>
      <c r="F698" s="10" t="n">
        <v>45752.3026736111</v>
      </c>
      <c r="G698" s="0" t="n">
        <v>240.13</v>
      </c>
      <c r="H698" s="0" t="n">
        <v>239.2</v>
      </c>
      <c r="I698" s="11" t="n">
        <f aca="false">H698-G698</f>
        <v>-0.930000000000007</v>
      </c>
      <c r="J698" s="5" t="n">
        <f aca="false">IF(G698=0,"",I698/G698)</f>
        <v>-0.00387290217798695</v>
      </c>
      <c r="K698" s="0" t="n">
        <v>81</v>
      </c>
      <c r="L698" s="0" t="n">
        <v>55.52</v>
      </c>
      <c r="M698" s="11" t="s">
        <v>1332</v>
      </c>
      <c r="N698" s="12" t="n">
        <f aca="false">INT(E698)</f>
        <v>45749</v>
      </c>
      <c r="O698" s="12" t="n">
        <f aca="false">IF(F698="","",INT(F698))</f>
        <v>45752</v>
      </c>
    </row>
    <row r="699" customFormat="false" ht="15" hidden="false" customHeight="false" outlineLevel="0" collapsed="false">
      <c r="A699" s="0" t="s">
        <v>1439</v>
      </c>
      <c r="B699" s="0" t="s">
        <v>1440</v>
      </c>
      <c r="C699" s="0" t="s">
        <v>24</v>
      </c>
      <c r="D699" s="0" t="s">
        <v>42</v>
      </c>
      <c r="E699" s="10" t="n">
        <v>45749.7069444444</v>
      </c>
      <c r="F699" s="10" t="n">
        <v>45752.4721990741</v>
      </c>
      <c r="G699" s="0" t="n">
        <v>705.18</v>
      </c>
      <c r="H699" s="0" t="n">
        <v>696.18</v>
      </c>
      <c r="I699" s="11" t="n">
        <f aca="false">H699-G699</f>
        <v>-9</v>
      </c>
      <c r="J699" s="5" t="n">
        <f aca="false">IF(G699=0,"",I699/G699)</f>
        <v>-0.012762698885391</v>
      </c>
      <c r="K699" s="0" t="n">
        <v>145.1</v>
      </c>
      <c r="L699" s="0" t="n">
        <v>55.03</v>
      </c>
      <c r="M699" s="11" t="s">
        <v>1332</v>
      </c>
      <c r="N699" s="12" t="n">
        <f aca="false">INT(E699)</f>
        <v>45749</v>
      </c>
      <c r="O699" s="12" t="n">
        <f aca="false">IF(F699="","",INT(F699))</f>
        <v>45752</v>
      </c>
    </row>
    <row r="700" customFormat="false" ht="15" hidden="false" customHeight="false" outlineLevel="0" collapsed="false">
      <c r="A700" s="0" t="s">
        <v>1441</v>
      </c>
      <c r="B700" s="0" t="s">
        <v>1442</v>
      </c>
      <c r="C700" s="0" t="s">
        <v>19</v>
      </c>
      <c r="D700" s="0" t="s">
        <v>42</v>
      </c>
      <c r="E700" s="10" t="n">
        <v>45749.7090277778</v>
      </c>
      <c r="F700" s="10" t="n">
        <v>45751.33125</v>
      </c>
      <c r="G700" s="0" t="n">
        <v>212.07</v>
      </c>
      <c r="H700" s="0" t="n">
        <v>211.59</v>
      </c>
      <c r="I700" s="11" t="n">
        <f aca="false">H700-G700</f>
        <v>-0.47999999999999</v>
      </c>
      <c r="J700" s="5" t="n">
        <f aca="false">IF(G700=0,"",I700/G700)</f>
        <v>-0.00226340359315316</v>
      </c>
      <c r="K700" s="0" t="n">
        <v>37.6</v>
      </c>
      <c r="L700" s="0" t="n">
        <v>38.93</v>
      </c>
      <c r="M700" s="11" t="s">
        <v>1332</v>
      </c>
      <c r="N700" s="12" t="n">
        <f aca="false">INT(E700)</f>
        <v>45749</v>
      </c>
      <c r="O700" s="12" t="n">
        <f aca="false">IF(F700="","",INT(F700))</f>
        <v>45751</v>
      </c>
    </row>
    <row r="701" customFormat="false" ht="15" hidden="false" customHeight="false" outlineLevel="0" collapsed="false">
      <c r="A701" s="0" t="s">
        <v>1443</v>
      </c>
      <c r="B701" s="0" t="s">
        <v>1444</v>
      </c>
      <c r="C701" s="0" t="s">
        <v>20</v>
      </c>
      <c r="D701" s="0" t="s">
        <v>42</v>
      </c>
      <c r="E701" s="10" t="n">
        <v>45749.7125</v>
      </c>
      <c r="F701" s="10" t="n">
        <v>45752.335162037</v>
      </c>
      <c r="G701" s="0" t="n">
        <v>205.71</v>
      </c>
      <c r="H701" s="0" t="n">
        <v>208.28</v>
      </c>
      <c r="I701" s="11" t="n">
        <f aca="false">H701-G701</f>
        <v>2.56999999999999</v>
      </c>
      <c r="J701" s="5" t="n">
        <f aca="false">IF(G701=0,"",I701/G701)</f>
        <v>0.0124933158329687</v>
      </c>
      <c r="K701" s="0" t="n">
        <v>29.4</v>
      </c>
      <c r="L701" s="0" t="n">
        <v>54.9</v>
      </c>
      <c r="M701" s="11" t="s">
        <v>1332</v>
      </c>
      <c r="N701" s="12" t="n">
        <f aca="false">INT(E701)</f>
        <v>45749</v>
      </c>
      <c r="O701" s="12" t="n">
        <f aca="false">IF(F701="","",INT(F701))</f>
        <v>45752</v>
      </c>
    </row>
    <row r="702" customFormat="false" ht="15" hidden="false" customHeight="false" outlineLevel="0" collapsed="false">
      <c r="A702" s="0" t="s">
        <v>1445</v>
      </c>
      <c r="B702" s="0" t="s">
        <v>1446</v>
      </c>
      <c r="C702" s="0" t="s">
        <v>23</v>
      </c>
      <c r="D702" s="0" t="s">
        <v>42</v>
      </c>
      <c r="E702" s="10" t="n">
        <v>45749.7243055556</v>
      </c>
      <c r="F702" s="10" t="n">
        <v>45750.8875</v>
      </c>
      <c r="G702" s="0" t="n">
        <v>420.61</v>
      </c>
      <c r="H702" s="0" t="n">
        <v>316.09</v>
      </c>
      <c r="I702" s="11" t="n">
        <f aca="false">H702-G702</f>
        <v>-104.52</v>
      </c>
      <c r="J702" s="5" t="n">
        <f aca="false">IF(G702=0,"",I702/G702)</f>
        <v>-0.248496231663536</v>
      </c>
      <c r="K702" s="0" t="n">
        <v>96</v>
      </c>
      <c r="L702" s="0" t="n">
        <v>27.92</v>
      </c>
      <c r="M702" s="11" t="s">
        <v>1332</v>
      </c>
      <c r="N702" s="12" t="n">
        <f aca="false">INT(E702)</f>
        <v>45749</v>
      </c>
      <c r="O702" s="12" t="n">
        <f aca="false">IF(F702="","",INT(F702))</f>
        <v>45750</v>
      </c>
    </row>
    <row r="703" customFormat="false" ht="15" hidden="false" customHeight="false" outlineLevel="0" collapsed="false">
      <c r="A703" s="0" t="s">
        <v>1447</v>
      </c>
      <c r="B703" s="0" t="s">
        <v>1448</v>
      </c>
      <c r="C703" s="0" t="s">
        <v>21</v>
      </c>
      <c r="D703" s="0" t="s">
        <v>48</v>
      </c>
      <c r="E703" s="10" t="n">
        <v>45749.7548611111</v>
      </c>
      <c r="F703" s="10"/>
      <c r="G703" s="0" t="n">
        <v>213.87</v>
      </c>
      <c r="H703" s="0" t="n">
        <v>212.9</v>
      </c>
      <c r="I703" s="11" t="n">
        <f aca="false">H703-G703</f>
        <v>-0.969999999999999</v>
      </c>
      <c r="J703" s="5" t="n">
        <f aca="false">IF(G703=0,"",I703/G703)</f>
        <v>-0.00453546546967784</v>
      </c>
      <c r="K703" s="0" t="n">
        <v>39.3</v>
      </c>
      <c r="M703" s="11" t="s">
        <v>1332</v>
      </c>
      <c r="N703" s="12" t="n">
        <f aca="false">INT(E703)</f>
        <v>45749</v>
      </c>
      <c r="O703" s="12" t="str">
        <f aca="false">IF(F703="","",INT(F703))</f>
        <v/>
      </c>
    </row>
    <row r="704" customFormat="false" ht="15" hidden="false" customHeight="false" outlineLevel="0" collapsed="false">
      <c r="A704" s="0" t="s">
        <v>1449</v>
      </c>
      <c r="B704" s="0" t="s">
        <v>1450</v>
      </c>
      <c r="C704" s="0" t="s">
        <v>19</v>
      </c>
      <c r="D704" s="0" t="s">
        <v>42</v>
      </c>
      <c r="E704" s="10" t="n">
        <v>45749.7548611111</v>
      </c>
      <c r="F704" s="10" t="n">
        <v>45750.7051388889</v>
      </c>
      <c r="G704" s="0" t="n">
        <v>24.41</v>
      </c>
      <c r="H704" s="0" t="n">
        <v>24.31</v>
      </c>
      <c r="I704" s="11" t="n">
        <f aca="false">H704-G704</f>
        <v>-0.100000000000001</v>
      </c>
      <c r="J704" s="5" t="n">
        <f aca="false">IF(G704=0,"",I704/G704)</f>
        <v>-0.00409668168783291</v>
      </c>
      <c r="K704" s="0" t="n">
        <v>3.7</v>
      </c>
      <c r="L704" s="0" t="n">
        <v>22.81</v>
      </c>
      <c r="M704" s="11" t="s">
        <v>1332</v>
      </c>
      <c r="N704" s="12" t="n">
        <f aca="false">INT(E704)</f>
        <v>45749</v>
      </c>
      <c r="O704" s="12" t="n">
        <f aca="false">IF(F704="","",INT(F704))</f>
        <v>45750</v>
      </c>
    </row>
    <row r="705" customFormat="false" ht="15" hidden="false" customHeight="false" outlineLevel="0" collapsed="false">
      <c r="A705" s="0" t="s">
        <v>1451</v>
      </c>
      <c r="B705" s="0" t="s">
        <v>1452</v>
      </c>
      <c r="C705" s="0" t="s">
        <v>22</v>
      </c>
      <c r="D705" s="0" t="s">
        <v>42</v>
      </c>
      <c r="E705" s="10" t="n">
        <v>45749.7611111111</v>
      </c>
      <c r="F705" s="10" t="n">
        <v>45750.0916666667</v>
      </c>
      <c r="G705" s="0" t="n">
        <v>357.5</v>
      </c>
      <c r="H705" s="0" t="n">
        <v>362.86</v>
      </c>
      <c r="I705" s="11" t="n">
        <f aca="false">H705-G705</f>
        <v>5.36000000000001</v>
      </c>
      <c r="J705" s="5" t="n">
        <f aca="false">IF(G705=0,"",I705/G705)</f>
        <v>0.014993006993007</v>
      </c>
      <c r="K705" s="0" t="n">
        <v>45</v>
      </c>
      <c r="L705" s="0" t="n">
        <v>7.93</v>
      </c>
      <c r="M705" s="11" t="s">
        <v>1332</v>
      </c>
      <c r="N705" s="12" t="n">
        <f aca="false">INT(E705)</f>
        <v>45749</v>
      </c>
      <c r="O705" s="12" t="n">
        <f aca="false">IF(F705="","",INT(F705))</f>
        <v>45750</v>
      </c>
    </row>
    <row r="706" customFormat="false" ht="15" hidden="false" customHeight="false" outlineLevel="0" collapsed="false">
      <c r="A706" s="0" t="s">
        <v>1453</v>
      </c>
      <c r="B706" s="0" t="s">
        <v>1454</v>
      </c>
      <c r="C706" s="0" t="s">
        <v>21</v>
      </c>
      <c r="D706" s="0" t="s">
        <v>42</v>
      </c>
      <c r="E706" s="10" t="n">
        <v>45750.3340277778</v>
      </c>
      <c r="F706" s="10" t="n">
        <v>45750.7805555556</v>
      </c>
      <c r="G706" s="0" t="n">
        <v>381.86</v>
      </c>
      <c r="H706" s="0" t="n">
        <v>385.17</v>
      </c>
      <c r="I706" s="11" t="n">
        <f aca="false">H706-G706</f>
        <v>3.31</v>
      </c>
      <c r="J706" s="5" t="n">
        <f aca="false">IF(G706=0,"",I706/G706)</f>
        <v>0.00866809825590531</v>
      </c>
      <c r="K706" s="0" t="n">
        <v>47.2</v>
      </c>
      <c r="L706" s="0" t="n">
        <v>10.72</v>
      </c>
      <c r="M706" s="11" t="s">
        <v>1332</v>
      </c>
      <c r="N706" s="12" t="n">
        <f aca="false">INT(E706)</f>
        <v>45750</v>
      </c>
      <c r="O706" s="12" t="n">
        <f aca="false">IF(F706="","",INT(F706))</f>
        <v>45750</v>
      </c>
    </row>
    <row r="707" customFormat="false" ht="15" hidden="false" customHeight="false" outlineLevel="0" collapsed="false">
      <c r="A707" s="0" t="s">
        <v>1455</v>
      </c>
      <c r="B707" s="0" t="s">
        <v>1456</v>
      </c>
      <c r="C707" s="0" t="s">
        <v>22</v>
      </c>
      <c r="D707" s="0" t="s">
        <v>42</v>
      </c>
      <c r="E707" s="10" t="n">
        <v>45750.3486111111</v>
      </c>
      <c r="F707" s="10" t="n">
        <v>45750.9868055556</v>
      </c>
      <c r="G707" s="0" t="n">
        <v>350.41</v>
      </c>
      <c r="H707" s="0" t="n">
        <v>341.25</v>
      </c>
      <c r="I707" s="11" t="n">
        <f aca="false">H707-G707</f>
        <v>-9.16000000000003</v>
      </c>
      <c r="J707" s="5" t="n">
        <f aca="false">IF(G707=0,"",I707/G707)</f>
        <v>-0.0261408064838333</v>
      </c>
      <c r="K707" s="0" t="n">
        <v>40.5</v>
      </c>
      <c r="L707" s="0" t="n">
        <v>15.32</v>
      </c>
      <c r="M707" s="11" t="s">
        <v>1332</v>
      </c>
      <c r="N707" s="12" t="n">
        <f aca="false">INT(E707)</f>
        <v>45750</v>
      </c>
      <c r="O707" s="12" t="n">
        <f aca="false">IF(F707="","",INT(F707))</f>
        <v>45750</v>
      </c>
    </row>
    <row r="708" customFormat="false" ht="15" hidden="false" customHeight="false" outlineLevel="0" collapsed="false">
      <c r="A708" s="0" t="s">
        <v>1457</v>
      </c>
      <c r="B708" s="0" t="s">
        <v>1458</v>
      </c>
      <c r="C708" s="0" t="s">
        <v>19</v>
      </c>
      <c r="D708" s="0" t="s">
        <v>42</v>
      </c>
      <c r="E708" s="10" t="n">
        <v>45750.3652777778</v>
      </c>
      <c r="F708" s="10" t="n">
        <v>45751.6277777778</v>
      </c>
      <c r="G708" s="0" t="n">
        <v>969.59</v>
      </c>
      <c r="H708" s="0" t="n">
        <v>967.59</v>
      </c>
      <c r="I708" s="11" t="n">
        <f aca="false">H708-G708</f>
        <v>-2</v>
      </c>
      <c r="J708" s="5" t="n">
        <f aca="false">IF(G708=0,"",I708/G708)</f>
        <v>-0.00206272754463227</v>
      </c>
      <c r="K708" s="0" t="n">
        <v>183.6</v>
      </c>
      <c r="L708" s="0" t="n">
        <v>30.3</v>
      </c>
      <c r="M708" s="11" t="s">
        <v>1332</v>
      </c>
      <c r="N708" s="12" t="n">
        <f aca="false">INT(E708)</f>
        <v>45750</v>
      </c>
      <c r="O708" s="12" t="n">
        <f aca="false">IF(F708="","",INT(F708))</f>
        <v>45751</v>
      </c>
    </row>
    <row r="709" customFormat="false" ht="15" hidden="false" customHeight="false" outlineLevel="0" collapsed="false">
      <c r="A709" s="0" t="s">
        <v>1459</v>
      </c>
      <c r="B709" s="0" t="s">
        <v>1460</v>
      </c>
      <c r="C709" s="0" t="s">
        <v>23</v>
      </c>
      <c r="D709" s="0" t="s">
        <v>42</v>
      </c>
      <c r="E709" s="10" t="n">
        <v>45750.3694444444</v>
      </c>
      <c r="F709" s="10" t="n">
        <v>45751.1715277778</v>
      </c>
      <c r="G709" s="0" t="n">
        <v>859.68</v>
      </c>
      <c r="H709" s="0" t="n">
        <v>836.99</v>
      </c>
      <c r="I709" s="11" t="n">
        <f aca="false">H709-G709</f>
        <v>-22.6899999999999</v>
      </c>
      <c r="J709" s="5" t="n">
        <f aca="false">IF(G709=0,"",I709/G709)</f>
        <v>-0.026393541782989</v>
      </c>
      <c r="K709" s="0" t="n">
        <v>370.2</v>
      </c>
      <c r="L709" s="0" t="n">
        <v>19.25</v>
      </c>
      <c r="M709" s="11" t="s">
        <v>1332</v>
      </c>
      <c r="N709" s="12" t="n">
        <f aca="false">INT(E709)</f>
        <v>45750</v>
      </c>
      <c r="O709" s="12" t="n">
        <f aca="false">IF(F709="","",INT(F709))</f>
        <v>45751</v>
      </c>
    </row>
    <row r="710" customFormat="false" ht="15" hidden="false" customHeight="false" outlineLevel="0" collapsed="false">
      <c r="A710" s="0" t="s">
        <v>1461</v>
      </c>
      <c r="B710" s="0" t="s">
        <v>1462</v>
      </c>
      <c r="C710" s="0" t="s">
        <v>21</v>
      </c>
      <c r="D710" s="0" t="s">
        <v>42</v>
      </c>
      <c r="E710" s="10" t="n">
        <v>45750.4048611111</v>
      </c>
      <c r="F710" s="10" t="n">
        <v>45751.9979166667</v>
      </c>
      <c r="G710" s="0" t="n">
        <v>489.53</v>
      </c>
      <c r="H710" s="0" t="n">
        <v>490.8</v>
      </c>
      <c r="I710" s="11" t="n">
        <f aca="false">H710-G710</f>
        <v>1.27000000000004</v>
      </c>
      <c r="J710" s="5" t="n">
        <f aca="false">IF(G710=0,"",I710/G710)</f>
        <v>0.00259432516903977</v>
      </c>
      <c r="K710" s="0" t="n">
        <v>97.6</v>
      </c>
      <c r="L710" s="0" t="n">
        <v>38.23</v>
      </c>
      <c r="M710" s="11" t="s">
        <v>1332</v>
      </c>
      <c r="N710" s="12" t="n">
        <f aca="false">INT(E710)</f>
        <v>45750</v>
      </c>
      <c r="O710" s="12" t="n">
        <f aca="false">IF(F710="","",INT(F710))</f>
        <v>45751</v>
      </c>
    </row>
    <row r="711" customFormat="false" ht="15" hidden="false" customHeight="false" outlineLevel="0" collapsed="false">
      <c r="A711" s="0" t="s">
        <v>1463</v>
      </c>
      <c r="B711" s="0" t="s">
        <v>1464</v>
      </c>
      <c r="C711" s="0" t="s">
        <v>23</v>
      </c>
      <c r="D711" s="0" t="s">
        <v>42</v>
      </c>
      <c r="E711" s="10" t="n">
        <v>45750.4263888889</v>
      </c>
      <c r="F711" s="10" t="n">
        <v>45750.8680555556</v>
      </c>
      <c r="G711" s="0" t="n">
        <v>281.21</v>
      </c>
      <c r="H711" s="0" t="n">
        <v>291.23</v>
      </c>
      <c r="I711" s="11" t="n">
        <f aca="false">H711-G711</f>
        <v>10.02</v>
      </c>
      <c r="J711" s="5" t="n">
        <f aca="false">IF(G711=0,"",I711/G711)</f>
        <v>0.0356317342910993</v>
      </c>
      <c r="K711" s="0" t="n">
        <v>106.3</v>
      </c>
      <c r="L711" s="0" t="n">
        <v>10.6</v>
      </c>
      <c r="M711" s="11" t="s">
        <v>1332</v>
      </c>
      <c r="N711" s="12" t="n">
        <f aca="false">INT(E711)</f>
        <v>45750</v>
      </c>
      <c r="O711" s="12" t="n">
        <f aca="false">IF(F711="","",INT(F711))</f>
        <v>45750</v>
      </c>
    </row>
    <row r="712" customFormat="false" ht="15" hidden="false" customHeight="false" outlineLevel="0" collapsed="false">
      <c r="A712" s="0" t="s">
        <v>1465</v>
      </c>
      <c r="B712" s="0" t="s">
        <v>1466</v>
      </c>
      <c r="C712" s="0" t="s">
        <v>21</v>
      </c>
      <c r="D712" s="0" t="s">
        <v>42</v>
      </c>
      <c r="E712" s="10" t="n">
        <v>45750.4472222222</v>
      </c>
      <c r="F712" s="10" t="n">
        <v>45751.3041666667</v>
      </c>
      <c r="G712" s="0" t="n">
        <v>169.14</v>
      </c>
      <c r="H712" s="0" t="n">
        <v>169.96</v>
      </c>
      <c r="I712" s="11" t="n">
        <f aca="false">H712-G712</f>
        <v>0.820000000000022</v>
      </c>
      <c r="J712" s="5" t="n">
        <f aca="false">IF(G712=0,"",I712/G712)</f>
        <v>0.00484805486579178</v>
      </c>
      <c r="K712" s="0" t="n">
        <v>36.8</v>
      </c>
      <c r="L712" s="0" t="n">
        <v>20.57</v>
      </c>
      <c r="M712" s="11" t="s">
        <v>1332</v>
      </c>
      <c r="N712" s="12" t="n">
        <f aca="false">INT(E712)</f>
        <v>45750</v>
      </c>
      <c r="O712" s="12" t="n">
        <f aca="false">IF(F712="","",INT(F712))</f>
        <v>45751</v>
      </c>
    </row>
    <row r="713" customFormat="false" ht="15" hidden="false" customHeight="false" outlineLevel="0" collapsed="false">
      <c r="A713" s="0" t="s">
        <v>1467</v>
      </c>
      <c r="B713" s="0" t="s">
        <v>1468</v>
      </c>
      <c r="C713" s="0" t="s">
        <v>20</v>
      </c>
      <c r="D713" s="0" t="s">
        <v>42</v>
      </c>
      <c r="E713" s="10" t="n">
        <v>45750.4708333333</v>
      </c>
      <c r="F713" s="10" t="n">
        <v>45751.0243055556</v>
      </c>
      <c r="G713" s="0" t="n">
        <v>697.8</v>
      </c>
      <c r="H713" s="0" t="n">
        <v>685.02</v>
      </c>
      <c r="I713" s="11" t="n">
        <f aca="false">H713-G713</f>
        <v>-12.78</v>
      </c>
      <c r="J713" s="5" t="n">
        <f aca="false">IF(G713=0,"",I713/G713)</f>
        <v>-0.0183147033533964</v>
      </c>
      <c r="K713" s="0" t="n">
        <v>96.5</v>
      </c>
      <c r="L713" s="0" t="n">
        <v>13.28</v>
      </c>
      <c r="M713" s="11" t="s">
        <v>1332</v>
      </c>
      <c r="N713" s="12" t="n">
        <f aca="false">INT(E713)</f>
        <v>45750</v>
      </c>
      <c r="O713" s="12" t="n">
        <f aca="false">IF(F713="","",INT(F713))</f>
        <v>45751</v>
      </c>
    </row>
    <row r="714" customFormat="false" ht="15" hidden="false" customHeight="false" outlineLevel="0" collapsed="false">
      <c r="A714" s="0" t="s">
        <v>1469</v>
      </c>
      <c r="B714" s="0" t="s">
        <v>1470</v>
      </c>
      <c r="C714" s="0" t="s">
        <v>21</v>
      </c>
      <c r="D714" s="0" t="s">
        <v>42</v>
      </c>
      <c r="E714" s="10" t="n">
        <v>45750.4715277778</v>
      </c>
      <c r="F714" s="10" t="n">
        <v>45751.1912847222</v>
      </c>
      <c r="G714" s="0" t="n">
        <v>177.38</v>
      </c>
      <c r="H714" s="0" t="n">
        <v>180.88</v>
      </c>
      <c r="I714" s="11" t="n">
        <f aca="false">H714-G714</f>
        <v>3.5</v>
      </c>
      <c r="J714" s="5" t="n">
        <f aca="false">IF(G714=0,"",I714/G714)</f>
        <v>0.0197316495659037</v>
      </c>
      <c r="K714" s="0" t="n">
        <v>27.4</v>
      </c>
      <c r="L714" s="0" t="n">
        <v>17.27</v>
      </c>
      <c r="M714" s="11" t="s">
        <v>1332</v>
      </c>
      <c r="N714" s="12" t="n">
        <f aca="false">INT(E714)</f>
        <v>45750</v>
      </c>
      <c r="O714" s="12" t="n">
        <f aca="false">IF(F714="","",INT(F714))</f>
        <v>45751</v>
      </c>
    </row>
    <row r="715" customFormat="false" ht="15" hidden="false" customHeight="false" outlineLevel="0" collapsed="false">
      <c r="A715" s="0" t="s">
        <v>1471</v>
      </c>
      <c r="B715" s="0" t="s">
        <v>1472</v>
      </c>
      <c r="C715" s="0" t="s">
        <v>21</v>
      </c>
      <c r="D715" s="0" t="s">
        <v>42</v>
      </c>
      <c r="E715" s="10" t="n">
        <v>45750.4756944445</v>
      </c>
      <c r="F715" s="10" t="n">
        <v>45751.4736111111</v>
      </c>
      <c r="G715" s="0" t="n">
        <v>278.89</v>
      </c>
      <c r="H715" s="0" t="n">
        <v>272.98</v>
      </c>
      <c r="I715" s="11" t="n">
        <f aca="false">H715-G715</f>
        <v>-5.90999999999997</v>
      </c>
      <c r="J715" s="5" t="n">
        <f aca="false">IF(G715=0,"",I715/G715)</f>
        <v>-0.0211911506328659</v>
      </c>
      <c r="K715" s="0" t="n">
        <v>74.6</v>
      </c>
      <c r="L715" s="0" t="n">
        <v>23.95</v>
      </c>
      <c r="M715" s="11" t="s">
        <v>1332</v>
      </c>
      <c r="N715" s="12" t="n">
        <f aca="false">INT(E715)</f>
        <v>45750</v>
      </c>
      <c r="O715" s="12" t="n">
        <f aca="false">IF(F715="","",INT(F715))</f>
        <v>45751</v>
      </c>
    </row>
    <row r="716" customFormat="false" ht="15" hidden="false" customHeight="false" outlineLevel="0" collapsed="false">
      <c r="A716" s="0" t="s">
        <v>1473</v>
      </c>
      <c r="B716" s="0" t="s">
        <v>1474</v>
      </c>
      <c r="C716" s="0" t="s">
        <v>21</v>
      </c>
      <c r="D716" s="0" t="s">
        <v>42</v>
      </c>
      <c r="E716" s="10" t="n">
        <v>45750.55</v>
      </c>
      <c r="F716" s="10" t="n">
        <v>45751.3091550926</v>
      </c>
      <c r="G716" s="0" t="n">
        <v>476.83</v>
      </c>
      <c r="H716" s="0" t="n">
        <v>470.43</v>
      </c>
      <c r="I716" s="11" t="n">
        <f aca="false">H716-G716</f>
        <v>-6.39999999999998</v>
      </c>
      <c r="J716" s="5" t="n">
        <f aca="false">IF(G716=0,"",I716/G716)</f>
        <v>-0.0134219742885305</v>
      </c>
      <c r="K716" s="0" t="n">
        <v>66.4</v>
      </c>
      <c r="L716" s="0" t="n">
        <v>18.22</v>
      </c>
      <c r="M716" s="11" t="s">
        <v>1332</v>
      </c>
      <c r="N716" s="12" t="n">
        <f aca="false">INT(E716)</f>
        <v>45750</v>
      </c>
      <c r="O716" s="12" t="n">
        <f aca="false">IF(F716="","",INT(F716))</f>
        <v>45751</v>
      </c>
    </row>
    <row r="717" customFormat="false" ht="15" hidden="false" customHeight="false" outlineLevel="0" collapsed="false">
      <c r="A717" s="0" t="s">
        <v>1475</v>
      </c>
      <c r="B717" s="0" t="s">
        <v>1476</v>
      </c>
      <c r="C717" s="0" t="s">
        <v>21</v>
      </c>
      <c r="D717" s="0" t="s">
        <v>42</v>
      </c>
      <c r="E717" s="10" t="n">
        <v>45750.5506944444</v>
      </c>
      <c r="F717" s="10" t="n">
        <v>45751.0277777778</v>
      </c>
      <c r="G717" s="0" t="n">
        <v>371.12</v>
      </c>
      <c r="H717" s="0" t="n">
        <v>362.29</v>
      </c>
      <c r="I717" s="11" t="n">
        <f aca="false">H717-G717</f>
        <v>-8.82999999999998</v>
      </c>
      <c r="J717" s="5" t="n">
        <f aca="false">IF(G717=0,"",I717/G717)</f>
        <v>-0.0237928432851907</v>
      </c>
      <c r="K717" s="0" t="n">
        <v>102.2</v>
      </c>
      <c r="L717" s="0" t="n">
        <v>11.45</v>
      </c>
      <c r="M717" s="11" t="s">
        <v>1332</v>
      </c>
      <c r="N717" s="12" t="n">
        <f aca="false">INT(E717)</f>
        <v>45750</v>
      </c>
      <c r="O717" s="12" t="n">
        <f aca="false">IF(F717="","",INT(F717))</f>
        <v>45751</v>
      </c>
    </row>
    <row r="718" customFormat="false" ht="15" hidden="false" customHeight="false" outlineLevel="0" collapsed="false">
      <c r="A718" s="0" t="s">
        <v>1477</v>
      </c>
      <c r="B718" s="0" t="s">
        <v>1478</v>
      </c>
      <c r="C718" s="0" t="s">
        <v>21</v>
      </c>
      <c r="D718" s="0" t="s">
        <v>42</v>
      </c>
      <c r="E718" s="10" t="n">
        <v>45750.5534722222</v>
      </c>
      <c r="F718" s="10" t="n">
        <v>45750.9097222222</v>
      </c>
      <c r="G718" s="0" t="n">
        <v>185.9</v>
      </c>
      <c r="H718" s="0" t="n">
        <v>187.64</v>
      </c>
      <c r="I718" s="11" t="n">
        <f aca="false">H718-G718</f>
        <v>1.73999999999998</v>
      </c>
      <c r="J718" s="5" t="n">
        <f aca="false">IF(G718=0,"",I718/G718)</f>
        <v>0.00935987089833233</v>
      </c>
      <c r="K718" s="0" t="n">
        <v>28.2</v>
      </c>
      <c r="L718" s="0" t="n">
        <v>8.55</v>
      </c>
      <c r="M718" s="11" t="s">
        <v>1332</v>
      </c>
      <c r="N718" s="12" t="n">
        <f aca="false">INT(E718)</f>
        <v>45750</v>
      </c>
      <c r="O718" s="12" t="n">
        <f aca="false">IF(F718="","",INT(F718))</f>
        <v>45750</v>
      </c>
    </row>
    <row r="719" customFormat="false" ht="15" hidden="false" customHeight="false" outlineLevel="0" collapsed="false">
      <c r="A719" s="0" t="s">
        <v>1479</v>
      </c>
      <c r="B719" s="0" t="s">
        <v>1480</v>
      </c>
      <c r="C719" s="0" t="s">
        <v>21</v>
      </c>
      <c r="D719" s="0" t="s">
        <v>42</v>
      </c>
      <c r="E719" s="10" t="n">
        <v>45750.5631944445</v>
      </c>
      <c r="F719" s="10" t="n">
        <v>45751.326087963</v>
      </c>
      <c r="G719" s="0" t="n">
        <v>406.78</v>
      </c>
      <c r="H719" s="0" t="n">
        <v>405.25</v>
      </c>
      <c r="I719" s="11" t="n">
        <f aca="false">H719-G719</f>
        <v>-1.52999999999997</v>
      </c>
      <c r="J719" s="5" t="n">
        <f aca="false">IF(G719=0,"",I719/G719)</f>
        <v>-0.00376124686562755</v>
      </c>
      <c r="K719" s="0" t="n">
        <v>94.7</v>
      </c>
      <c r="L719" s="0" t="n">
        <v>18.31</v>
      </c>
      <c r="M719" s="11" t="s">
        <v>1332</v>
      </c>
      <c r="N719" s="12" t="n">
        <f aca="false">INT(E719)</f>
        <v>45750</v>
      </c>
      <c r="O719" s="12" t="n">
        <f aca="false">IF(F719="","",INT(F719))</f>
        <v>45751</v>
      </c>
    </row>
    <row r="720" customFormat="false" ht="15" hidden="false" customHeight="false" outlineLevel="0" collapsed="false">
      <c r="A720" s="0" t="s">
        <v>1481</v>
      </c>
      <c r="B720" s="0" t="s">
        <v>1482</v>
      </c>
      <c r="C720" s="0" t="s">
        <v>23</v>
      </c>
      <c r="D720" s="0" t="s">
        <v>42</v>
      </c>
      <c r="E720" s="10" t="n">
        <v>45750.6194444444</v>
      </c>
      <c r="F720" s="10" t="n">
        <v>45751.2298611111</v>
      </c>
      <c r="G720" s="0" t="n">
        <v>530.07</v>
      </c>
      <c r="H720" s="0" t="n">
        <v>516.91</v>
      </c>
      <c r="I720" s="11" t="n">
        <f aca="false">H720-G720</f>
        <v>-13.1600000000001</v>
      </c>
      <c r="J720" s="5" t="n">
        <f aca="false">IF(G720=0,"",I720/G720)</f>
        <v>-0.0248269096534422</v>
      </c>
      <c r="K720" s="0" t="n">
        <v>203.1</v>
      </c>
      <c r="L720" s="0" t="n">
        <v>14.65</v>
      </c>
      <c r="M720" s="11" t="s">
        <v>1332</v>
      </c>
      <c r="N720" s="12" t="n">
        <f aca="false">INT(E720)</f>
        <v>45750</v>
      </c>
      <c r="O720" s="12" t="n">
        <f aca="false">IF(F720="","",INT(F720))</f>
        <v>45751</v>
      </c>
    </row>
    <row r="721" customFormat="false" ht="15" hidden="false" customHeight="false" outlineLevel="0" collapsed="false">
      <c r="A721" s="0" t="s">
        <v>1483</v>
      </c>
      <c r="B721" s="0" t="s">
        <v>1484</v>
      </c>
      <c r="C721" s="0" t="s">
        <v>20</v>
      </c>
      <c r="D721" s="0" t="s">
        <v>42</v>
      </c>
      <c r="E721" s="10" t="n">
        <v>45750.6208333333</v>
      </c>
      <c r="F721" s="10" t="n">
        <v>45751.6</v>
      </c>
      <c r="G721" s="0" t="n">
        <v>238.89</v>
      </c>
      <c r="H721" s="0" t="n">
        <v>244.8</v>
      </c>
      <c r="I721" s="11" t="n">
        <f aca="false">H721-G721</f>
        <v>5.91000000000003</v>
      </c>
      <c r="J721" s="5" t="n">
        <f aca="false">IF(G721=0,"",I721/G721)</f>
        <v>0.0247394198166521</v>
      </c>
      <c r="K721" s="0" t="n">
        <v>39.6</v>
      </c>
      <c r="L721" s="0" t="n">
        <v>23.5</v>
      </c>
      <c r="M721" s="11" t="s">
        <v>1332</v>
      </c>
      <c r="N721" s="12" t="n">
        <f aca="false">INT(E721)</f>
        <v>45750</v>
      </c>
      <c r="O721" s="12" t="n">
        <f aca="false">IF(F721="","",INT(F721))</f>
        <v>45751</v>
      </c>
    </row>
    <row r="722" customFormat="false" ht="15" hidden="false" customHeight="false" outlineLevel="0" collapsed="false">
      <c r="A722" s="0" t="s">
        <v>1485</v>
      </c>
      <c r="B722" s="0" t="s">
        <v>1486</v>
      </c>
      <c r="C722" s="0" t="s">
        <v>23</v>
      </c>
      <c r="D722" s="0" t="s">
        <v>42</v>
      </c>
      <c r="E722" s="10" t="n">
        <v>45750.6256944445</v>
      </c>
      <c r="F722" s="10" t="n">
        <v>45751.582037037</v>
      </c>
      <c r="G722" s="0" t="n">
        <v>428.14</v>
      </c>
      <c r="H722" s="0" t="n">
        <v>435.06</v>
      </c>
      <c r="I722" s="11" t="n">
        <f aca="false">H722-G722</f>
        <v>6.92000000000002</v>
      </c>
      <c r="J722" s="5" t="n">
        <f aca="false">IF(G722=0,"",I722/G722)</f>
        <v>0.0161629373569394</v>
      </c>
      <c r="K722" s="0" t="n">
        <v>175.4</v>
      </c>
      <c r="L722" s="0" t="n">
        <v>22.95</v>
      </c>
      <c r="M722" s="11" t="s">
        <v>1332</v>
      </c>
      <c r="N722" s="12" t="n">
        <f aca="false">INT(E722)</f>
        <v>45750</v>
      </c>
      <c r="O722" s="12" t="n">
        <f aca="false">IF(F722="","",INT(F722))</f>
        <v>45751</v>
      </c>
    </row>
    <row r="723" customFormat="false" ht="15" hidden="false" customHeight="false" outlineLevel="0" collapsed="false">
      <c r="A723" s="0" t="s">
        <v>1487</v>
      </c>
      <c r="B723" s="0" t="s">
        <v>1488</v>
      </c>
      <c r="C723" s="0" t="s">
        <v>19</v>
      </c>
      <c r="D723" s="0" t="s">
        <v>42</v>
      </c>
      <c r="E723" s="10" t="n">
        <v>45750.6770833333</v>
      </c>
      <c r="F723" s="10" t="n">
        <v>45751.3263888889</v>
      </c>
      <c r="G723" s="0" t="n">
        <v>141.86</v>
      </c>
      <c r="H723" s="0" t="n">
        <v>143.68</v>
      </c>
      <c r="I723" s="11" t="n">
        <f aca="false">H723-G723</f>
        <v>1.81999999999999</v>
      </c>
      <c r="J723" s="5" t="n">
        <f aca="false">IF(G723=0,"",I723/G723)</f>
        <v>0.0128295502608205</v>
      </c>
      <c r="K723" s="0" t="n">
        <v>27.3</v>
      </c>
      <c r="L723" s="0" t="n">
        <v>15.58</v>
      </c>
      <c r="M723" s="11" t="s">
        <v>1332</v>
      </c>
      <c r="N723" s="12" t="n">
        <f aca="false">INT(E723)</f>
        <v>45750</v>
      </c>
      <c r="O723" s="12" t="n">
        <f aca="false">IF(F723="","",INT(F723))</f>
        <v>45751</v>
      </c>
    </row>
    <row r="724" customFormat="false" ht="15" hidden="false" customHeight="false" outlineLevel="0" collapsed="false">
      <c r="A724" s="0" t="s">
        <v>1489</v>
      </c>
      <c r="B724" s="0" t="s">
        <v>1490</v>
      </c>
      <c r="C724" s="0" t="s">
        <v>24</v>
      </c>
      <c r="D724" s="0" t="s">
        <v>42</v>
      </c>
      <c r="E724" s="10" t="n">
        <v>45750.7090277778</v>
      </c>
      <c r="F724" s="10" t="n">
        <v>45753.3632060185</v>
      </c>
      <c r="G724" s="0" t="n">
        <v>380.42</v>
      </c>
      <c r="H724" s="0" t="n">
        <v>369.52</v>
      </c>
      <c r="I724" s="11" t="n">
        <f aca="false">H724-G724</f>
        <v>-10.9</v>
      </c>
      <c r="J724" s="5" t="n">
        <f aca="false">IF(G724=0,"",I724/G724)</f>
        <v>-0.0286525419273436</v>
      </c>
      <c r="K724" s="0" t="n">
        <v>110.3</v>
      </c>
      <c r="L724" s="0" t="n">
        <v>30.98</v>
      </c>
      <c r="M724" s="11" t="s">
        <v>1332</v>
      </c>
      <c r="N724" s="12" t="n">
        <f aca="false">INT(E724)</f>
        <v>45750</v>
      </c>
      <c r="O724" s="12" t="n">
        <f aca="false">IF(F724="","",INT(F724))</f>
        <v>45753</v>
      </c>
    </row>
    <row r="725" customFormat="false" ht="15" hidden="false" customHeight="false" outlineLevel="0" collapsed="false">
      <c r="A725" s="0" t="s">
        <v>1491</v>
      </c>
      <c r="B725" s="0" t="s">
        <v>1492</v>
      </c>
      <c r="C725" s="0" t="s">
        <v>21</v>
      </c>
      <c r="D725" s="0" t="s">
        <v>42</v>
      </c>
      <c r="E725" s="10" t="n">
        <v>45750.7347222222</v>
      </c>
      <c r="F725" s="10" t="n">
        <v>45751.6722222222</v>
      </c>
      <c r="G725" s="0" t="n">
        <v>1442.3</v>
      </c>
      <c r="H725" s="0" t="n">
        <v>1472.27</v>
      </c>
      <c r="I725" s="11" t="n">
        <f aca="false">H725-G725</f>
        <v>29.97</v>
      </c>
      <c r="J725" s="5" t="n">
        <f aca="false">IF(G725=0,"",I725/G725)</f>
        <v>0.0207793108229911</v>
      </c>
      <c r="K725" s="0" t="n">
        <v>355.6</v>
      </c>
      <c r="L725" s="0" t="n">
        <v>22.5</v>
      </c>
      <c r="M725" s="11" t="s">
        <v>1332</v>
      </c>
      <c r="N725" s="12" t="n">
        <f aca="false">INT(E725)</f>
        <v>45750</v>
      </c>
      <c r="O725" s="12" t="n">
        <f aca="false">IF(F725="","",INT(F725))</f>
        <v>45751</v>
      </c>
    </row>
    <row r="726" customFormat="false" ht="15" hidden="false" customHeight="false" outlineLevel="0" collapsed="false">
      <c r="A726" s="0" t="s">
        <v>1493</v>
      </c>
      <c r="B726" s="0" t="s">
        <v>1494</v>
      </c>
      <c r="C726" s="0" t="s">
        <v>19</v>
      </c>
      <c r="D726" s="0" t="s">
        <v>42</v>
      </c>
      <c r="E726" s="10" t="n">
        <v>45750.7361111111</v>
      </c>
      <c r="F726" s="10" t="n">
        <v>45751.6934259259</v>
      </c>
      <c r="G726" s="0" t="n">
        <v>328.92</v>
      </c>
      <c r="H726" s="0" t="n">
        <v>317.48</v>
      </c>
      <c r="I726" s="11" t="n">
        <f aca="false">H726-G726</f>
        <v>-11.44</v>
      </c>
      <c r="J726" s="5" t="n">
        <f aca="false">IF(G726=0,"",I726/G726)</f>
        <v>-0.0347804937370789</v>
      </c>
      <c r="K726" s="0" t="n">
        <v>32.6</v>
      </c>
      <c r="L726" s="0" t="n">
        <v>22.98</v>
      </c>
      <c r="M726" s="11" t="s">
        <v>1332</v>
      </c>
      <c r="N726" s="12" t="n">
        <f aca="false">INT(E726)</f>
        <v>45750</v>
      </c>
      <c r="O726" s="12" t="n">
        <f aca="false">IF(F726="","",INT(F726))</f>
        <v>45751</v>
      </c>
    </row>
    <row r="727" customFormat="false" ht="15" hidden="false" customHeight="false" outlineLevel="0" collapsed="false">
      <c r="A727" s="0" t="s">
        <v>1495</v>
      </c>
      <c r="B727" s="0" t="s">
        <v>1496</v>
      </c>
      <c r="C727" s="0" t="s">
        <v>19</v>
      </c>
      <c r="D727" s="0" t="s">
        <v>42</v>
      </c>
      <c r="E727" s="10" t="n">
        <v>45750.7486111111</v>
      </c>
      <c r="F727" s="10" t="n">
        <v>45751.5944328704</v>
      </c>
      <c r="G727" s="0" t="n">
        <v>511.72</v>
      </c>
      <c r="H727" s="0" t="n">
        <v>506.13</v>
      </c>
      <c r="I727" s="11" t="n">
        <f aca="false">H727-G727</f>
        <v>-5.59000000000003</v>
      </c>
      <c r="J727" s="5" t="n">
        <f aca="false">IF(G727=0,"",I727/G727)</f>
        <v>-0.0109239427812085</v>
      </c>
      <c r="K727" s="0" t="n">
        <v>51.7</v>
      </c>
      <c r="L727" s="0" t="n">
        <v>20.3</v>
      </c>
      <c r="M727" s="11" t="s">
        <v>1332</v>
      </c>
      <c r="N727" s="12" t="n">
        <f aca="false">INT(E727)</f>
        <v>45750</v>
      </c>
      <c r="O727" s="12" t="n">
        <f aca="false">IF(F727="","",INT(F727))</f>
        <v>45751</v>
      </c>
    </row>
    <row r="728" customFormat="false" ht="15" hidden="false" customHeight="false" outlineLevel="0" collapsed="false">
      <c r="A728" s="0" t="s">
        <v>1497</v>
      </c>
      <c r="B728" s="0" t="s">
        <v>1498</v>
      </c>
      <c r="C728" s="0" t="s">
        <v>20</v>
      </c>
      <c r="D728" s="0" t="s">
        <v>42</v>
      </c>
      <c r="E728" s="10" t="n">
        <v>45750.7506944445</v>
      </c>
      <c r="F728" s="10" t="n">
        <v>45752.0791666667</v>
      </c>
      <c r="G728" s="0" t="n">
        <v>598.6</v>
      </c>
      <c r="H728" s="0" t="n">
        <v>591.9</v>
      </c>
      <c r="I728" s="11" t="n">
        <f aca="false">H728-G728</f>
        <v>-6.70000000000005</v>
      </c>
      <c r="J728" s="5" t="n">
        <f aca="false">IF(G728=0,"",I728/G728)</f>
        <v>-0.0111927831607084</v>
      </c>
      <c r="K728" s="0" t="n">
        <v>109.3</v>
      </c>
      <c r="L728" s="0" t="n">
        <v>29.98</v>
      </c>
      <c r="M728" s="11" t="s">
        <v>1332</v>
      </c>
      <c r="N728" s="12" t="n">
        <f aca="false">INT(E728)</f>
        <v>45750</v>
      </c>
      <c r="O728" s="12" t="n">
        <f aca="false">IF(F728="","",INT(F728))</f>
        <v>45752</v>
      </c>
    </row>
    <row r="729" customFormat="false" ht="15" hidden="false" customHeight="false" outlineLevel="0" collapsed="false">
      <c r="A729" s="0" t="s">
        <v>1499</v>
      </c>
      <c r="B729" s="0" t="s">
        <v>1500</v>
      </c>
      <c r="C729" s="0" t="s">
        <v>23</v>
      </c>
      <c r="D729" s="0" t="s">
        <v>42</v>
      </c>
      <c r="E729" s="10" t="n">
        <v>45750.7652777778</v>
      </c>
      <c r="F729" s="10" t="n">
        <v>45751.3159722222</v>
      </c>
      <c r="G729" s="0" t="n">
        <v>324.7</v>
      </c>
      <c r="H729" s="0" t="n">
        <v>314.03</v>
      </c>
      <c r="I729" s="11" t="n">
        <f aca="false">H729-G729</f>
        <v>-10.67</v>
      </c>
      <c r="J729" s="5" t="n">
        <f aca="false">IF(G729=0,"",I729/G729)</f>
        <v>-0.0328611025562058</v>
      </c>
      <c r="K729" s="0" t="n">
        <v>84.5</v>
      </c>
      <c r="L729" s="0" t="n">
        <v>13.22</v>
      </c>
      <c r="M729" s="11" t="s">
        <v>1332</v>
      </c>
      <c r="N729" s="12" t="n">
        <f aca="false">INT(E729)</f>
        <v>45750</v>
      </c>
      <c r="O729" s="12" t="n">
        <f aca="false">IF(F729="","",INT(F729))</f>
        <v>45751</v>
      </c>
    </row>
    <row r="730" customFormat="false" ht="15" hidden="false" customHeight="false" outlineLevel="0" collapsed="false">
      <c r="A730" s="0" t="s">
        <v>1501</v>
      </c>
      <c r="B730" s="0" t="s">
        <v>1502</v>
      </c>
      <c r="C730" s="0" t="s">
        <v>24</v>
      </c>
      <c r="D730" s="0" t="s">
        <v>42</v>
      </c>
      <c r="E730" s="10" t="n">
        <v>45750.7819444445</v>
      </c>
      <c r="F730" s="10" t="n">
        <v>45751.6097222222</v>
      </c>
      <c r="G730" s="0" t="n">
        <v>555.08</v>
      </c>
      <c r="H730" s="0" t="n">
        <v>564.09</v>
      </c>
      <c r="I730" s="11" t="n">
        <f aca="false">H730-G730</f>
        <v>9.00999999999999</v>
      </c>
      <c r="J730" s="5" t="n">
        <f aca="false">IF(G730=0,"",I730/G730)</f>
        <v>0.0162318945016934</v>
      </c>
      <c r="K730" s="0" t="n">
        <v>202.3</v>
      </c>
      <c r="L730" s="0" t="n">
        <v>19.87</v>
      </c>
      <c r="M730" s="11" t="s">
        <v>1332</v>
      </c>
      <c r="N730" s="12" t="n">
        <f aca="false">INT(E730)</f>
        <v>45750</v>
      </c>
      <c r="O730" s="12" t="n">
        <f aca="false">IF(F730="","",INT(F730))</f>
        <v>45751</v>
      </c>
    </row>
    <row r="731" customFormat="false" ht="15" hidden="false" customHeight="false" outlineLevel="0" collapsed="false">
      <c r="A731" s="0" t="s">
        <v>1503</v>
      </c>
      <c r="B731" s="0" t="s">
        <v>1504</v>
      </c>
      <c r="C731" s="0" t="s">
        <v>24</v>
      </c>
      <c r="D731" s="0" t="s">
        <v>42</v>
      </c>
      <c r="E731" s="10" t="n">
        <v>45750.7875</v>
      </c>
      <c r="F731" s="10" t="n">
        <v>45753.8319444444</v>
      </c>
      <c r="G731" s="0" t="n">
        <v>96</v>
      </c>
      <c r="H731" s="0" t="n">
        <v>98.73</v>
      </c>
      <c r="I731" s="11" t="n">
        <f aca="false">H731-G731</f>
        <v>2.73</v>
      </c>
      <c r="J731" s="5" t="n">
        <f aca="false">IF(G731=0,"",I731/G731)</f>
        <v>0.0284375</v>
      </c>
      <c r="K731" s="0" t="n">
        <v>27.1</v>
      </c>
      <c r="L731" s="0" t="n">
        <v>29.1</v>
      </c>
      <c r="M731" s="11" t="s">
        <v>1332</v>
      </c>
      <c r="N731" s="12" t="n">
        <f aca="false">INT(E731)</f>
        <v>45750</v>
      </c>
      <c r="O731" s="12" t="n">
        <f aca="false">IF(F731="","",INT(F731))</f>
        <v>45753</v>
      </c>
    </row>
    <row r="732" customFormat="false" ht="15" hidden="false" customHeight="false" outlineLevel="0" collapsed="false">
      <c r="A732" s="0" t="s">
        <v>1505</v>
      </c>
      <c r="B732" s="0" t="s">
        <v>1506</v>
      </c>
      <c r="C732" s="0" t="s">
        <v>23</v>
      </c>
      <c r="D732" s="0" t="s">
        <v>42</v>
      </c>
      <c r="E732" s="10" t="n">
        <v>45751.2965277778</v>
      </c>
      <c r="F732" s="10" t="n">
        <v>45752.5821296296</v>
      </c>
      <c r="G732" s="0" t="n">
        <v>346.88</v>
      </c>
      <c r="H732" s="0" t="n">
        <v>347.93</v>
      </c>
      <c r="I732" s="11" t="n">
        <f aca="false">H732-G732</f>
        <v>1.05000000000001</v>
      </c>
      <c r="J732" s="5" t="n">
        <f aca="false">IF(G732=0,"",I732/G732)</f>
        <v>0.00302698339483398</v>
      </c>
      <c r="K732" s="0" t="n">
        <v>129.1</v>
      </c>
      <c r="L732" s="0" t="n">
        <v>16.88</v>
      </c>
      <c r="M732" s="11" t="s">
        <v>1332</v>
      </c>
      <c r="N732" s="12" t="n">
        <f aca="false">INT(E732)</f>
        <v>45751</v>
      </c>
      <c r="O732" s="12" t="n">
        <f aca="false">IF(F732="","",INT(F732))</f>
        <v>45752</v>
      </c>
    </row>
    <row r="733" customFormat="false" ht="15" hidden="false" customHeight="false" outlineLevel="0" collapsed="false">
      <c r="A733" s="0" t="s">
        <v>1507</v>
      </c>
      <c r="B733" s="0" t="s">
        <v>1508</v>
      </c>
      <c r="C733" s="0" t="s">
        <v>20</v>
      </c>
      <c r="D733" s="0" t="s">
        <v>42</v>
      </c>
      <c r="E733" s="10" t="n">
        <v>45751.3104166667</v>
      </c>
      <c r="F733" s="10" t="n">
        <v>45752.9451388889</v>
      </c>
      <c r="G733" s="0" t="n">
        <v>731.87</v>
      </c>
      <c r="H733" s="0" t="n">
        <v>732.34</v>
      </c>
      <c r="I733" s="11" t="n">
        <f aca="false">H733-G733</f>
        <v>0.470000000000027</v>
      </c>
      <c r="J733" s="5" t="n">
        <f aca="false">IF(G733=0,"",I733/G733)</f>
        <v>0.000642190552967094</v>
      </c>
      <c r="K733" s="0" t="n">
        <v>146.4</v>
      </c>
      <c r="L733" s="0" t="n">
        <v>16.55</v>
      </c>
      <c r="M733" s="11" t="s">
        <v>1332</v>
      </c>
      <c r="N733" s="12" t="n">
        <f aca="false">INT(E733)</f>
        <v>45751</v>
      </c>
      <c r="O733" s="12" t="n">
        <f aca="false">IF(F733="","",INT(F733))</f>
        <v>45752</v>
      </c>
    </row>
    <row r="734" customFormat="false" ht="15" hidden="false" customHeight="false" outlineLevel="0" collapsed="false">
      <c r="A734" s="0" t="s">
        <v>1509</v>
      </c>
      <c r="B734" s="0" t="s">
        <v>1510</v>
      </c>
      <c r="C734" s="0" t="s">
        <v>21</v>
      </c>
      <c r="D734" s="0" t="s">
        <v>303</v>
      </c>
      <c r="E734" s="10" t="n">
        <v>45751.3590277778</v>
      </c>
      <c r="F734" s="10"/>
      <c r="G734" s="0" t="n">
        <v>131.49</v>
      </c>
      <c r="H734" s="0" t="n">
        <v>146.62</v>
      </c>
      <c r="I734" s="11" t="n">
        <f aca="false">H734-G734</f>
        <v>15.13</v>
      </c>
      <c r="J734" s="5" t="n">
        <f aca="false">IF(G734=0,"",I734/G734)</f>
        <v>0.115065784470302</v>
      </c>
      <c r="K734" s="0" t="n">
        <v>17.3</v>
      </c>
      <c r="M734" s="11" t="s">
        <v>1332</v>
      </c>
      <c r="N734" s="12" t="n">
        <f aca="false">INT(E734)</f>
        <v>45751</v>
      </c>
      <c r="O734" s="12" t="str">
        <f aca="false">IF(F734="","",INT(F734))</f>
        <v/>
      </c>
    </row>
    <row r="735" customFormat="false" ht="15" hidden="false" customHeight="false" outlineLevel="0" collapsed="false">
      <c r="A735" s="0" t="s">
        <v>1511</v>
      </c>
      <c r="B735" s="0" t="s">
        <v>1512</v>
      </c>
      <c r="C735" s="0" t="s">
        <v>22</v>
      </c>
      <c r="D735" s="0" t="s">
        <v>42</v>
      </c>
      <c r="E735" s="10" t="n">
        <v>45751.3604166667</v>
      </c>
      <c r="F735" s="10" t="n">
        <v>45752.0972222222</v>
      </c>
      <c r="G735" s="0" t="n">
        <v>835.67</v>
      </c>
      <c r="H735" s="0" t="n">
        <v>816.47</v>
      </c>
      <c r="I735" s="11" t="n">
        <f aca="false">H735-G735</f>
        <v>-19.1999999999999</v>
      </c>
      <c r="J735" s="5" t="n">
        <f aca="false">IF(G735=0,"",I735/G735)</f>
        <v>-0.0229755764835401</v>
      </c>
      <c r="K735" s="0" t="n">
        <v>159.7</v>
      </c>
      <c r="L735" s="0" t="n">
        <v>15.35</v>
      </c>
      <c r="M735" s="11" t="s">
        <v>1332</v>
      </c>
      <c r="N735" s="12" t="n">
        <f aca="false">INT(E735)</f>
        <v>45751</v>
      </c>
      <c r="O735" s="12" t="n">
        <f aca="false">IF(F735="","",INT(F735))</f>
        <v>45752</v>
      </c>
    </row>
    <row r="736" customFormat="false" ht="15" hidden="false" customHeight="false" outlineLevel="0" collapsed="false">
      <c r="A736" s="0" t="s">
        <v>1513</v>
      </c>
      <c r="B736" s="0" t="s">
        <v>1514</v>
      </c>
      <c r="C736" s="0" t="s">
        <v>21</v>
      </c>
      <c r="D736" s="0" t="s">
        <v>303</v>
      </c>
      <c r="E736" s="10" t="n">
        <v>45751.3868055556</v>
      </c>
      <c r="F736" s="10"/>
      <c r="G736" s="0" t="n">
        <v>765.82</v>
      </c>
      <c r="H736" s="0" t="n">
        <v>745.24</v>
      </c>
      <c r="I736" s="11" t="n">
        <f aca="false">H736-G736</f>
        <v>-20.58</v>
      </c>
      <c r="J736" s="5" t="n">
        <f aca="false">IF(G736=0,"",I736/G736)</f>
        <v>-0.0268731555718054</v>
      </c>
      <c r="K736" s="0" t="n">
        <v>175.8</v>
      </c>
      <c r="M736" s="11" t="s">
        <v>1332</v>
      </c>
      <c r="N736" s="12" t="n">
        <f aca="false">INT(E736)</f>
        <v>45751</v>
      </c>
      <c r="O736" s="12" t="str">
        <f aca="false">IF(F736="","",INT(F736))</f>
        <v/>
      </c>
    </row>
    <row r="737" customFormat="false" ht="15" hidden="false" customHeight="false" outlineLevel="0" collapsed="false">
      <c r="A737" s="0" t="s">
        <v>1515</v>
      </c>
      <c r="B737" s="0" t="s">
        <v>1516</v>
      </c>
      <c r="C737" s="0" t="s">
        <v>22</v>
      </c>
      <c r="D737" s="0" t="s">
        <v>42</v>
      </c>
      <c r="E737" s="10" t="n">
        <v>45751.4</v>
      </c>
      <c r="F737" s="10" t="n">
        <v>45751.8797222222</v>
      </c>
      <c r="G737" s="0" t="n">
        <v>533.04</v>
      </c>
      <c r="H737" s="0" t="n">
        <v>537.65</v>
      </c>
      <c r="I737" s="11" t="n">
        <f aca="false">H737-G737</f>
        <v>4.61000000000001</v>
      </c>
      <c r="J737" s="5" t="n">
        <f aca="false">IF(G737=0,"",I737/G737)</f>
        <v>0.0086485066786733</v>
      </c>
      <c r="K737" s="0" t="n">
        <v>59.9</v>
      </c>
      <c r="L737" s="0" t="n">
        <v>11.51</v>
      </c>
      <c r="M737" s="11" t="s">
        <v>1332</v>
      </c>
      <c r="N737" s="12" t="n">
        <f aca="false">INT(E737)</f>
        <v>45751</v>
      </c>
      <c r="O737" s="12" t="n">
        <f aca="false">IF(F737="","",INT(F737))</f>
        <v>45751</v>
      </c>
    </row>
    <row r="738" customFormat="false" ht="15" hidden="false" customHeight="false" outlineLevel="0" collapsed="false">
      <c r="A738" s="0" t="s">
        <v>1517</v>
      </c>
      <c r="B738" s="0" t="s">
        <v>1518</v>
      </c>
      <c r="C738" s="0" t="s">
        <v>19</v>
      </c>
      <c r="D738" s="0" t="s">
        <v>42</v>
      </c>
      <c r="E738" s="10" t="n">
        <v>45751.4118055556</v>
      </c>
      <c r="F738" s="10" t="n">
        <v>45752.6270833333</v>
      </c>
      <c r="G738" s="0" t="n">
        <v>192.77</v>
      </c>
      <c r="H738" s="0" t="n">
        <v>214.11</v>
      </c>
      <c r="I738" s="11" t="n">
        <f aca="false">H738-G738</f>
        <v>21.34</v>
      </c>
      <c r="J738" s="5" t="n">
        <f aca="false">IF(G738=0,"",I738/G738)</f>
        <v>0.110701872698034</v>
      </c>
      <c r="K738" s="0" t="n">
        <v>27</v>
      </c>
      <c r="L738" s="0" t="n">
        <v>14.12</v>
      </c>
      <c r="M738" s="11" t="s">
        <v>1332</v>
      </c>
      <c r="N738" s="12" t="n">
        <f aca="false">INT(E738)</f>
        <v>45751</v>
      </c>
      <c r="O738" s="12" t="n">
        <f aca="false">IF(F738="","",INT(F738))</f>
        <v>45752</v>
      </c>
    </row>
    <row r="739" customFormat="false" ht="15" hidden="false" customHeight="false" outlineLevel="0" collapsed="false">
      <c r="A739" s="0" t="s">
        <v>1519</v>
      </c>
      <c r="B739" s="0" t="s">
        <v>1520</v>
      </c>
      <c r="C739" s="0" t="s">
        <v>21</v>
      </c>
      <c r="D739" s="0" t="s">
        <v>48</v>
      </c>
      <c r="E739" s="10" t="n">
        <v>45751.4298611111</v>
      </c>
      <c r="F739" s="10"/>
      <c r="G739" s="0" t="n">
        <v>61.86</v>
      </c>
      <c r="H739" s="0" t="n">
        <v>60.83</v>
      </c>
      <c r="I739" s="11" t="n">
        <f aca="false">H739-G739</f>
        <v>-1.03</v>
      </c>
      <c r="J739" s="5" t="n">
        <f aca="false">IF(G739=0,"",I739/G739)</f>
        <v>-0.0166505011315875</v>
      </c>
      <c r="K739" s="0" t="n">
        <v>9.6</v>
      </c>
      <c r="M739" s="11" t="s">
        <v>1332</v>
      </c>
      <c r="N739" s="12" t="n">
        <f aca="false">INT(E739)</f>
        <v>45751</v>
      </c>
      <c r="O739" s="12" t="str">
        <f aca="false">IF(F739="","",INT(F739))</f>
        <v/>
      </c>
    </row>
    <row r="740" customFormat="false" ht="15" hidden="false" customHeight="false" outlineLevel="0" collapsed="false">
      <c r="A740" s="0" t="s">
        <v>1521</v>
      </c>
      <c r="B740" s="0" t="s">
        <v>1522</v>
      </c>
      <c r="C740" s="0" t="s">
        <v>23</v>
      </c>
      <c r="D740" s="0" t="s">
        <v>42</v>
      </c>
      <c r="E740" s="10" t="n">
        <v>45751.43125</v>
      </c>
      <c r="F740" s="10" t="n">
        <v>45752.7853703704</v>
      </c>
      <c r="G740" s="0" t="n">
        <v>203.67</v>
      </c>
      <c r="H740" s="0" t="n">
        <v>199.59</v>
      </c>
      <c r="I740" s="11" t="n">
        <f aca="false">H740-G740</f>
        <v>-4.07999999999998</v>
      </c>
      <c r="J740" s="5" t="n">
        <f aca="false">IF(G740=0,"",I740/G740)</f>
        <v>-0.0200324053616143</v>
      </c>
      <c r="K740" s="0" t="n">
        <v>57.4</v>
      </c>
      <c r="L740" s="0" t="n">
        <v>13.65</v>
      </c>
      <c r="M740" s="11" t="s">
        <v>1332</v>
      </c>
      <c r="N740" s="12" t="n">
        <f aca="false">INT(E740)</f>
        <v>45751</v>
      </c>
      <c r="O740" s="12" t="n">
        <f aca="false">IF(F740="","",INT(F740))</f>
        <v>45752</v>
      </c>
    </row>
    <row r="741" customFormat="false" ht="15" hidden="false" customHeight="false" outlineLevel="0" collapsed="false">
      <c r="A741" s="0" t="s">
        <v>1523</v>
      </c>
      <c r="B741" s="0" t="s">
        <v>1524</v>
      </c>
      <c r="C741" s="0" t="s">
        <v>21</v>
      </c>
      <c r="D741" s="0" t="s">
        <v>42</v>
      </c>
      <c r="E741" s="10" t="n">
        <v>45751.5145833333</v>
      </c>
      <c r="F741" s="10" t="n">
        <v>45751.9583333333</v>
      </c>
      <c r="G741" s="0" t="n">
        <v>1278.27</v>
      </c>
      <c r="H741" s="0" t="n">
        <v>905.37</v>
      </c>
      <c r="I741" s="11" t="n">
        <f aca="false">H741-G741</f>
        <v>-372.9</v>
      </c>
      <c r="J741" s="5" t="n">
        <f aca="false">IF(G741=0,"",I741/G741)</f>
        <v>-0.291722406064446</v>
      </c>
      <c r="K741" s="0" t="n">
        <v>292.2</v>
      </c>
      <c r="L741" s="0" t="n">
        <v>10.65</v>
      </c>
      <c r="M741" s="11" t="s">
        <v>1332</v>
      </c>
      <c r="N741" s="12" t="n">
        <f aca="false">INT(E741)</f>
        <v>45751</v>
      </c>
      <c r="O741" s="12" t="n">
        <f aca="false">IF(F741="","",INT(F741))</f>
        <v>45751</v>
      </c>
    </row>
    <row r="742" customFormat="false" ht="15" hidden="false" customHeight="false" outlineLevel="0" collapsed="false">
      <c r="A742" s="0" t="s">
        <v>1525</v>
      </c>
      <c r="B742" s="0" t="s">
        <v>1526</v>
      </c>
      <c r="C742" s="0" t="s">
        <v>23</v>
      </c>
      <c r="D742" s="0" t="s">
        <v>42</v>
      </c>
      <c r="E742" s="10" t="n">
        <v>45751.5194444444</v>
      </c>
      <c r="F742" s="10" t="n">
        <v>45752.4833796296</v>
      </c>
      <c r="G742" s="0" t="n">
        <v>177.07</v>
      </c>
      <c r="H742" s="0" t="n">
        <v>179.07</v>
      </c>
      <c r="I742" s="11" t="n">
        <f aca="false">H742-G742</f>
        <v>2</v>
      </c>
      <c r="J742" s="5" t="n">
        <f aca="false">IF(G742=0,"",I742/G742)</f>
        <v>0.0112949680917151</v>
      </c>
      <c r="K742" s="0" t="n">
        <v>67.1</v>
      </c>
      <c r="L742" s="0" t="n">
        <v>11.53</v>
      </c>
      <c r="M742" s="11" t="s">
        <v>1332</v>
      </c>
      <c r="N742" s="12" t="n">
        <f aca="false">INT(E742)</f>
        <v>45751</v>
      </c>
      <c r="O742" s="12" t="n">
        <f aca="false">IF(F742="","",INT(F742))</f>
        <v>45752</v>
      </c>
    </row>
    <row r="743" customFormat="false" ht="15" hidden="false" customHeight="false" outlineLevel="0" collapsed="false">
      <c r="A743" s="0" t="s">
        <v>1527</v>
      </c>
      <c r="B743" s="0" t="s">
        <v>1528</v>
      </c>
      <c r="C743" s="0" t="s">
        <v>21</v>
      </c>
      <c r="D743" s="0" t="s">
        <v>42</v>
      </c>
      <c r="E743" s="10" t="n">
        <v>45751.5215277778</v>
      </c>
      <c r="F743" s="10" t="n">
        <v>45751.8138888889</v>
      </c>
      <c r="G743" s="0" t="n">
        <v>230.13</v>
      </c>
      <c r="H743" s="0" t="n">
        <v>222.49</v>
      </c>
      <c r="I743" s="11" t="n">
        <f aca="false">H743-G743</f>
        <v>-7.63999999999999</v>
      </c>
      <c r="J743" s="5" t="n">
        <f aca="false">IF(G743=0,"",I743/G743)</f>
        <v>-0.0331986268630773</v>
      </c>
      <c r="K743" s="0" t="n">
        <v>38.3</v>
      </c>
      <c r="L743" s="0" t="n">
        <v>7.02</v>
      </c>
      <c r="M743" s="11" t="s">
        <v>1332</v>
      </c>
      <c r="N743" s="12" t="n">
        <f aca="false">INT(E743)</f>
        <v>45751</v>
      </c>
      <c r="O743" s="12" t="n">
        <f aca="false">IF(F743="","",INT(F743))</f>
        <v>45751</v>
      </c>
    </row>
    <row r="744" customFormat="false" ht="15" hidden="false" customHeight="false" outlineLevel="0" collapsed="false">
      <c r="A744" s="0" t="s">
        <v>1529</v>
      </c>
      <c r="B744" s="0" t="s">
        <v>1530</v>
      </c>
      <c r="C744" s="0" t="s">
        <v>21</v>
      </c>
      <c r="D744" s="0" t="s">
        <v>42</v>
      </c>
      <c r="E744" s="10" t="n">
        <v>45751.5590277778</v>
      </c>
      <c r="F744" s="10" t="n">
        <v>45752.6586342593</v>
      </c>
      <c r="G744" s="0" t="n">
        <v>249.49</v>
      </c>
      <c r="H744" s="0" t="n">
        <v>246.56</v>
      </c>
      <c r="I744" s="11" t="n">
        <f aca="false">H744-G744</f>
        <v>-2.93000000000001</v>
      </c>
      <c r="J744" s="5" t="n">
        <f aca="false">IF(G744=0,"",I744/G744)</f>
        <v>-0.0117439576736543</v>
      </c>
      <c r="K744" s="0" t="n">
        <v>31.5</v>
      </c>
      <c r="L744" s="0" t="n">
        <v>10.58</v>
      </c>
      <c r="M744" s="11" t="s">
        <v>1332</v>
      </c>
      <c r="N744" s="12" t="n">
        <f aca="false">INT(E744)</f>
        <v>45751</v>
      </c>
      <c r="O744" s="12" t="n">
        <f aca="false">IF(F744="","",INT(F744))</f>
        <v>45752</v>
      </c>
    </row>
    <row r="745" customFormat="false" ht="15" hidden="false" customHeight="false" outlineLevel="0" collapsed="false">
      <c r="A745" s="0" t="s">
        <v>1531</v>
      </c>
      <c r="B745" s="0" t="s">
        <v>1532</v>
      </c>
      <c r="C745" s="0" t="s">
        <v>19</v>
      </c>
      <c r="D745" s="0" t="s">
        <v>42</v>
      </c>
      <c r="E745" s="10" t="n">
        <v>45751.5715277778</v>
      </c>
      <c r="F745" s="10" t="n">
        <v>45752.8409722222</v>
      </c>
      <c r="G745" s="0" t="n">
        <v>399.75</v>
      </c>
      <c r="H745" s="0" t="n">
        <v>405.78</v>
      </c>
      <c r="I745" s="11" t="n">
        <f aca="false">H745-G745</f>
        <v>6.02999999999997</v>
      </c>
      <c r="J745" s="5" t="n">
        <f aca="false">IF(G745=0,"",I745/G745)</f>
        <v>0.0150844277673545</v>
      </c>
      <c r="K745" s="0" t="n">
        <v>64.3</v>
      </c>
      <c r="L745" s="0" t="n">
        <v>10.28</v>
      </c>
      <c r="M745" s="11" t="s">
        <v>1332</v>
      </c>
      <c r="N745" s="12" t="n">
        <f aca="false">INT(E745)</f>
        <v>45751</v>
      </c>
      <c r="O745" s="12" t="n">
        <f aca="false">IF(F745="","",INT(F745))</f>
        <v>45752</v>
      </c>
    </row>
    <row r="746" customFormat="false" ht="15" hidden="false" customHeight="false" outlineLevel="0" collapsed="false">
      <c r="A746" s="0" t="s">
        <v>1533</v>
      </c>
      <c r="B746" s="0" t="s">
        <v>1534</v>
      </c>
      <c r="C746" s="0" t="s">
        <v>23</v>
      </c>
      <c r="D746" s="0" t="s">
        <v>42</v>
      </c>
      <c r="E746" s="10" t="n">
        <v>45751.575</v>
      </c>
      <c r="F746" s="10" t="n">
        <v>45753.2509953704</v>
      </c>
      <c r="G746" s="0" t="n">
        <v>421.57</v>
      </c>
      <c r="H746" s="0" t="n">
        <v>421.57</v>
      </c>
      <c r="I746" s="11" t="n">
        <f aca="false">H746-G746</f>
        <v>0</v>
      </c>
      <c r="J746" s="5" t="n">
        <f aca="false">IF(G746=0,"",I746/G746)</f>
        <v>0</v>
      </c>
      <c r="K746" s="0" t="n">
        <v>86.2</v>
      </c>
      <c r="L746" s="0" t="n">
        <v>10.2</v>
      </c>
      <c r="M746" s="11" t="s">
        <v>1332</v>
      </c>
      <c r="N746" s="12" t="n">
        <f aca="false">INT(E746)</f>
        <v>45751</v>
      </c>
      <c r="O746" s="12" t="n">
        <f aca="false">IF(F746="","",INT(F746))</f>
        <v>45753</v>
      </c>
    </row>
    <row r="747" customFormat="false" ht="15" hidden="false" customHeight="false" outlineLevel="0" collapsed="false">
      <c r="A747" s="0" t="s">
        <v>1535</v>
      </c>
      <c r="B747" s="0" t="s">
        <v>1536</v>
      </c>
      <c r="C747" s="0" t="s">
        <v>20</v>
      </c>
      <c r="D747" s="0" t="s">
        <v>42</v>
      </c>
      <c r="E747" s="10" t="n">
        <v>45751.5756944444</v>
      </c>
      <c r="F747" s="10" t="n">
        <v>45752.0083333333</v>
      </c>
      <c r="G747" s="0" t="n">
        <v>817.2</v>
      </c>
      <c r="H747" s="0" t="n">
        <v>859.45</v>
      </c>
      <c r="I747" s="11" t="n">
        <f aca="false">H747-G747</f>
        <v>42.25</v>
      </c>
      <c r="J747" s="5" t="n">
        <f aca="false">IF(G747=0,"",I747/G747)</f>
        <v>0.0517009300048948</v>
      </c>
      <c r="K747" s="0" t="n">
        <v>108.5</v>
      </c>
      <c r="L747" s="0" t="n">
        <v>10.18</v>
      </c>
      <c r="M747" s="11" t="s">
        <v>1332</v>
      </c>
      <c r="N747" s="12" t="n">
        <f aca="false">INT(E747)</f>
        <v>45751</v>
      </c>
      <c r="O747" s="12" t="n">
        <f aca="false">IF(F747="","",INT(F747))</f>
        <v>45752</v>
      </c>
    </row>
    <row r="748" customFormat="false" ht="15" hidden="false" customHeight="false" outlineLevel="0" collapsed="false">
      <c r="A748" s="0" t="s">
        <v>1537</v>
      </c>
      <c r="B748" s="0" t="s">
        <v>1538</v>
      </c>
      <c r="C748" s="0" t="s">
        <v>24</v>
      </c>
      <c r="D748" s="0" t="s">
        <v>42</v>
      </c>
      <c r="E748" s="10" t="n">
        <v>45751.5875</v>
      </c>
      <c r="F748" s="10" t="n">
        <v>45756.1680555556</v>
      </c>
      <c r="G748" s="0" t="n">
        <v>1299.21</v>
      </c>
      <c r="H748" s="0" t="n">
        <v>1284.32</v>
      </c>
      <c r="I748" s="11" t="n">
        <f aca="false">H748-G748</f>
        <v>-14.8900000000001</v>
      </c>
      <c r="J748" s="5" t="n">
        <f aca="false">IF(G748=0,"",I748/G748)</f>
        <v>-0.0114608108004096</v>
      </c>
      <c r="K748" s="0" t="n">
        <v>257.8</v>
      </c>
      <c r="L748" s="0" t="n">
        <v>61.93</v>
      </c>
      <c r="M748" s="11" t="s">
        <v>1332</v>
      </c>
      <c r="N748" s="12" t="n">
        <f aca="false">INT(E748)</f>
        <v>45751</v>
      </c>
      <c r="O748" s="12" t="n">
        <f aca="false">IF(F748="","",INT(F748))</f>
        <v>45756</v>
      </c>
    </row>
    <row r="749" customFormat="false" ht="15" hidden="false" customHeight="false" outlineLevel="0" collapsed="false">
      <c r="A749" s="0" t="s">
        <v>1539</v>
      </c>
      <c r="B749" s="0" t="s">
        <v>1540</v>
      </c>
      <c r="C749" s="0" t="s">
        <v>22</v>
      </c>
      <c r="D749" s="0" t="s">
        <v>48</v>
      </c>
      <c r="E749" s="10" t="n">
        <v>45751.6006944445</v>
      </c>
      <c r="F749" s="10"/>
      <c r="G749" s="0" t="n">
        <v>496.92</v>
      </c>
      <c r="H749" s="0" t="n">
        <v>502.66</v>
      </c>
      <c r="I749" s="11" t="n">
        <f aca="false">H749-G749</f>
        <v>5.74000000000001</v>
      </c>
      <c r="J749" s="5" t="n">
        <f aca="false">IF(G749=0,"",I749/G749)</f>
        <v>0.0115511551155116</v>
      </c>
      <c r="K749" s="0" t="n">
        <v>56.8</v>
      </c>
      <c r="M749" s="11" t="s">
        <v>1332</v>
      </c>
      <c r="N749" s="12" t="n">
        <f aca="false">INT(E749)</f>
        <v>45751</v>
      </c>
      <c r="O749" s="12" t="str">
        <f aca="false">IF(F749="","",INT(F749))</f>
        <v/>
      </c>
    </row>
    <row r="750" customFormat="false" ht="15" hidden="false" customHeight="false" outlineLevel="0" collapsed="false">
      <c r="A750" s="0" t="s">
        <v>1541</v>
      </c>
      <c r="B750" s="0" t="s">
        <v>1542</v>
      </c>
      <c r="C750" s="0" t="s">
        <v>23</v>
      </c>
      <c r="D750" s="0" t="s">
        <v>42</v>
      </c>
      <c r="E750" s="10" t="n">
        <v>45751.6277777778</v>
      </c>
      <c r="F750" s="10" t="n">
        <v>45752.43125</v>
      </c>
      <c r="G750" s="0" t="n">
        <v>73.99</v>
      </c>
      <c r="H750" s="0" t="n">
        <v>74.39</v>
      </c>
      <c r="I750" s="11" t="n">
        <f aca="false">H750-G750</f>
        <v>0.400000000000006</v>
      </c>
      <c r="J750" s="5" t="n">
        <f aca="false">IF(G750=0,"",I750/G750)</f>
        <v>0.00540613596431958</v>
      </c>
      <c r="K750" s="0" t="n">
        <v>27.8</v>
      </c>
      <c r="L750" s="0" t="n">
        <v>8.93</v>
      </c>
      <c r="M750" s="11" t="s">
        <v>1332</v>
      </c>
      <c r="N750" s="12" t="n">
        <f aca="false">INT(E750)</f>
        <v>45751</v>
      </c>
      <c r="O750" s="12" t="n">
        <f aca="false">IF(F750="","",INT(F750))</f>
        <v>45752</v>
      </c>
    </row>
    <row r="751" customFormat="false" ht="15" hidden="false" customHeight="false" outlineLevel="0" collapsed="false">
      <c r="A751" s="0" t="s">
        <v>1543</v>
      </c>
      <c r="B751" s="0" t="s">
        <v>1544</v>
      </c>
      <c r="C751" s="0" t="s">
        <v>19</v>
      </c>
      <c r="D751" s="0" t="s">
        <v>42</v>
      </c>
      <c r="E751" s="10" t="n">
        <v>45751.6548611111</v>
      </c>
      <c r="F751" s="10" t="n">
        <v>45752.9347222222</v>
      </c>
      <c r="G751" s="0" t="n">
        <v>242.57</v>
      </c>
      <c r="H751" s="0" t="n">
        <v>247.21</v>
      </c>
      <c r="I751" s="11" t="n">
        <f aca="false">H751-G751</f>
        <v>4.64000000000002</v>
      </c>
      <c r="J751" s="5" t="n">
        <f aca="false">IF(G751=0,"",I751/G751)</f>
        <v>0.0191284989899823</v>
      </c>
      <c r="K751" s="0" t="n">
        <v>28.7</v>
      </c>
      <c r="L751" s="0" t="n">
        <v>8.28</v>
      </c>
      <c r="M751" s="11" t="s">
        <v>1332</v>
      </c>
      <c r="N751" s="12" t="n">
        <f aca="false">INT(E751)</f>
        <v>45751</v>
      </c>
      <c r="O751" s="12" t="n">
        <f aca="false">IF(F751="","",INT(F751))</f>
        <v>45752</v>
      </c>
    </row>
    <row r="752" customFormat="false" ht="15" hidden="false" customHeight="false" outlineLevel="0" collapsed="false">
      <c r="A752" s="0" t="s">
        <v>1545</v>
      </c>
      <c r="B752" s="0" t="s">
        <v>1546</v>
      </c>
      <c r="C752" s="0" t="s">
        <v>20</v>
      </c>
      <c r="D752" s="0" t="s">
        <v>48</v>
      </c>
      <c r="E752" s="10" t="n">
        <v>45751.6770833333</v>
      </c>
      <c r="F752" s="10"/>
      <c r="G752" s="0" t="n">
        <v>159.83</v>
      </c>
      <c r="H752" s="0" t="n">
        <v>161.42</v>
      </c>
      <c r="I752" s="11" t="n">
        <f aca="false">H752-G752</f>
        <v>1.58999999999998</v>
      </c>
      <c r="J752" s="5" t="n">
        <f aca="false">IF(G752=0,"",I752/G752)</f>
        <v>0.00994806982418804</v>
      </c>
      <c r="K752" s="0" t="n">
        <v>29.6</v>
      </c>
      <c r="M752" s="11" t="s">
        <v>1332</v>
      </c>
      <c r="N752" s="12" t="n">
        <f aca="false">INT(E752)</f>
        <v>45751</v>
      </c>
      <c r="O752" s="12" t="str">
        <f aca="false">IF(F752="","",INT(F752))</f>
        <v/>
      </c>
    </row>
    <row r="753" customFormat="false" ht="15" hidden="false" customHeight="false" outlineLevel="0" collapsed="false">
      <c r="A753" s="0" t="s">
        <v>1547</v>
      </c>
      <c r="B753" s="0" t="s">
        <v>1548</v>
      </c>
      <c r="C753" s="0" t="s">
        <v>23</v>
      </c>
      <c r="D753" s="0" t="s">
        <v>42</v>
      </c>
      <c r="E753" s="10" t="n">
        <v>45751.7159722222</v>
      </c>
      <c r="F753" s="10" t="n">
        <v>45753.0979166667</v>
      </c>
      <c r="G753" s="0" t="n">
        <v>648.04</v>
      </c>
      <c r="H753" s="0" t="n">
        <v>659.37</v>
      </c>
      <c r="I753" s="11" t="n">
        <f aca="false">H753-G753</f>
        <v>11.33</v>
      </c>
      <c r="J753" s="5" t="n">
        <f aca="false">IF(G753=0,"",I753/G753)</f>
        <v>0.0174834886735387</v>
      </c>
      <c r="K753" s="0" t="n">
        <v>216.4</v>
      </c>
      <c r="L753" s="0" t="n">
        <v>6.82</v>
      </c>
      <c r="M753" s="11" t="s">
        <v>1332</v>
      </c>
      <c r="N753" s="12" t="n">
        <f aca="false">INT(E753)</f>
        <v>45751</v>
      </c>
      <c r="O753" s="12" t="n">
        <f aca="false">IF(F753="","",INT(F753))</f>
        <v>45753</v>
      </c>
    </row>
    <row r="754" customFormat="false" ht="15" hidden="false" customHeight="false" outlineLevel="0" collapsed="false">
      <c r="A754" s="0" t="s">
        <v>1549</v>
      </c>
      <c r="B754" s="0" t="s">
        <v>1550</v>
      </c>
      <c r="C754" s="0" t="s">
        <v>24</v>
      </c>
      <c r="D754" s="0" t="s">
        <v>42</v>
      </c>
      <c r="E754" s="10" t="n">
        <v>45751.7402777778</v>
      </c>
      <c r="F754" s="10" t="n">
        <v>45755.13125</v>
      </c>
      <c r="G754" s="0" t="n">
        <v>953.58</v>
      </c>
      <c r="H754" s="0" t="n">
        <v>960.93</v>
      </c>
      <c r="I754" s="11" t="n">
        <f aca="false">H754-G754</f>
        <v>7.34999999999991</v>
      </c>
      <c r="J754" s="5" t="n">
        <f aca="false">IF(G754=0,"",I754/G754)</f>
        <v>0.00770779588498071</v>
      </c>
      <c r="K754" s="0" t="n">
        <v>184.3</v>
      </c>
      <c r="L754" s="0" t="n">
        <v>33.38</v>
      </c>
      <c r="M754" s="11" t="s">
        <v>1332</v>
      </c>
      <c r="N754" s="12" t="n">
        <f aca="false">INT(E754)</f>
        <v>45751</v>
      </c>
      <c r="O754" s="12" t="n">
        <f aca="false">IF(F754="","",INT(F754))</f>
        <v>45755</v>
      </c>
    </row>
    <row r="755" customFormat="false" ht="15" hidden="false" customHeight="false" outlineLevel="0" collapsed="false">
      <c r="A755" s="0" t="s">
        <v>1551</v>
      </c>
      <c r="B755" s="0" t="s">
        <v>1552</v>
      </c>
      <c r="C755" s="0" t="s">
        <v>19</v>
      </c>
      <c r="D755" s="0" t="s">
        <v>42</v>
      </c>
      <c r="E755" s="10" t="n">
        <v>45751.75625</v>
      </c>
      <c r="F755" s="10" t="n">
        <v>45752.5625</v>
      </c>
      <c r="G755" s="0" t="n">
        <v>252.22</v>
      </c>
      <c r="H755" s="0" t="n">
        <v>255.44</v>
      </c>
      <c r="I755" s="11" t="n">
        <f aca="false">H755-G755</f>
        <v>3.22</v>
      </c>
      <c r="J755" s="5" t="n">
        <f aca="false">IF(G755=0,"",I755/G755)</f>
        <v>0.0127666323051304</v>
      </c>
      <c r="K755" s="0" t="n">
        <v>36.9</v>
      </c>
      <c r="L755" s="0" t="n">
        <v>5.85</v>
      </c>
      <c r="M755" s="11" t="s">
        <v>1332</v>
      </c>
      <c r="N755" s="12" t="n">
        <f aca="false">INT(E755)</f>
        <v>45751</v>
      </c>
      <c r="O755" s="12" t="n">
        <f aca="false">IF(F755="","",INT(F755))</f>
        <v>45752</v>
      </c>
    </row>
    <row r="756" customFormat="false" ht="15" hidden="false" customHeight="false" outlineLevel="0" collapsed="false">
      <c r="A756" s="0" t="s">
        <v>1553</v>
      </c>
      <c r="B756" s="0" t="s">
        <v>1554</v>
      </c>
      <c r="C756" s="0" t="s">
        <v>21</v>
      </c>
      <c r="D756" s="0" t="s">
        <v>42</v>
      </c>
      <c r="E756" s="10" t="n">
        <v>45751.7618055556</v>
      </c>
      <c r="F756" s="10" t="n">
        <v>45752.65625</v>
      </c>
      <c r="G756" s="0" t="n">
        <v>1778.66</v>
      </c>
      <c r="H756" s="0" t="n">
        <v>1737.49</v>
      </c>
      <c r="I756" s="11" t="n">
        <f aca="false">H756-G756</f>
        <v>-41.1700000000001</v>
      </c>
      <c r="J756" s="5" t="n">
        <f aca="false">IF(G756=0,"",I756/G756)</f>
        <v>-0.023146638480654</v>
      </c>
      <c r="K756" s="0" t="n">
        <v>446.8</v>
      </c>
      <c r="L756" s="0" t="n">
        <v>5.72</v>
      </c>
      <c r="M756" s="11" t="s">
        <v>1332</v>
      </c>
      <c r="N756" s="12" t="n">
        <f aca="false">INT(E756)</f>
        <v>45751</v>
      </c>
      <c r="O756" s="12" t="n">
        <f aca="false">IF(F756="","",INT(F756))</f>
        <v>45752</v>
      </c>
    </row>
    <row r="757" customFormat="false" ht="15" hidden="false" customHeight="false" outlineLevel="0" collapsed="false">
      <c r="A757" s="0" t="s">
        <v>1555</v>
      </c>
      <c r="B757" s="0" t="s">
        <v>1556</v>
      </c>
      <c r="C757" s="0" t="s">
        <v>23</v>
      </c>
      <c r="D757" s="0" t="s">
        <v>42</v>
      </c>
      <c r="E757" s="10" t="n">
        <v>45751.78125</v>
      </c>
      <c r="F757" s="10" t="n">
        <v>45753.171400463</v>
      </c>
      <c r="G757" s="0" t="n">
        <v>420.25</v>
      </c>
      <c r="H757" s="0" t="n">
        <v>431.72</v>
      </c>
      <c r="I757" s="11" t="n">
        <f aca="false">H757-G757</f>
        <v>11.47</v>
      </c>
      <c r="J757" s="5" t="n">
        <f aca="false">IF(G757=0,"",I757/G757)</f>
        <v>0.027293277810827</v>
      </c>
      <c r="K757" s="0" t="n">
        <v>150.2</v>
      </c>
      <c r="L757" s="0" t="n">
        <v>5.25</v>
      </c>
      <c r="M757" s="11" t="s">
        <v>1332</v>
      </c>
      <c r="N757" s="12" t="n">
        <f aca="false">INT(E757)</f>
        <v>45751</v>
      </c>
      <c r="O757" s="12" t="n">
        <f aca="false">IF(F757="","",INT(F757))</f>
        <v>45753</v>
      </c>
    </row>
    <row r="758" customFormat="false" ht="15" hidden="false" customHeight="false" outlineLevel="0" collapsed="false">
      <c r="A758" s="0" t="s">
        <v>1557</v>
      </c>
      <c r="B758" s="0" t="s">
        <v>1558</v>
      </c>
      <c r="C758" s="0" t="s">
        <v>23</v>
      </c>
      <c r="D758" s="0" t="s">
        <v>42</v>
      </c>
      <c r="E758" s="10" t="n">
        <v>45751.7833333333</v>
      </c>
      <c r="F758" s="10" t="n">
        <v>45752.4395833333</v>
      </c>
      <c r="G758" s="0" t="n">
        <v>1492.51</v>
      </c>
      <c r="H758" s="0" t="n">
        <v>1522.43</v>
      </c>
      <c r="I758" s="11" t="n">
        <f aca="false">H758-G758</f>
        <v>29.9200000000001</v>
      </c>
      <c r="J758" s="5" t="n">
        <f aca="false">IF(G758=0,"",I758/G758)</f>
        <v>0.0200467668558335</v>
      </c>
      <c r="K758" s="0" t="n">
        <v>343.7</v>
      </c>
      <c r="L758" s="0" t="n">
        <v>5.2</v>
      </c>
      <c r="M758" s="11" t="s">
        <v>1332</v>
      </c>
      <c r="N758" s="12" t="n">
        <f aca="false">INT(E758)</f>
        <v>45751</v>
      </c>
      <c r="O758" s="12" t="n">
        <f aca="false">IF(F758="","",INT(F758))</f>
        <v>45752</v>
      </c>
    </row>
    <row r="759" customFormat="false" ht="15" hidden="false" customHeight="false" outlineLevel="0" collapsed="false">
      <c r="A759" s="0" t="s">
        <v>1559</v>
      </c>
      <c r="B759" s="0" t="s">
        <v>1560</v>
      </c>
      <c r="C759" s="0" t="s">
        <v>23</v>
      </c>
      <c r="D759" s="0" t="s">
        <v>42</v>
      </c>
      <c r="E759" s="10" t="n">
        <v>45751.7902777778</v>
      </c>
      <c r="F759" s="10" t="n">
        <v>45752.6173611111</v>
      </c>
      <c r="G759" s="0" t="n">
        <v>195.71</v>
      </c>
      <c r="H759" s="0" t="n">
        <v>198.27</v>
      </c>
      <c r="I759" s="11" t="n">
        <f aca="false">H759-G759</f>
        <v>2.56</v>
      </c>
      <c r="J759" s="5" t="n">
        <f aca="false">IF(G759=0,"",I759/G759)</f>
        <v>0.0130805784068264</v>
      </c>
      <c r="K759" s="0" t="n">
        <v>67.7</v>
      </c>
      <c r="L759" s="0" t="n">
        <v>5.03</v>
      </c>
      <c r="M759" s="11" t="s">
        <v>1332</v>
      </c>
      <c r="N759" s="12" t="n">
        <f aca="false">INT(E759)</f>
        <v>45751</v>
      </c>
      <c r="O759" s="12" t="n">
        <f aca="false">IF(F759="","",INT(F759))</f>
        <v>45752</v>
      </c>
    </row>
    <row r="760" customFormat="false" ht="15" hidden="false" customHeight="false" outlineLevel="0" collapsed="false">
      <c r="A760" s="0" t="s">
        <v>1561</v>
      </c>
      <c r="B760" s="0" t="s">
        <v>1562</v>
      </c>
      <c r="C760" s="0" t="s">
        <v>23</v>
      </c>
      <c r="D760" s="0" t="s">
        <v>48</v>
      </c>
      <c r="E760" s="10" t="n">
        <v>45752.2965277778</v>
      </c>
      <c r="F760" s="10"/>
      <c r="G760" s="0" t="n">
        <v>359.52</v>
      </c>
      <c r="H760" s="0" t="n">
        <v>361.12</v>
      </c>
      <c r="I760" s="11" t="n">
        <f aca="false">H760-G760</f>
        <v>1.60000000000002</v>
      </c>
      <c r="J760" s="5" t="n">
        <f aca="false">IF(G760=0,"",I760/G760)</f>
        <v>0.00445037828215405</v>
      </c>
      <c r="K760" s="0" t="n">
        <v>134.7</v>
      </c>
      <c r="M760" s="11" t="s">
        <v>1332</v>
      </c>
      <c r="N760" s="12" t="n">
        <f aca="false">INT(E760)</f>
        <v>45752</v>
      </c>
      <c r="O760" s="12" t="str">
        <f aca="false">IF(F760="","",INT(F760))</f>
        <v/>
      </c>
    </row>
    <row r="761" customFormat="false" ht="15" hidden="false" customHeight="false" outlineLevel="0" collapsed="false">
      <c r="A761" s="0" t="s">
        <v>1563</v>
      </c>
      <c r="B761" s="0" t="s">
        <v>1564</v>
      </c>
      <c r="C761" s="0" t="s">
        <v>23</v>
      </c>
      <c r="D761" s="0" t="s">
        <v>42</v>
      </c>
      <c r="E761" s="10" t="n">
        <v>45752.2972222222</v>
      </c>
      <c r="F761" s="10" t="n">
        <v>45753.8694444444</v>
      </c>
      <c r="G761" s="0" t="n">
        <v>346.88</v>
      </c>
      <c r="H761" s="0" t="n">
        <v>349.74</v>
      </c>
      <c r="I761" s="11" t="n">
        <f aca="false">H761-G761</f>
        <v>2.86000000000001</v>
      </c>
      <c r="J761" s="5" t="n">
        <f aca="false">IF(G761=0,"",I761/G761)</f>
        <v>0.00824492619926203</v>
      </c>
      <c r="K761" s="0" t="n">
        <v>126.4</v>
      </c>
      <c r="L761" s="0" t="n">
        <v>0</v>
      </c>
      <c r="M761" s="11" t="s">
        <v>1332</v>
      </c>
      <c r="N761" s="12" t="n">
        <f aca="false">INT(E761)</f>
        <v>45752</v>
      </c>
      <c r="O761" s="12" t="n">
        <f aca="false">IF(F761="","",INT(F761))</f>
        <v>45753</v>
      </c>
    </row>
    <row r="762" customFormat="false" ht="15" hidden="false" customHeight="false" outlineLevel="0" collapsed="false">
      <c r="A762" s="0" t="s">
        <v>1565</v>
      </c>
      <c r="B762" s="0" t="s">
        <v>1566</v>
      </c>
      <c r="C762" s="0" t="s">
        <v>20</v>
      </c>
      <c r="D762" s="0" t="s">
        <v>42</v>
      </c>
      <c r="E762" s="10" t="n">
        <v>45752.3097222222</v>
      </c>
      <c r="F762" s="10" t="n">
        <v>45752.8506944445</v>
      </c>
      <c r="G762" s="0" t="n">
        <v>181.99</v>
      </c>
      <c r="H762" s="0" t="n">
        <v>186.69</v>
      </c>
      <c r="I762" s="11" t="n">
        <f aca="false">H762-G762</f>
        <v>4.69999999999999</v>
      </c>
      <c r="J762" s="5" t="n">
        <f aca="false">IF(G762=0,"",I762/G762)</f>
        <v>0.0258255948129017</v>
      </c>
      <c r="K762" s="0" t="n">
        <v>34</v>
      </c>
      <c r="L762" s="0" t="n">
        <v>0</v>
      </c>
      <c r="M762" s="11" t="s">
        <v>1332</v>
      </c>
      <c r="N762" s="12" t="n">
        <f aca="false">INT(E762)</f>
        <v>45752</v>
      </c>
      <c r="O762" s="12" t="n">
        <f aca="false">IF(F762="","",INT(F762))</f>
        <v>45752</v>
      </c>
    </row>
    <row r="763" customFormat="false" ht="15" hidden="false" customHeight="false" outlineLevel="0" collapsed="false">
      <c r="A763" s="0" t="s">
        <v>1567</v>
      </c>
      <c r="B763" s="0" t="s">
        <v>1568</v>
      </c>
      <c r="C763" s="0" t="s">
        <v>23</v>
      </c>
      <c r="D763" s="0" t="s">
        <v>42</v>
      </c>
      <c r="E763" s="10" t="n">
        <v>45752.3118055556</v>
      </c>
      <c r="F763" s="10" t="n">
        <v>45753.0069444445</v>
      </c>
      <c r="G763" s="0" t="n">
        <v>132.43</v>
      </c>
      <c r="H763" s="0" t="n">
        <v>129.38</v>
      </c>
      <c r="I763" s="11" t="n">
        <f aca="false">H763-G763</f>
        <v>-3.05000000000001</v>
      </c>
      <c r="J763" s="5" t="n">
        <f aca="false">IF(G763=0,"",I763/G763)</f>
        <v>-0.0230310352639131</v>
      </c>
      <c r="K763" s="0" t="n">
        <v>51</v>
      </c>
      <c r="L763" s="0" t="n">
        <v>0</v>
      </c>
      <c r="M763" s="11" t="s">
        <v>1332</v>
      </c>
      <c r="N763" s="12" t="n">
        <f aca="false">INT(E763)</f>
        <v>45752</v>
      </c>
      <c r="O763" s="12" t="n">
        <f aca="false">IF(F763="","",INT(F763))</f>
        <v>45753</v>
      </c>
    </row>
    <row r="764" customFormat="false" ht="15" hidden="false" customHeight="false" outlineLevel="0" collapsed="false">
      <c r="A764" s="0" t="s">
        <v>1569</v>
      </c>
      <c r="B764" s="0" t="s">
        <v>1570</v>
      </c>
      <c r="C764" s="0" t="s">
        <v>23</v>
      </c>
      <c r="D764" s="0" t="s">
        <v>42</v>
      </c>
      <c r="E764" s="10" t="n">
        <v>45752.3215277778</v>
      </c>
      <c r="F764" s="10" t="n">
        <v>45753.1666666667</v>
      </c>
      <c r="G764" s="0" t="n">
        <v>225.19</v>
      </c>
      <c r="H764" s="0" t="n">
        <v>225.48</v>
      </c>
      <c r="I764" s="11" t="n">
        <f aca="false">H764-G764</f>
        <v>0.289999999999992</v>
      </c>
      <c r="J764" s="5" t="n">
        <f aca="false">IF(G764=0,"",I764/G764)</f>
        <v>0.00128780141214082</v>
      </c>
      <c r="K764" s="0" t="n">
        <v>100.6</v>
      </c>
      <c r="L764" s="0" t="n">
        <v>0</v>
      </c>
      <c r="M764" s="11" t="s">
        <v>1332</v>
      </c>
      <c r="N764" s="12" t="n">
        <f aca="false">INT(E764)</f>
        <v>45752</v>
      </c>
      <c r="O764" s="12" t="n">
        <f aca="false">IF(F764="","",INT(F764))</f>
        <v>45753</v>
      </c>
    </row>
    <row r="765" customFormat="false" ht="15" hidden="false" customHeight="false" outlineLevel="0" collapsed="false">
      <c r="A765" s="0" t="s">
        <v>1571</v>
      </c>
      <c r="B765" s="0" t="s">
        <v>1572</v>
      </c>
      <c r="C765" s="0" t="s">
        <v>20</v>
      </c>
      <c r="D765" s="0" t="s">
        <v>42</v>
      </c>
      <c r="E765" s="10" t="n">
        <v>45752.3222222222</v>
      </c>
      <c r="F765" s="10" t="n">
        <v>45753.3013888889</v>
      </c>
      <c r="G765" s="0" t="n">
        <v>210.34</v>
      </c>
      <c r="H765" s="0" t="n">
        <v>208.79</v>
      </c>
      <c r="I765" s="11" t="n">
        <f aca="false">H765-G765</f>
        <v>-1.55000000000001</v>
      </c>
      <c r="J765" s="5" t="n">
        <f aca="false">IF(G765=0,"",I765/G765)</f>
        <v>-0.00736902158410199</v>
      </c>
      <c r="K765" s="0" t="n">
        <v>38.4</v>
      </c>
      <c r="L765" s="0" t="n">
        <v>0</v>
      </c>
      <c r="M765" s="11" t="s">
        <v>1332</v>
      </c>
      <c r="N765" s="12" t="n">
        <f aca="false">INT(E765)</f>
        <v>45752</v>
      </c>
      <c r="O765" s="12" t="n">
        <f aca="false">IF(F765="","",INT(F765))</f>
        <v>45753</v>
      </c>
    </row>
    <row r="766" customFormat="false" ht="15" hidden="false" customHeight="false" outlineLevel="0" collapsed="false">
      <c r="A766" s="0" t="s">
        <v>1573</v>
      </c>
      <c r="B766" s="0" t="s">
        <v>1574</v>
      </c>
      <c r="C766" s="0" t="s">
        <v>21</v>
      </c>
      <c r="D766" s="0" t="s">
        <v>42</v>
      </c>
      <c r="E766" s="10" t="n">
        <v>45752.3277777778</v>
      </c>
      <c r="F766" s="10" t="n">
        <v>45752.8368634259</v>
      </c>
      <c r="G766" s="0" t="n">
        <v>368.28</v>
      </c>
      <c r="H766" s="0" t="n">
        <v>368.88</v>
      </c>
      <c r="I766" s="11" t="n">
        <f aca="false">H766-G766</f>
        <v>0.600000000000023</v>
      </c>
      <c r="J766" s="5" t="n">
        <f aca="false">IF(G766=0,"",I766/G766)</f>
        <v>0.00162919517758234</v>
      </c>
      <c r="K766" s="0" t="n">
        <v>45</v>
      </c>
      <c r="L766" s="0" t="n">
        <v>0</v>
      </c>
      <c r="M766" s="11" t="s">
        <v>1332</v>
      </c>
      <c r="N766" s="12" t="n">
        <f aca="false">INT(E766)</f>
        <v>45752</v>
      </c>
      <c r="O766" s="12" t="n">
        <f aca="false">IF(F766="","",INT(F766))</f>
        <v>45752</v>
      </c>
    </row>
    <row r="767" customFormat="false" ht="15" hidden="false" customHeight="false" outlineLevel="0" collapsed="false">
      <c r="A767" s="0" t="s">
        <v>1575</v>
      </c>
      <c r="B767" s="0" t="s">
        <v>1576</v>
      </c>
      <c r="C767" s="0" t="s">
        <v>19</v>
      </c>
      <c r="D767" s="0" t="s">
        <v>42</v>
      </c>
      <c r="E767" s="10" t="n">
        <v>45752.3604166667</v>
      </c>
      <c r="F767" s="10" t="n">
        <v>45752.8296064815</v>
      </c>
      <c r="G767" s="0" t="n">
        <v>784.8</v>
      </c>
      <c r="H767" s="0" t="n">
        <v>772.22</v>
      </c>
      <c r="I767" s="11" t="n">
        <f aca="false">H767-G767</f>
        <v>-12.5799999999999</v>
      </c>
      <c r="J767" s="5" t="n">
        <f aca="false">IF(G767=0,"",I767/G767)</f>
        <v>-0.0160295616717634</v>
      </c>
      <c r="K767" s="0" t="n">
        <v>135.6</v>
      </c>
      <c r="L767" s="0" t="n">
        <v>0</v>
      </c>
      <c r="M767" s="11" t="s">
        <v>1332</v>
      </c>
      <c r="N767" s="12" t="n">
        <f aca="false">INT(E767)</f>
        <v>45752</v>
      </c>
      <c r="O767" s="12" t="n">
        <f aca="false">IF(F767="","",INT(F767))</f>
        <v>45752</v>
      </c>
    </row>
    <row r="768" customFormat="false" ht="15" hidden="false" customHeight="false" outlineLevel="0" collapsed="false">
      <c r="A768" s="0" t="s">
        <v>1577</v>
      </c>
      <c r="B768" s="0" t="s">
        <v>1578</v>
      </c>
      <c r="C768" s="0" t="s">
        <v>21</v>
      </c>
      <c r="D768" s="0" t="s">
        <v>42</v>
      </c>
      <c r="E768" s="10" t="n">
        <v>45752.3708333333</v>
      </c>
      <c r="F768" s="10" t="n">
        <v>45752.9578240741</v>
      </c>
      <c r="G768" s="0" t="n">
        <v>597.1</v>
      </c>
      <c r="H768" s="0" t="n">
        <v>588.48</v>
      </c>
      <c r="I768" s="11" t="n">
        <f aca="false">H768-G768</f>
        <v>-8.62000000000001</v>
      </c>
      <c r="J768" s="5" t="n">
        <f aca="false">IF(G768=0,"",I768/G768)</f>
        <v>-0.0144364428069</v>
      </c>
      <c r="K768" s="0" t="n">
        <v>100.2</v>
      </c>
      <c r="L768" s="0" t="n">
        <v>0</v>
      </c>
      <c r="M768" s="11" t="s">
        <v>1332</v>
      </c>
      <c r="N768" s="12" t="n">
        <f aca="false">INT(E768)</f>
        <v>45752</v>
      </c>
      <c r="O768" s="12" t="n">
        <f aca="false">IF(F768="","",INT(F768))</f>
        <v>45752</v>
      </c>
    </row>
    <row r="769" customFormat="false" ht="15" hidden="false" customHeight="false" outlineLevel="0" collapsed="false">
      <c r="A769" s="0" t="s">
        <v>1579</v>
      </c>
      <c r="B769" s="0" t="s">
        <v>1580</v>
      </c>
      <c r="C769" s="0" t="s">
        <v>23</v>
      </c>
      <c r="D769" s="0" t="s">
        <v>42</v>
      </c>
      <c r="E769" s="10" t="n">
        <v>45752.4055555556</v>
      </c>
      <c r="F769" s="10" t="n">
        <v>45752.9020833333</v>
      </c>
      <c r="G769" s="0" t="n">
        <v>326.75</v>
      </c>
      <c r="H769" s="0" t="n">
        <v>323.1</v>
      </c>
      <c r="I769" s="11" t="n">
        <f aca="false">H769-G769</f>
        <v>-3.64999999999998</v>
      </c>
      <c r="J769" s="5" t="n">
        <f aca="false">IF(G769=0,"",I769/G769)</f>
        <v>-0.0111706197398622</v>
      </c>
      <c r="K769" s="0" t="n">
        <v>111.5</v>
      </c>
      <c r="L769" s="0" t="n">
        <v>0</v>
      </c>
      <c r="M769" s="11" t="s">
        <v>1332</v>
      </c>
      <c r="N769" s="12" t="n">
        <f aca="false">INT(E769)</f>
        <v>45752</v>
      </c>
      <c r="O769" s="12" t="n">
        <f aca="false">IF(F769="","",INT(F769))</f>
        <v>45752</v>
      </c>
    </row>
    <row r="770" customFormat="false" ht="15" hidden="false" customHeight="false" outlineLevel="0" collapsed="false">
      <c r="A770" s="0" t="s">
        <v>1581</v>
      </c>
      <c r="B770" s="0" t="s">
        <v>1582</v>
      </c>
      <c r="C770" s="0" t="s">
        <v>20</v>
      </c>
      <c r="D770" s="0" t="s">
        <v>42</v>
      </c>
      <c r="E770" s="10" t="n">
        <v>45752.4097222222</v>
      </c>
      <c r="F770" s="10" t="n">
        <v>45752.9924074074</v>
      </c>
      <c r="G770" s="0" t="n">
        <v>512.41</v>
      </c>
      <c r="H770" s="0" t="n">
        <v>523.14</v>
      </c>
      <c r="I770" s="11" t="n">
        <f aca="false">H770-G770</f>
        <v>10.73</v>
      </c>
      <c r="J770" s="5" t="n">
        <f aca="false">IF(G770=0,"",I770/G770)</f>
        <v>0.0209402626802756</v>
      </c>
      <c r="K770" s="0" t="n">
        <v>79.7</v>
      </c>
      <c r="L770" s="0" t="n">
        <v>0</v>
      </c>
      <c r="M770" s="11" t="s">
        <v>1332</v>
      </c>
      <c r="N770" s="12" t="n">
        <f aca="false">INT(E770)</f>
        <v>45752</v>
      </c>
      <c r="O770" s="12" t="n">
        <f aca="false">IF(F770="","",INT(F770))</f>
        <v>45752</v>
      </c>
    </row>
    <row r="771" customFormat="false" ht="15" hidden="false" customHeight="false" outlineLevel="0" collapsed="false">
      <c r="A771" s="0" t="s">
        <v>1583</v>
      </c>
      <c r="B771" s="0" t="s">
        <v>1584</v>
      </c>
      <c r="C771" s="0" t="s">
        <v>23</v>
      </c>
      <c r="D771" s="0" t="s">
        <v>42</v>
      </c>
      <c r="E771" s="10" t="n">
        <v>45752.425</v>
      </c>
      <c r="F771" s="10" t="n">
        <v>45753.1263888889</v>
      </c>
      <c r="G771" s="0" t="n">
        <v>413.31</v>
      </c>
      <c r="H771" s="0" t="n">
        <v>393.29</v>
      </c>
      <c r="I771" s="11" t="n">
        <f aca="false">H771-G771</f>
        <v>-20.02</v>
      </c>
      <c r="J771" s="5" t="n">
        <f aca="false">IF(G771=0,"",I771/G771)</f>
        <v>-0.0484382182865161</v>
      </c>
      <c r="K771" s="0" t="n">
        <v>168.1</v>
      </c>
      <c r="L771" s="0" t="n">
        <v>0</v>
      </c>
      <c r="M771" s="11" t="s">
        <v>1332</v>
      </c>
      <c r="N771" s="12" t="n">
        <f aca="false">INT(E771)</f>
        <v>45752</v>
      </c>
      <c r="O771" s="12" t="n">
        <f aca="false">IF(F771="","",INT(F771))</f>
        <v>45753</v>
      </c>
    </row>
    <row r="772" customFormat="false" ht="15" hidden="false" customHeight="false" outlineLevel="0" collapsed="false">
      <c r="A772" s="0" t="s">
        <v>1585</v>
      </c>
      <c r="B772" s="0" t="s">
        <v>1586</v>
      </c>
      <c r="C772" s="0" t="s">
        <v>21</v>
      </c>
      <c r="D772" s="0" t="s">
        <v>42</v>
      </c>
      <c r="E772" s="10" t="n">
        <v>45752.4444444445</v>
      </c>
      <c r="F772" s="10" t="n">
        <v>45752.8686111111</v>
      </c>
      <c r="G772" s="0" t="n">
        <v>269.23</v>
      </c>
      <c r="H772" s="0" t="n">
        <v>270.95</v>
      </c>
      <c r="I772" s="11" t="n">
        <f aca="false">H772-G772</f>
        <v>1.71999999999997</v>
      </c>
      <c r="J772" s="5" t="n">
        <f aca="false">IF(G772=0,"",I772/G772)</f>
        <v>0.0063885896816847</v>
      </c>
      <c r="K772" s="0" t="n">
        <v>70.6</v>
      </c>
      <c r="L772" s="0" t="n">
        <v>0</v>
      </c>
      <c r="M772" s="11" t="s">
        <v>1332</v>
      </c>
      <c r="N772" s="12" t="n">
        <f aca="false">INT(E772)</f>
        <v>45752</v>
      </c>
      <c r="O772" s="12" t="n">
        <f aca="false">IF(F772="","",INT(F772))</f>
        <v>45752</v>
      </c>
    </row>
    <row r="773" customFormat="false" ht="15" hidden="false" customHeight="false" outlineLevel="0" collapsed="false">
      <c r="A773" s="0" t="s">
        <v>1587</v>
      </c>
      <c r="B773" s="0" t="s">
        <v>1588</v>
      </c>
      <c r="C773" s="0" t="s">
        <v>20</v>
      </c>
      <c r="D773" s="0" t="s">
        <v>42</v>
      </c>
      <c r="E773" s="10" t="n">
        <v>45752.4847222222</v>
      </c>
      <c r="F773" s="10" t="n">
        <v>45753.3054166667</v>
      </c>
      <c r="G773" s="0" t="n">
        <v>898.32</v>
      </c>
      <c r="H773" s="0" t="n">
        <v>897.04</v>
      </c>
      <c r="I773" s="11" t="n">
        <f aca="false">H773-G773</f>
        <v>-1.28000000000009</v>
      </c>
      <c r="J773" s="5" t="n">
        <f aca="false">IF(G773=0,"",I773/G773)</f>
        <v>-0.00142488200195931</v>
      </c>
      <c r="K773" s="0" t="n">
        <v>118.3</v>
      </c>
      <c r="L773" s="0" t="n">
        <v>0</v>
      </c>
      <c r="M773" s="11" t="s">
        <v>1332</v>
      </c>
      <c r="N773" s="12" t="n">
        <f aca="false">INT(E773)</f>
        <v>45752</v>
      </c>
      <c r="O773" s="12" t="n">
        <f aca="false">IF(F773="","",INT(F773))</f>
        <v>45753</v>
      </c>
    </row>
    <row r="774" customFormat="false" ht="15" hidden="false" customHeight="false" outlineLevel="0" collapsed="false">
      <c r="A774" s="0" t="s">
        <v>1589</v>
      </c>
      <c r="B774" s="0" t="s">
        <v>1590</v>
      </c>
      <c r="C774" s="0" t="s">
        <v>22</v>
      </c>
      <c r="D774" s="0" t="s">
        <v>42</v>
      </c>
      <c r="E774" s="10" t="n">
        <v>45752.4861111111</v>
      </c>
      <c r="F774" s="10" t="n">
        <v>45753.8992708333</v>
      </c>
      <c r="G774" s="0" t="n">
        <v>162.2</v>
      </c>
      <c r="H774" s="0" t="n">
        <v>163.55</v>
      </c>
      <c r="I774" s="11" t="n">
        <f aca="false">H774-G774</f>
        <v>1.35000000000002</v>
      </c>
      <c r="J774" s="5" t="n">
        <f aca="false">IF(G774=0,"",I774/G774)</f>
        <v>0.00832305795314441</v>
      </c>
      <c r="K774" s="0" t="n">
        <v>32.9</v>
      </c>
      <c r="L774" s="0" t="n">
        <v>0</v>
      </c>
      <c r="M774" s="11" t="s">
        <v>1332</v>
      </c>
      <c r="N774" s="12" t="n">
        <f aca="false">INT(E774)</f>
        <v>45752</v>
      </c>
      <c r="O774" s="12" t="n">
        <f aca="false">IF(F774="","",INT(F774))</f>
        <v>45753</v>
      </c>
    </row>
    <row r="775" customFormat="false" ht="15" hidden="false" customHeight="false" outlineLevel="0" collapsed="false">
      <c r="A775" s="0" t="s">
        <v>1591</v>
      </c>
      <c r="B775" s="0" t="s">
        <v>1592</v>
      </c>
      <c r="C775" s="0" t="s">
        <v>24</v>
      </c>
      <c r="D775" s="0" t="s">
        <v>42</v>
      </c>
      <c r="E775" s="10" t="n">
        <v>45752.4986111111</v>
      </c>
      <c r="F775" s="10" t="n">
        <v>45753.071412037</v>
      </c>
      <c r="G775" s="0" t="n">
        <v>214.27</v>
      </c>
      <c r="H775" s="0" t="n">
        <v>219.64</v>
      </c>
      <c r="I775" s="11" t="n">
        <f aca="false">H775-G775</f>
        <v>5.36999999999998</v>
      </c>
      <c r="J775" s="5" t="n">
        <f aca="false">IF(G775=0,"",I775/G775)</f>
        <v>0.0250618378681102</v>
      </c>
      <c r="K775" s="0" t="n">
        <v>53.6</v>
      </c>
      <c r="L775" s="0" t="n">
        <v>0</v>
      </c>
      <c r="M775" s="11" t="s">
        <v>1332</v>
      </c>
      <c r="N775" s="12" t="n">
        <f aca="false">INT(E775)</f>
        <v>45752</v>
      </c>
      <c r="O775" s="12" t="n">
        <f aca="false">IF(F775="","",INT(F775))</f>
        <v>45753</v>
      </c>
    </row>
    <row r="776" customFormat="false" ht="15" hidden="false" customHeight="false" outlineLevel="0" collapsed="false">
      <c r="A776" s="0" t="s">
        <v>1593</v>
      </c>
      <c r="B776" s="0" t="s">
        <v>1594</v>
      </c>
      <c r="C776" s="0" t="s">
        <v>23</v>
      </c>
      <c r="D776" s="0" t="s">
        <v>42</v>
      </c>
      <c r="E776" s="10" t="n">
        <v>45752.5263888889</v>
      </c>
      <c r="F776" s="10" t="n">
        <v>45753.1604166667</v>
      </c>
      <c r="G776" s="0" t="n">
        <v>468.94</v>
      </c>
      <c r="H776" s="0" t="n">
        <v>463.59</v>
      </c>
      <c r="I776" s="11" t="n">
        <f aca="false">H776-G776</f>
        <v>-5.35000000000002</v>
      </c>
      <c r="J776" s="5" t="n">
        <f aca="false">IF(G776=0,"",I776/G776)</f>
        <v>-0.0114087090032841</v>
      </c>
      <c r="K776" s="0" t="n">
        <v>128.6</v>
      </c>
      <c r="L776" s="0" t="n">
        <v>0</v>
      </c>
      <c r="M776" s="11" t="s">
        <v>1332</v>
      </c>
      <c r="N776" s="12" t="n">
        <f aca="false">INT(E776)</f>
        <v>45752</v>
      </c>
      <c r="O776" s="12" t="n">
        <f aca="false">IF(F776="","",INT(F776))</f>
        <v>45753</v>
      </c>
    </row>
    <row r="777" customFormat="false" ht="15" hidden="false" customHeight="false" outlineLevel="0" collapsed="false">
      <c r="A777" s="0" t="s">
        <v>1595</v>
      </c>
      <c r="B777" s="0" t="s">
        <v>1596</v>
      </c>
      <c r="C777" s="0" t="s">
        <v>20</v>
      </c>
      <c r="D777" s="0" t="s">
        <v>42</v>
      </c>
      <c r="E777" s="10" t="n">
        <v>45752.5326388889</v>
      </c>
      <c r="F777" s="10" t="n">
        <v>45754.2548611111</v>
      </c>
      <c r="G777" s="0" t="n">
        <v>859.95</v>
      </c>
      <c r="H777" s="0" t="n">
        <v>855.08</v>
      </c>
      <c r="I777" s="11" t="n">
        <f aca="false">H777-G777</f>
        <v>-4.87</v>
      </c>
      <c r="J777" s="5" t="n">
        <f aca="false">IF(G777=0,"",I777/G777)</f>
        <v>-0.00566311994883424</v>
      </c>
      <c r="K777" s="0" t="n">
        <v>126.1</v>
      </c>
      <c r="L777" s="0" t="n">
        <v>6.12</v>
      </c>
      <c r="M777" s="11" t="s">
        <v>1332</v>
      </c>
      <c r="N777" s="12" t="n">
        <f aca="false">INT(E777)</f>
        <v>45752</v>
      </c>
      <c r="O777" s="12" t="n">
        <f aca="false">IF(F777="","",INT(F777))</f>
        <v>45754</v>
      </c>
    </row>
    <row r="778" customFormat="false" ht="15" hidden="false" customHeight="false" outlineLevel="0" collapsed="false">
      <c r="A778" s="0" t="s">
        <v>1597</v>
      </c>
      <c r="B778" s="0" t="s">
        <v>1598</v>
      </c>
      <c r="C778" s="0" t="s">
        <v>22</v>
      </c>
      <c r="D778" s="0" t="s">
        <v>42</v>
      </c>
      <c r="E778" s="10" t="n">
        <v>45752.5493055556</v>
      </c>
      <c r="F778" s="10" t="n">
        <v>45752.7916666667</v>
      </c>
      <c r="G778" s="0" t="n">
        <v>861.62</v>
      </c>
      <c r="H778" s="0" t="n">
        <v>873.5</v>
      </c>
      <c r="I778" s="11" t="n">
        <f aca="false">H778-G778</f>
        <v>11.88</v>
      </c>
      <c r="J778" s="5" t="n">
        <f aca="false">IF(G778=0,"",I778/G778)</f>
        <v>0.0137879807803904</v>
      </c>
      <c r="K778" s="0" t="n">
        <v>114.1</v>
      </c>
      <c r="L778" s="0" t="n">
        <v>0</v>
      </c>
      <c r="M778" s="11" t="s">
        <v>1332</v>
      </c>
      <c r="N778" s="12" t="n">
        <f aca="false">INT(E778)</f>
        <v>45752</v>
      </c>
      <c r="O778" s="12" t="n">
        <f aca="false">IF(F778="","",INT(F778))</f>
        <v>45752</v>
      </c>
    </row>
    <row r="779" customFormat="false" ht="15" hidden="false" customHeight="false" outlineLevel="0" collapsed="false">
      <c r="A779" s="0" t="s">
        <v>1599</v>
      </c>
      <c r="B779" s="0" t="s">
        <v>1600</v>
      </c>
      <c r="C779" s="0" t="s">
        <v>23</v>
      </c>
      <c r="D779" s="0" t="s">
        <v>42</v>
      </c>
      <c r="E779" s="10" t="n">
        <v>45752.5576388889</v>
      </c>
      <c r="F779" s="10" t="n">
        <v>45753.5451388889</v>
      </c>
      <c r="G779" s="0" t="n">
        <v>628.74</v>
      </c>
      <c r="H779" s="0" t="n">
        <v>641.79</v>
      </c>
      <c r="I779" s="11" t="n">
        <f aca="false">H779-G779</f>
        <v>13.05</v>
      </c>
      <c r="J779" s="5" t="n">
        <f aca="false">IF(G779=0,"",I779/G779)</f>
        <v>0.0207557973089034</v>
      </c>
      <c r="K779" s="0" t="n">
        <v>239.9</v>
      </c>
      <c r="L779" s="0" t="n">
        <v>0</v>
      </c>
      <c r="M779" s="11" t="s">
        <v>1332</v>
      </c>
      <c r="N779" s="12" t="n">
        <f aca="false">INT(E779)</f>
        <v>45752</v>
      </c>
      <c r="O779" s="12" t="n">
        <f aca="false">IF(F779="","",INT(F779))</f>
        <v>45753</v>
      </c>
    </row>
    <row r="780" customFormat="false" ht="15" hidden="false" customHeight="false" outlineLevel="0" collapsed="false">
      <c r="A780" s="0" t="s">
        <v>1601</v>
      </c>
      <c r="B780" s="0" t="s">
        <v>1602</v>
      </c>
      <c r="C780" s="0" t="s">
        <v>21</v>
      </c>
      <c r="D780" s="0" t="s">
        <v>42</v>
      </c>
      <c r="E780" s="10" t="n">
        <v>45752.5645833333</v>
      </c>
      <c r="F780" s="10" t="n">
        <v>45753.0722222222</v>
      </c>
      <c r="G780" s="0" t="n">
        <v>340.04</v>
      </c>
      <c r="H780" s="0" t="n">
        <v>435.03</v>
      </c>
      <c r="I780" s="11" t="n">
        <f aca="false">H780-G780</f>
        <v>94.99</v>
      </c>
      <c r="J780" s="5" t="n">
        <f aca="false">IF(G780=0,"",I780/G780)</f>
        <v>0.279349488295495</v>
      </c>
      <c r="K780" s="0" t="n">
        <v>90.3</v>
      </c>
      <c r="L780" s="0" t="n">
        <v>0</v>
      </c>
      <c r="M780" s="11" t="s">
        <v>1332</v>
      </c>
      <c r="N780" s="12" t="n">
        <f aca="false">INT(E780)</f>
        <v>45752</v>
      </c>
      <c r="O780" s="12" t="n">
        <f aca="false">IF(F780="","",INT(F780))</f>
        <v>45753</v>
      </c>
    </row>
    <row r="781" customFormat="false" ht="15" hidden="false" customHeight="false" outlineLevel="0" collapsed="false">
      <c r="A781" s="0" t="s">
        <v>1603</v>
      </c>
      <c r="B781" s="0" t="s">
        <v>1604</v>
      </c>
      <c r="C781" s="0" t="s">
        <v>21</v>
      </c>
      <c r="D781" s="0" t="s">
        <v>42</v>
      </c>
      <c r="E781" s="10" t="n">
        <v>45752.5743055556</v>
      </c>
      <c r="F781" s="10" t="n">
        <v>45753.6484027778</v>
      </c>
      <c r="G781" s="0" t="n">
        <v>75.42</v>
      </c>
      <c r="H781" s="0" t="n">
        <v>74.24</v>
      </c>
      <c r="I781" s="11" t="n">
        <f aca="false">H781-G781</f>
        <v>-1.18000000000001</v>
      </c>
      <c r="J781" s="5" t="n">
        <f aca="false">IF(G781=0,"",I781/G781)</f>
        <v>-0.0156457173163618</v>
      </c>
      <c r="K781" s="0" t="n">
        <v>11.1</v>
      </c>
      <c r="L781" s="0" t="n">
        <v>0</v>
      </c>
      <c r="M781" s="11" t="s">
        <v>1332</v>
      </c>
      <c r="N781" s="12" t="n">
        <f aca="false">INT(E781)</f>
        <v>45752</v>
      </c>
      <c r="O781" s="12" t="n">
        <f aca="false">IF(F781="","",INT(F781))</f>
        <v>45753</v>
      </c>
    </row>
    <row r="782" customFormat="false" ht="15" hidden="false" customHeight="false" outlineLevel="0" collapsed="false">
      <c r="A782" s="0" t="s">
        <v>1605</v>
      </c>
      <c r="B782" s="0" t="s">
        <v>1606</v>
      </c>
      <c r="C782" s="0" t="s">
        <v>19</v>
      </c>
      <c r="D782" s="0" t="s">
        <v>42</v>
      </c>
      <c r="E782" s="10" t="n">
        <v>45752.6166666667</v>
      </c>
      <c r="F782" s="10" t="n">
        <v>45753.5993055556</v>
      </c>
      <c r="G782" s="0" t="n">
        <v>275.21</v>
      </c>
      <c r="H782" s="0" t="n">
        <v>272.42</v>
      </c>
      <c r="I782" s="11" t="n">
        <f aca="false">H782-G782</f>
        <v>-2.78999999999996</v>
      </c>
      <c r="J782" s="5" t="n">
        <f aca="false">IF(G782=0,"",I782/G782)</f>
        <v>-0.0101377130191489</v>
      </c>
      <c r="K782" s="0" t="n">
        <v>34.6</v>
      </c>
      <c r="L782" s="0" t="n">
        <v>0</v>
      </c>
      <c r="M782" s="11" t="s">
        <v>1332</v>
      </c>
      <c r="N782" s="12" t="n">
        <f aca="false">INT(E782)</f>
        <v>45752</v>
      </c>
      <c r="O782" s="12" t="n">
        <f aca="false">IF(F782="","",INT(F782))</f>
        <v>45753</v>
      </c>
    </row>
    <row r="783" customFormat="false" ht="15" hidden="false" customHeight="false" outlineLevel="0" collapsed="false">
      <c r="A783" s="0" t="s">
        <v>1607</v>
      </c>
      <c r="B783" s="0" t="s">
        <v>1608</v>
      </c>
      <c r="C783" s="0" t="s">
        <v>23</v>
      </c>
      <c r="D783" s="0" t="s">
        <v>42</v>
      </c>
      <c r="E783" s="10" t="n">
        <v>45752.6194444444</v>
      </c>
      <c r="F783" s="10" t="n">
        <v>45753.9128240741</v>
      </c>
      <c r="G783" s="0" t="n">
        <v>370.6</v>
      </c>
      <c r="H783" s="0" t="n">
        <v>373.94</v>
      </c>
      <c r="I783" s="11" t="n">
        <f aca="false">H783-G783</f>
        <v>3.33999999999998</v>
      </c>
      <c r="J783" s="5" t="n">
        <f aca="false">IF(G783=0,"",I783/G783)</f>
        <v>0.00901241230437122</v>
      </c>
      <c r="K783" s="0" t="n">
        <v>141.4</v>
      </c>
      <c r="L783" s="0" t="n">
        <v>0</v>
      </c>
      <c r="M783" s="11" t="s">
        <v>1332</v>
      </c>
      <c r="N783" s="12" t="n">
        <f aca="false">INT(E783)</f>
        <v>45752</v>
      </c>
      <c r="O783" s="12" t="n">
        <f aca="false">IF(F783="","",INT(F783))</f>
        <v>45753</v>
      </c>
    </row>
    <row r="784" customFormat="false" ht="15" hidden="false" customHeight="false" outlineLevel="0" collapsed="false">
      <c r="A784" s="0" t="s">
        <v>1609</v>
      </c>
      <c r="B784" s="0" t="s">
        <v>1610</v>
      </c>
      <c r="C784" s="0" t="s">
        <v>19</v>
      </c>
      <c r="D784" s="0" t="s">
        <v>42</v>
      </c>
      <c r="E784" s="10" t="n">
        <v>45752.6256944445</v>
      </c>
      <c r="F784" s="10" t="n">
        <v>45753.4875</v>
      </c>
      <c r="G784" s="0" t="n">
        <v>138.03</v>
      </c>
      <c r="H784" s="0" t="n">
        <v>139.63</v>
      </c>
      <c r="I784" s="11" t="n">
        <f aca="false">H784-G784</f>
        <v>1.59999999999999</v>
      </c>
      <c r="J784" s="5" t="n">
        <f aca="false">IF(G784=0,"",I784/G784)</f>
        <v>0.0115916829674708</v>
      </c>
      <c r="K784" s="0" t="n">
        <v>23.7</v>
      </c>
      <c r="L784" s="0" t="n">
        <v>0</v>
      </c>
      <c r="M784" s="11" t="s">
        <v>1332</v>
      </c>
      <c r="N784" s="12" t="n">
        <f aca="false">INT(E784)</f>
        <v>45752</v>
      </c>
      <c r="O784" s="12" t="n">
        <f aca="false">IF(F784="","",INT(F784))</f>
        <v>45753</v>
      </c>
    </row>
    <row r="785" customFormat="false" ht="15" hidden="false" customHeight="false" outlineLevel="0" collapsed="false">
      <c r="A785" s="0" t="s">
        <v>1611</v>
      </c>
      <c r="B785" s="0" t="s">
        <v>1612</v>
      </c>
      <c r="C785" s="0" t="s">
        <v>21</v>
      </c>
      <c r="D785" s="0" t="s">
        <v>42</v>
      </c>
      <c r="E785" s="10" t="n">
        <v>45752.6284722222</v>
      </c>
      <c r="F785" s="10" t="n">
        <v>45753.2708333333</v>
      </c>
      <c r="G785" s="0" t="n">
        <v>465.78</v>
      </c>
      <c r="H785" s="0" t="n">
        <v>489.71</v>
      </c>
      <c r="I785" s="11" t="n">
        <f aca="false">H785-G785</f>
        <v>23.93</v>
      </c>
      <c r="J785" s="5" t="n">
        <f aca="false">IF(G785=0,"",I785/G785)</f>
        <v>0.0513761861823179</v>
      </c>
      <c r="K785" s="0" t="n">
        <v>94.4</v>
      </c>
      <c r="L785" s="0" t="n">
        <v>0</v>
      </c>
      <c r="M785" s="11" t="s">
        <v>1332</v>
      </c>
      <c r="N785" s="12" t="n">
        <f aca="false">INT(E785)</f>
        <v>45752</v>
      </c>
      <c r="O785" s="12" t="n">
        <f aca="false">IF(F785="","",INT(F785))</f>
        <v>45753</v>
      </c>
    </row>
    <row r="786" customFormat="false" ht="15" hidden="false" customHeight="false" outlineLevel="0" collapsed="false">
      <c r="A786" s="0" t="s">
        <v>1613</v>
      </c>
      <c r="B786" s="0" t="s">
        <v>1614</v>
      </c>
      <c r="C786" s="0" t="s">
        <v>19</v>
      </c>
      <c r="D786" s="0" t="s">
        <v>42</v>
      </c>
      <c r="E786" s="10" t="n">
        <v>45752.6583333333</v>
      </c>
      <c r="F786" s="10" t="n">
        <v>45753.2383333333</v>
      </c>
      <c r="G786" s="0" t="n">
        <v>307.82</v>
      </c>
      <c r="H786" s="0" t="n">
        <v>308.46</v>
      </c>
      <c r="I786" s="11" t="n">
        <f aca="false">H786-G786</f>
        <v>0.639999999999986</v>
      </c>
      <c r="J786" s="5" t="n">
        <f aca="false">IF(G786=0,"",I786/G786)</f>
        <v>0.00207913715807935</v>
      </c>
      <c r="K786" s="0" t="n">
        <v>36.7</v>
      </c>
      <c r="L786" s="0" t="n">
        <v>0</v>
      </c>
      <c r="M786" s="11" t="s">
        <v>1332</v>
      </c>
      <c r="N786" s="12" t="n">
        <f aca="false">INT(E786)</f>
        <v>45752</v>
      </c>
      <c r="O786" s="12" t="n">
        <f aca="false">IF(F786="","",INT(F786))</f>
        <v>45753</v>
      </c>
    </row>
    <row r="787" customFormat="false" ht="15" hidden="false" customHeight="false" outlineLevel="0" collapsed="false">
      <c r="A787" s="0" t="s">
        <v>1615</v>
      </c>
      <c r="B787" s="0" t="s">
        <v>1616</v>
      </c>
      <c r="C787" s="0" t="s">
        <v>20</v>
      </c>
      <c r="D787" s="0" t="s">
        <v>42</v>
      </c>
      <c r="E787" s="10" t="n">
        <v>45752.6909722222</v>
      </c>
      <c r="F787" s="10" t="n">
        <v>45753.2951388889</v>
      </c>
      <c r="G787" s="0" t="n">
        <v>1285.42</v>
      </c>
      <c r="H787" s="0" t="n">
        <v>1304.24</v>
      </c>
      <c r="I787" s="11" t="n">
        <f aca="false">H787-G787</f>
        <v>18.8199999999999</v>
      </c>
      <c r="J787" s="5" t="n">
        <f aca="false">IF(G787=0,"",I787/G787)</f>
        <v>0.0146411289695196</v>
      </c>
      <c r="K787" s="0" t="n">
        <v>199.4</v>
      </c>
      <c r="L787" s="0" t="n">
        <v>0</v>
      </c>
      <c r="M787" s="11" t="s">
        <v>1332</v>
      </c>
      <c r="N787" s="12" t="n">
        <f aca="false">INT(E787)</f>
        <v>45752</v>
      </c>
      <c r="O787" s="12" t="n">
        <f aca="false">IF(F787="","",INT(F787))</f>
        <v>45753</v>
      </c>
    </row>
    <row r="788" customFormat="false" ht="15" hidden="false" customHeight="false" outlineLevel="0" collapsed="false">
      <c r="A788" s="0" t="s">
        <v>1617</v>
      </c>
      <c r="B788" s="0" t="s">
        <v>1618</v>
      </c>
      <c r="C788" s="0" t="s">
        <v>23</v>
      </c>
      <c r="D788" s="0" t="s">
        <v>303</v>
      </c>
      <c r="E788" s="10" t="n">
        <v>45752.7104166667</v>
      </c>
      <c r="F788" s="10"/>
      <c r="G788" s="0" t="n">
        <v>193.2</v>
      </c>
      <c r="H788" s="0" t="n">
        <v>190.34</v>
      </c>
      <c r="I788" s="11" t="n">
        <f aca="false">H788-G788</f>
        <v>-2.85999999999999</v>
      </c>
      <c r="J788" s="5" t="n">
        <f aca="false">IF(G788=0,"",I788/G788)</f>
        <v>-0.0148033126293995</v>
      </c>
      <c r="K788" s="0" t="n">
        <v>61.5</v>
      </c>
      <c r="M788" s="11" t="s">
        <v>1332</v>
      </c>
      <c r="N788" s="12" t="n">
        <f aca="false">INT(E788)</f>
        <v>45752</v>
      </c>
      <c r="O788" s="12" t="str">
        <f aca="false">IF(F788="","",INT(F788))</f>
        <v/>
      </c>
    </row>
    <row r="789" customFormat="false" ht="15" hidden="false" customHeight="false" outlineLevel="0" collapsed="false">
      <c r="A789" s="0" t="s">
        <v>1619</v>
      </c>
      <c r="B789" s="0" t="s">
        <v>1620</v>
      </c>
      <c r="C789" s="0" t="s">
        <v>23</v>
      </c>
      <c r="D789" s="0" t="s">
        <v>42</v>
      </c>
      <c r="E789" s="10" t="n">
        <v>45752.7118055556</v>
      </c>
      <c r="F789" s="10" t="n">
        <v>45753.8479166667</v>
      </c>
      <c r="G789" s="0" t="n">
        <v>785.69</v>
      </c>
      <c r="H789" s="0" t="n">
        <v>770.78</v>
      </c>
      <c r="I789" s="11" t="n">
        <f aca="false">H789-G789</f>
        <v>-14.9100000000001</v>
      </c>
      <c r="J789" s="5" t="n">
        <f aca="false">IF(G789=0,"",I789/G789)</f>
        <v>-0.0189769501966425</v>
      </c>
      <c r="K789" s="0" t="n">
        <v>311.5</v>
      </c>
      <c r="L789" s="0" t="n">
        <v>0</v>
      </c>
      <c r="M789" s="11" t="s">
        <v>1332</v>
      </c>
      <c r="N789" s="12" t="n">
        <f aca="false">INT(E789)</f>
        <v>45752</v>
      </c>
      <c r="O789" s="12" t="n">
        <f aca="false">IF(F789="","",INT(F789))</f>
        <v>45753</v>
      </c>
    </row>
    <row r="790" customFormat="false" ht="15" hidden="false" customHeight="false" outlineLevel="0" collapsed="false">
      <c r="A790" s="0" t="s">
        <v>1621</v>
      </c>
      <c r="B790" s="0" t="s">
        <v>1622</v>
      </c>
      <c r="C790" s="0" t="s">
        <v>21</v>
      </c>
      <c r="D790" s="0" t="s">
        <v>42</v>
      </c>
      <c r="E790" s="10" t="n">
        <v>45752.7131944444</v>
      </c>
      <c r="F790" s="10" t="n">
        <v>45753.2506944445</v>
      </c>
      <c r="G790" s="0" t="n">
        <v>392.23</v>
      </c>
      <c r="H790" s="0" t="n">
        <v>401.19</v>
      </c>
      <c r="I790" s="11" t="n">
        <f aca="false">H790-G790</f>
        <v>8.95999999999998</v>
      </c>
      <c r="J790" s="5" t="n">
        <f aca="false">IF(G790=0,"",I790/G790)</f>
        <v>0.0228437396425566</v>
      </c>
      <c r="K790" s="0" t="n">
        <v>109.5</v>
      </c>
      <c r="L790" s="0" t="n">
        <v>0</v>
      </c>
      <c r="M790" s="11" t="s">
        <v>1332</v>
      </c>
      <c r="N790" s="12" t="n">
        <f aca="false">INT(E790)</f>
        <v>45752</v>
      </c>
      <c r="O790" s="12" t="n">
        <f aca="false">IF(F790="","",INT(F790))</f>
        <v>45753</v>
      </c>
    </row>
    <row r="791" customFormat="false" ht="15" hidden="false" customHeight="false" outlineLevel="0" collapsed="false">
      <c r="A791" s="0" t="s">
        <v>1623</v>
      </c>
      <c r="B791" s="0" t="s">
        <v>1624</v>
      </c>
      <c r="C791" s="0" t="s">
        <v>19</v>
      </c>
      <c r="D791" s="0" t="s">
        <v>42</v>
      </c>
      <c r="E791" s="10" t="n">
        <v>45752.7319444444</v>
      </c>
      <c r="F791" s="10" t="n">
        <v>45753.5319444445</v>
      </c>
      <c r="G791" s="0" t="n">
        <v>294.1</v>
      </c>
      <c r="H791" s="0" t="n">
        <v>207.76</v>
      </c>
      <c r="I791" s="11" t="n">
        <f aca="false">H791-G791</f>
        <v>-86.34</v>
      </c>
      <c r="J791" s="5" t="n">
        <f aca="false">IF(G791=0,"",I791/G791)</f>
        <v>-0.293573614416865</v>
      </c>
      <c r="K791" s="0" t="n">
        <v>31.2</v>
      </c>
      <c r="L791" s="0" t="n">
        <v>0</v>
      </c>
      <c r="M791" s="11" t="s">
        <v>1332</v>
      </c>
      <c r="N791" s="12" t="n">
        <f aca="false">INT(E791)</f>
        <v>45752</v>
      </c>
      <c r="O791" s="12" t="n">
        <f aca="false">IF(F791="","",INT(F791))</f>
        <v>45753</v>
      </c>
    </row>
    <row r="792" customFormat="false" ht="15" hidden="false" customHeight="false" outlineLevel="0" collapsed="false">
      <c r="A792" s="0" t="s">
        <v>1625</v>
      </c>
      <c r="B792" s="0" t="s">
        <v>1626</v>
      </c>
      <c r="C792" s="0" t="s">
        <v>24</v>
      </c>
      <c r="D792" s="0" t="s">
        <v>42</v>
      </c>
      <c r="E792" s="10" t="n">
        <v>45752.7784722222</v>
      </c>
      <c r="F792" s="10" t="n">
        <v>45754.8858449074</v>
      </c>
      <c r="G792" s="0" t="n">
        <v>225.27</v>
      </c>
      <c r="H792" s="0" t="n">
        <v>232.64</v>
      </c>
      <c r="I792" s="11" t="n">
        <f aca="false">H792-G792</f>
        <v>7.36999999999998</v>
      </c>
      <c r="J792" s="5" t="n">
        <f aca="false">IF(G792=0,"",I792/G792)</f>
        <v>0.032716296000355</v>
      </c>
      <c r="K792" s="0" t="n">
        <v>58.7</v>
      </c>
      <c r="L792" s="0" t="n">
        <v>21.26</v>
      </c>
      <c r="M792" s="11" t="s">
        <v>1332</v>
      </c>
      <c r="N792" s="12" t="n">
        <f aca="false">INT(E792)</f>
        <v>45752</v>
      </c>
      <c r="O792" s="12" t="n">
        <f aca="false">IF(F792="","",INT(F792))</f>
        <v>45754</v>
      </c>
    </row>
    <row r="793" customFormat="false" ht="15" hidden="false" customHeight="false" outlineLevel="0" collapsed="false">
      <c r="A793" s="0" t="s">
        <v>1627</v>
      </c>
      <c r="B793" s="0" t="s">
        <v>1628</v>
      </c>
      <c r="C793" s="0" t="s">
        <v>23</v>
      </c>
      <c r="D793" s="0" t="s">
        <v>42</v>
      </c>
      <c r="E793" s="10" t="n">
        <v>45752.7826388889</v>
      </c>
      <c r="F793" s="10" t="n">
        <v>45753.9222222222</v>
      </c>
      <c r="G793" s="0" t="n">
        <v>920.55</v>
      </c>
      <c r="H793" s="0" t="n">
        <v>939.11</v>
      </c>
      <c r="I793" s="11" t="n">
        <f aca="false">H793-G793</f>
        <v>18.5600000000001</v>
      </c>
      <c r="J793" s="5" t="n">
        <f aca="false">IF(G793=0,"",I793/G793)</f>
        <v>0.0201618597577536</v>
      </c>
      <c r="K793" s="0" t="n">
        <v>271.3</v>
      </c>
      <c r="L793" s="0" t="n">
        <v>0</v>
      </c>
      <c r="M793" s="11" t="s">
        <v>1332</v>
      </c>
      <c r="N793" s="12" t="n">
        <f aca="false">INT(E793)</f>
        <v>45752</v>
      </c>
      <c r="O793" s="12" t="n">
        <f aca="false">IF(F793="","",INT(F793))</f>
        <v>45753</v>
      </c>
    </row>
    <row r="794" customFormat="false" ht="15" hidden="false" customHeight="false" outlineLevel="0" collapsed="false">
      <c r="A794" s="0" t="s">
        <v>1629</v>
      </c>
      <c r="B794" s="0" t="s">
        <v>1630</v>
      </c>
      <c r="C794" s="0" t="s">
        <v>22</v>
      </c>
      <c r="D794" s="0" t="s">
        <v>42</v>
      </c>
      <c r="E794" s="10" t="n">
        <v>45752.7868055556</v>
      </c>
      <c r="F794" s="10" t="n">
        <v>45752.9925347222</v>
      </c>
      <c r="G794" s="0" t="n">
        <v>562.2</v>
      </c>
      <c r="H794" s="0" t="n">
        <v>565.43</v>
      </c>
      <c r="I794" s="11" t="n">
        <f aca="false">H794-G794</f>
        <v>3.2299999999999</v>
      </c>
      <c r="J794" s="5" t="n">
        <f aca="false">IF(G794=0,"",I794/G794)</f>
        <v>0.00574528637495536</v>
      </c>
      <c r="K794" s="0" t="n">
        <v>55.5</v>
      </c>
      <c r="L794" s="0" t="n">
        <v>0</v>
      </c>
      <c r="M794" s="11" t="s">
        <v>1332</v>
      </c>
      <c r="N794" s="12" t="n">
        <f aca="false">INT(E794)</f>
        <v>45752</v>
      </c>
      <c r="O794" s="12" t="n">
        <f aca="false">IF(F794="","",INT(F794))</f>
        <v>45752</v>
      </c>
    </row>
    <row r="795" customFormat="false" ht="15" hidden="false" customHeight="false" outlineLevel="0" collapsed="false">
      <c r="A795" s="0" t="s">
        <v>1631</v>
      </c>
      <c r="B795" s="0" t="s">
        <v>1632</v>
      </c>
      <c r="C795" s="0" t="s">
        <v>23</v>
      </c>
      <c r="D795" s="0" t="s">
        <v>42</v>
      </c>
      <c r="E795" s="10" t="n">
        <v>45754.3006944444</v>
      </c>
      <c r="F795" s="10" t="n">
        <v>45755.4138888889</v>
      </c>
      <c r="G795" s="0" t="n">
        <v>165.51</v>
      </c>
      <c r="H795" s="0" t="n">
        <v>164.17</v>
      </c>
      <c r="I795" s="11" t="n">
        <f aca="false">H795-G795</f>
        <v>-1.34</v>
      </c>
      <c r="J795" s="5" t="n">
        <f aca="false">IF(G795=0,"",I795/G795)</f>
        <v>-0.0080961875415383</v>
      </c>
      <c r="K795" s="0" t="n">
        <v>53.5</v>
      </c>
      <c r="L795" s="0" t="n">
        <v>26.72</v>
      </c>
      <c r="M795" s="11" t="s">
        <v>1332</v>
      </c>
      <c r="N795" s="12" t="n">
        <f aca="false">INT(E795)</f>
        <v>45754</v>
      </c>
      <c r="O795" s="12" t="n">
        <f aca="false">IF(F795="","",INT(F795))</f>
        <v>45755</v>
      </c>
    </row>
    <row r="796" customFormat="false" ht="15" hidden="false" customHeight="false" outlineLevel="0" collapsed="false">
      <c r="A796" s="0" t="s">
        <v>1633</v>
      </c>
      <c r="B796" s="0" t="s">
        <v>1634</v>
      </c>
      <c r="C796" s="0" t="s">
        <v>22</v>
      </c>
      <c r="D796" s="0" t="s">
        <v>42</v>
      </c>
      <c r="E796" s="10" t="n">
        <v>45754.3402777778</v>
      </c>
      <c r="F796" s="10" t="n">
        <v>45755.2520833333</v>
      </c>
      <c r="G796" s="0" t="n">
        <v>106.95</v>
      </c>
      <c r="H796" s="0" t="n">
        <v>107.73</v>
      </c>
      <c r="I796" s="11" t="n">
        <f aca="false">H796-G796</f>
        <v>0.780000000000001</v>
      </c>
      <c r="J796" s="5" t="n">
        <f aca="false">IF(G796=0,"",I796/G796)</f>
        <v>0.00729312762973353</v>
      </c>
      <c r="K796" s="0" t="n">
        <v>18.1</v>
      </c>
      <c r="L796" s="0" t="n">
        <v>21.88</v>
      </c>
      <c r="M796" s="11" t="s">
        <v>1332</v>
      </c>
      <c r="N796" s="12" t="n">
        <f aca="false">INT(E796)</f>
        <v>45754</v>
      </c>
      <c r="O796" s="12" t="n">
        <f aca="false">IF(F796="","",INT(F796))</f>
        <v>45755</v>
      </c>
    </row>
    <row r="797" customFormat="false" ht="15" hidden="false" customHeight="false" outlineLevel="0" collapsed="false">
      <c r="A797" s="0" t="s">
        <v>1635</v>
      </c>
      <c r="B797" s="0" t="s">
        <v>1636</v>
      </c>
      <c r="C797" s="0" t="s">
        <v>21</v>
      </c>
      <c r="D797" s="0" t="s">
        <v>42</v>
      </c>
      <c r="E797" s="10" t="n">
        <v>45754.3541666667</v>
      </c>
      <c r="F797" s="10" t="n">
        <v>45755.5506944444</v>
      </c>
      <c r="G797" s="0" t="n">
        <v>250.8</v>
      </c>
      <c r="H797" s="0" t="n">
        <v>253.46</v>
      </c>
      <c r="I797" s="11" t="n">
        <f aca="false">H797-G797</f>
        <v>2.66</v>
      </c>
      <c r="J797" s="5" t="n">
        <f aca="false">IF(G797=0,"",I797/G797)</f>
        <v>0.0106060606060606</v>
      </c>
      <c r="K797" s="0" t="n">
        <v>62.3</v>
      </c>
      <c r="L797" s="0" t="n">
        <v>28.72</v>
      </c>
      <c r="M797" s="11" t="s">
        <v>1332</v>
      </c>
      <c r="N797" s="12" t="n">
        <f aca="false">INT(E797)</f>
        <v>45754</v>
      </c>
      <c r="O797" s="12" t="n">
        <f aca="false">IF(F797="","",INT(F797))</f>
        <v>45755</v>
      </c>
    </row>
    <row r="798" customFormat="false" ht="15" hidden="false" customHeight="false" outlineLevel="0" collapsed="false">
      <c r="A798" s="0" t="s">
        <v>1637</v>
      </c>
      <c r="B798" s="0" t="s">
        <v>1638</v>
      </c>
      <c r="C798" s="0" t="s">
        <v>19</v>
      </c>
      <c r="D798" s="0" t="s">
        <v>42</v>
      </c>
      <c r="E798" s="10" t="n">
        <v>45754.3618055556</v>
      </c>
      <c r="F798" s="10" t="n">
        <v>45755.5048611111</v>
      </c>
      <c r="G798" s="0" t="n">
        <v>957.7</v>
      </c>
      <c r="H798" s="0" t="n">
        <v>956.36</v>
      </c>
      <c r="I798" s="11" t="n">
        <f aca="false">H798-G798</f>
        <v>-1.34000000000003</v>
      </c>
      <c r="J798" s="5" t="n">
        <f aca="false">IF(G798=0,"",I798/G798)</f>
        <v>-0.00139918554871049</v>
      </c>
      <c r="K798" s="0" t="n">
        <v>93.1</v>
      </c>
      <c r="L798" s="0" t="n">
        <v>27.43</v>
      </c>
      <c r="M798" s="11" t="s">
        <v>1332</v>
      </c>
      <c r="N798" s="12" t="n">
        <f aca="false">INT(E798)</f>
        <v>45754</v>
      </c>
      <c r="O798" s="12" t="n">
        <f aca="false">IF(F798="","",INT(F798))</f>
        <v>45755</v>
      </c>
    </row>
    <row r="799" customFormat="false" ht="15" hidden="false" customHeight="false" outlineLevel="0" collapsed="false">
      <c r="A799" s="0" t="s">
        <v>1639</v>
      </c>
      <c r="B799" s="0" t="s">
        <v>1640</v>
      </c>
      <c r="C799" s="0" t="s">
        <v>21</v>
      </c>
      <c r="D799" s="0" t="s">
        <v>42</v>
      </c>
      <c r="E799" s="10" t="n">
        <v>45754.4055555556</v>
      </c>
      <c r="F799" s="10" t="n">
        <v>45754.7916666667</v>
      </c>
      <c r="G799" s="0" t="n">
        <v>100.58</v>
      </c>
      <c r="H799" s="0" t="n">
        <v>102.07</v>
      </c>
      <c r="I799" s="11" t="n">
        <f aca="false">H799-G799</f>
        <v>1.48999999999999</v>
      </c>
      <c r="J799" s="5" t="n">
        <f aca="false">IF(G799=0,"",I799/G799)</f>
        <v>0.0148140783455955</v>
      </c>
      <c r="K799" s="0" t="n">
        <v>18</v>
      </c>
      <c r="L799" s="0" t="n">
        <v>9.27</v>
      </c>
      <c r="M799" s="11" t="s">
        <v>1332</v>
      </c>
      <c r="N799" s="12" t="n">
        <f aca="false">INT(E799)</f>
        <v>45754</v>
      </c>
      <c r="O799" s="12" t="n">
        <f aca="false">IF(F799="","",INT(F799))</f>
        <v>45754</v>
      </c>
    </row>
    <row r="800" customFormat="false" ht="15" hidden="false" customHeight="false" outlineLevel="0" collapsed="false">
      <c r="A800" s="0" t="s">
        <v>1641</v>
      </c>
      <c r="B800" s="0" t="s">
        <v>1642</v>
      </c>
      <c r="C800" s="0" t="s">
        <v>20</v>
      </c>
      <c r="D800" s="0" t="s">
        <v>42</v>
      </c>
      <c r="E800" s="10" t="n">
        <v>45754.4166666667</v>
      </c>
      <c r="F800" s="10" t="n">
        <v>45755.2541666667</v>
      </c>
      <c r="G800" s="0" t="n">
        <v>1798.06</v>
      </c>
      <c r="H800" s="0" t="n">
        <v>1734.57</v>
      </c>
      <c r="I800" s="11" t="n">
        <f aca="false">H800-G800</f>
        <v>-63.49</v>
      </c>
      <c r="J800" s="5" t="n">
        <f aca="false">IF(G800=0,"",I800/G800)</f>
        <v>-0.0353102788561005</v>
      </c>
      <c r="K800" s="0" t="n">
        <v>354.9</v>
      </c>
      <c r="L800" s="0" t="n">
        <v>20.1</v>
      </c>
      <c r="M800" s="11" t="s">
        <v>1332</v>
      </c>
      <c r="N800" s="12" t="n">
        <f aca="false">INT(E800)</f>
        <v>45754</v>
      </c>
      <c r="O800" s="12" t="n">
        <f aca="false">IF(F800="","",INT(F800))</f>
        <v>45755</v>
      </c>
    </row>
    <row r="801" customFormat="false" ht="15" hidden="false" customHeight="false" outlineLevel="0" collapsed="false">
      <c r="A801" s="0" t="s">
        <v>1643</v>
      </c>
      <c r="B801" s="0" t="s">
        <v>1644</v>
      </c>
      <c r="C801" s="0" t="s">
        <v>19</v>
      </c>
      <c r="D801" s="0" t="s">
        <v>48</v>
      </c>
      <c r="E801" s="10" t="n">
        <v>45754.4361111111</v>
      </c>
      <c r="F801" s="10"/>
      <c r="G801" s="0" t="n">
        <v>717.77</v>
      </c>
      <c r="H801" s="0" t="n">
        <v>727.95</v>
      </c>
      <c r="I801" s="11" t="n">
        <f aca="false">H801-G801</f>
        <v>10.1800000000001</v>
      </c>
      <c r="J801" s="5" t="n">
        <f aca="false">IF(G801=0,"",I801/G801)</f>
        <v>0.0141828162224669</v>
      </c>
      <c r="K801" s="0" t="n">
        <v>69.7</v>
      </c>
      <c r="M801" s="11" t="s">
        <v>1332</v>
      </c>
      <c r="N801" s="12" t="n">
        <f aca="false">INT(E801)</f>
        <v>45754</v>
      </c>
      <c r="O801" s="12" t="str">
        <f aca="false">IF(F801="","",INT(F801))</f>
        <v/>
      </c>
    </row>
    <row r="802" customFormat="false" ht="15" hidden="false" customHeight="false" outlineLevel="0" collapsed="false">
      <c r="A802" s="0" t="s">
        <v>1645</v>
      </c>
      <c r="B802" s="0" t="s">
        <v>1646</v>
      </c>
      <c r="C802" s="0" t="s">
        <v>24</v>
      </c>
      <c r="D802" s="0" t="s">
        <v>42</v>
      </c>
      <c r="E802" s="10" t="n">
        <v>45754.4395833333</v>
      </c>
      <c r="F802" s="10" t="n">
        <v>45755.4080555556</v>
      </c>
      <c r="G802" s="0" t="n">
        <v>535.9</v>
      </c>
      <c r="H802" s="0" t="n">
        <v>534.36</v>
      </c>
      <c r="I802" s="11" t="n">
        <f aca="false">H802-G802</f>
        <v>-1.53999999999996</v>
      </c>
      <c r="J802" s="5" t="n">
        <f aca="false">IF(G802=0,"",I802/G802)</f>
        <v>-0.00287367046090682</v>
      </c>
      <c r="K802" s="0" t="n">
        <v>150.5</v>
      </c>
      <c r="L802" s="0" t="n">
        <v>23.24</v>
      </c>
      <c r="M802" s="11" t="s">
        <v>1332</v>
      </c>
      <c r="N802" s="12" t="n">
        <f aca="false">INT(E802)</f>
        <v>45754</v>
      </c>
      <c r="O802" s="12" t="n">
        <f aca="false">IF(F802="","",INT(F802))</f>
        <v>45755</v>
      </c>
    </row>
    <row r="803" customFormat="false" ht="15" hidden="false" customHeight="false" outlineLevel="0" collapsed="false">
      <c r="A803" s="0" t="s">
        <v>1647</v>
      </c>
      <c r="B803" s="0" t="s">
        <v>1648</v>
      </c>
      <c r="C803" s="0" t="s">
        <v>21</v>
      </c>
      <c r="D803" s="0" t="s">
        <v>42</v>
      </c>
      <c r="E803" s="10" t="n">
        <v>45754.4416666667</v>
      </c>
      <c r="F803" s="10" t="n">
        <v>45754.9388888889</v>
      </c>
      <c r="G803" s="0" t="n">
        <v>151.98</v>
      </c>
      <c r="H803" s="0" t="n">
        <v>148.93</v>
      </c>
      <c r="I803" s="11" t="n">
        <f aca="false">H803-G803</f>
        <v>-3.04999999999998</v>
      </c>
      <c r="J803" s="5" t="n">
        <f aca="false">IF(G803=0,"",I803/G803)</f>
        <v>-0.0200684300565863</v>
      </c>
      <c r="K803" s="0" t="n">
        <v>26.6</v>
      </c>
      <c r="L803" s="0" t="n">
        <v>11.93</v>
      </c>
      <c r="M803" s="11" t="s">
        <v>1332</v>
      </c>
      <c r="N803" s="12" t="n">
        <f aca="false">INT(E803)</f>
        <v>45754</v>
      </c>
      <c r="O803" s="12" t="n">
        <f aca="false">IF(F803="","",INT(F803))</f>
        <v>45754</v>
      </c>
    </row>
    <row r="804" customFormat="false" ht="15" hidden="false" customHeight="false" outlineLevel="0" collapsed="false">
      <c r="A804" s="0" t="s">
        <v>1649</v>
      </c>
      <c r="B804" s="0" t="s">
        <v>1650</v>
      </c>
      <c r="C804" s="0" t="s">
        <v>23</v>
      </c>
      <c r="D804" s="0" t="s">
        <v>42</v>
      </c>
      <c r="E804" s="10" t="n">
        <v>45754.4590277778</v>
      </c>
      <c r="F804" s="10" t="n">
        <v>45755.5409722222</v>
      </c>
      <c r="G804" s="0" t="n">
        <v>268.83</v>
      </c>
      <c r="H804" s="0" t="n">
        <v>268.81</v>
      </c>
      <c r="I804" s="11" t="n">
        <f aca="false">H804-G804</f>
        <v>-0.0199999999999818</v>
      </c>
      <c r="J804" s="5" t="n">
        <f aca="false">IF(G804=0,"",I804/G804)</f>
        <v>-7.43964587284969E-005</v>
      </c>
      <c r="K804" s="0" t="n">
        <v>111.5</v>
      </c>
      <c r="L804" s="0" t="n">
        <v>25.97</v>
      </c>
      <c r="M804" s="11" t="s">
        <v>1332</v>
      </c>
      <c r="N804" s="12" t="n">
        <f aca="false">INT(E804)</f>
        <v>45754</v>
      </c>
      <c r="O804" s="12" t="n">
        <f aca="false">IF(F804="","",INT(F804))</f>
        <v>45755</v>
      </c>
    </row>
    <row r="805" customFormat="false" ht="15" hidden="false" customHeight="false" outlineLevel="0" collapsed="false">
      <c r="A805" s="0" t="s">
        <v>1651</v>
      </c>
      <c r="B805" s="0" t="s">
        <v>1652</v>
      </c>
      <c r="C805" s="0" t="s">
        <v>23</v>
      </c>
      <c r="D805" s="0" t="s">
        <v>42</v>
      </c>
      <c r="E805" s="10" t="n">
        <v>45754.4729166667</v>
      </c>
      <c r="F805" s="10" t="n">
        <v>45757.2826388889</v>
      </c>
      <c r="G805" s="0" t="n">
        <v>1443.8</v>
      </c>
      <c r="H805" s="0" t="n">
        <v>1616.23</v>
      </c>
      <c r="I805" s="11" t="n">
        <f aca="false">H805-G805</f>
        <v>172.43</v>
      </c>
      <c r="J805" s="5" t="n">
        <f aca="false">IF(G805=0,"",I805/G805)</f>
        <v>0.119427898600914</v>
      </c>
      <c r="K805" s="0" t="n">
        <v>591.7</v>
      </c>
      <c r="L805" s="0" t="n">
        <v>67.43</v>
      </c>
      <c r="M805" s="11" t="s">
        <v>1332</v>
      </c>
      <c r="N805" s="12" t="n">
        <f aca="false">INT(E805)</f>
        <v>45754</v>
      </c>
      <c r="O805" s="12" t="n">
        <f aca="false">IF(F805="","",INT(F805))</f>
        <v>45757</v>
      </c>
    </row>
    <row r="806" customFormat="false" ht="15" hidden="false" customHeight="false" outlineLevel="0" collapsed="false">
      <c r="A806" s="0" t="s">
        <v>1653</v>
      </c>
      <c r="B806" s="0" t="s">
        <v>1654</v>
      </c>
      <c r="C806" s="0" t="s">
        <v>19</v>
      </c>
      <c r="D806" s="0" t="s">
        <v>42</v>
      </c>
      <c r="E806" s="10" t="n">
        <v>45754.475</v>
      </c>
      <c r="F806" s="10" t="n">
        <v>45755.5583796296</v>
      </c>
      <c r="G806" s="0" t="n">
        <v>1110.88</v>
      </c>
      <c r="H806" s="0" t="n">
        <v>1086.62</v>
      </c>
      <c r="I806" s="11" t="n">
        <f aca="false">H806-G806</f>
        <v>-24.2600000000002</v>
      </c>
      <c r="J806" s="5" t="n">
        <f aca="false">IF(G806=0,"",I806/G806)</f>
        <v>-0.0218385424168229</v>
      </c>
      <c r="K806" s="0" t="n">
        <v>134.4</v>
      </c>
      <c r="L806" s="0" t="n">
        <v>26</v>
      </c>
      <c r="M806" s="11" t="s">
        <v>1332</v>
      </c>
      <c r="N806" s="12" t="n">
        <f aca="false">INT(E806)</f>
        <v>45754</v>
      </c>
      <c r="O806" s="12" t="n">
        <f aca="false">IF(F806="","",INT(F806))</f>
        <v>45755</v>
      </c>
    </row>
    <row r="807" customFormat="false" ht="15" hidden="false" customHeight="false" outlineLevel="0" collapsed="false">
      <c r="A807" s="0" t="s">
        <v>1655</v>
      </c>
      <c r="B807" s="0" t="s">
        <v>1656</v>
      </c>
      <c r="C807" s="0" t="s">
        <v>20</v>
      </c>
      <c r="D807" s="0" t="s">
        <v>42</v>
      </c>
      <c r="E807" s="10" t="n">
        <v>45754.4763888889</v>
      </c>
      <c r="F807" s="10" t="n">
        <v>45755.3448842593</v>
      </c>
      <c r="G807" s="0" t="n">
        <v>189.24</v>
      </c>
      <c r="H807" s="0" t="n">
        <v>187.81</v>
      </c>
      <c r="I807" s="11" t="n">
        <f aca="false">H807-G807</f>
        <v>-1.43000000000001</v>
      </c>
      <c r="J807" s="5" t="n">
        <f aca="false">IF(G807=0,"",I807/G807)</f>
        <v>-0.00755654195730293</v>
      </c>
      <c r="K807" s="0" t="n">
        <v>41.6</v>
      </c>
      <c r="L807" s="0" t="n">
        <v>20.84</v>
      </c>
      <c r="M807" s="11" t="s">
        <v>1332</v>
      </c>
      <c r="N807" s="12" t="n">
        <f aca="false">INT(E807)</f>
        <v>45754</v>
      </c>
      <c r="O807" s="12" t="n">
        <f aca="false">IF(F807="","",INT(F807))</f>
        <v>45755</v>
      </c>
    </row>
    <row r="808" customFormat="false" ht="15" hidden="false" customHeight="false" outlineLevel="0" collapsed="false">
      <c r="A808" s="0" t="s">
        <v>1657</v>
      </c>
      <c r="B808" s="0" t="s">
        <v>1658</v>
      </c>
      <c r="C808" s="0" t="s">
        <v>19</v>
      </c>
      <c r="D808" s="0" t="s">
        <v>42</v>
      </c>
      <c r="E808" s="10" t="n">
        <v>45754.5180555556</v>
      </c>
      <c r="F808" s="10" t="n">
        <v>45755.6493055556</v>
      </c>
      <c r="G808" s="0" t="n">
        <v>254.69</v>
      </c>
      <c r="H808" s="0" t="n">
        <v>253.78</v>
      </c>
      <c r="I808" s="11" t="n">
        <f aca="false">H808-G808</f>
        <v>-0.909999999999997</v>
      </c>
      <c r="J808" s="5" t="n">
        <f aca="false">IF(G808=0,"",I808/G808)</f>
        <v>-0.00357297106286072</v>
      </c>
      <c r="K808" s="0" t="n">
        <v>34.5</v>
      </c>
      <c r="L808" s="0" t="n">
        <v>27.15</v>
      </c>
      <c r="M808" s="11" t="s">
        <v>1332</v>
      </c>
      <c r="N808" s="12" t="n">
        <f aca="false">INT(E808)</f>
        <v>45754</v>
      </c>
      <c r="O808" s="12" t="n">
        <f aca="false">IF(F808="","",INT(F808))</f>
        <v>45755</v>
      </c>
    </row>
    <row r="809" customFormat="false" ht="15" hidden="false" customHeight="false" outlineLevel="0" collapsed="false">
      <c r="A809" s="0" t="s">
        <v>1659</v>
      </c>
      <c r="B809" s="0" t="s">
        <v>1660</v>
      </c>
      <c r="C809" s="0" t="s">
        <v>21</v>
      </c>
      <c r="D809" s="0" t="s">
        <v>42</v>
      </c>
      <c r="E809" s="10" t="n">
        <v>45754.5208333333</v>
      </c>
      <c r="F809" s="10" t="n">
        <v>45754.8347222222</v>
      </c>
      <c r="G809" s="0" t="n">
        <v>309.06</v>
      </c>
      <c r="H809" s="0" t="n">
        <v>313.66</v>
      </c>
      <c r="I809" s="11" t="n">
        <f aca="false">H809-G809</f>
        <v>4.60000000000002</v>
      </c>
      <c r="J809" s="5" t="n">
        <f aca="false">IF(G809=0,"",I809/G809)</f>
        <v>0.0148838413253091</v>
      </c>
      <c r="K809" s="0" t="n">
        <v>62.8</v>
      </c>
      <c r="L809" s="0" t="n">
        <v>7.53</v>
      </c>
      <c r="M809" s="11" t="s">
        <v>1332</v>
      </c>
      <c r="N809" s="12" t="n">
        <f aca="false">INT(E809)</f>
        <v>45754</v>
      </c>
      <c r="O809" s="12" t="n">
        <f aca="false">IF(F809="","",INT(F809))</f>
        <v>45754</v>
      </c>
    </row>
    <row r="810" customFormat="false" ht="15" hidden="false" customHeight="false" outlineLevel="0" collapsed="false">
      <c r="A810" s="0" t="s">
        <v>1661</v>
      </c>
      <c r="B810" s="0" t="s">
        <v>1662</v>
      </c>
      <c r="C810" s="0" t="s">
        <v>21</v>
      </c>
      <c r="D810" s="0" t="s">
        <v>42</v>
      </c>
      <c r="E810" s="10" t="n">
        <v>45754.5388888889</v>
      </c>
      <c r="F810" s="10" t="n">
        <v>45755.0638888889</v>
      </c>
      <c r="G810" s="0" t="n">
        <v>242.01</v>
      </c>
      <c r="H810" s="0" t="n">
        <v>244.58</v>
      </c>
      <c r="I810" s="11" t="n">
        <f aca="false">H810-G810</f>
        <v>2.57000000000002</v>
      </c>
      <c r="J810" s="5" t="n">
        <f aca="false">IF(G810=0,"",I810/G810)</f>
        <v>0.0106193958927318</v>
      </c>
      <c r="K810" s="0" t="n">
        <v>45.4</v>
      </c>
      <c r="L810" s="0" t="n">
        <v>12.6</v>
      </c>
      <c r="M810" s="11" t="s">
        <v>1332</v>
      </c>
      <c r="N810" s="12" t="n">
        <f aca="false">INT(E810)</f>
        <v>45754</v>
      </c>
      <c r="O810" s="12" t="n">
        <f aca="false">IF(F810="","",INT(F810))</f>
        <v>45755</v>
      </c>
    </row>
    <row r="811" customFormat="false" ht="15" hidden="false" customHeight="false" outlineLevel="0" collapsed="false">
      <c r="A811" s="0" t="s">
        <v>1663</v>
      </c>
      <c r="B811" s="0" t="s">
        <v>1664</v>
      </c>
      <c r="C811" s="0" t="s">
        <v>22</v>
      </c>
      <c r="D811" s="0" t="s">
        <v>303</v>
      </c>
      <c r="E811" s="10" t="n">
        <v>45754.5506944444</v>
      </c>
      <c r="F811" s="10"/>
      <c r="G811" s="0" t="n">
        <v>546.65</v>
      </c>
      <c r="H811" s="0" t="n">
        <v>528.24</v>
      </c>
      <c r="I811" s="11" t="n">
        <f aca="false">H811-G811</f>
        <v>-18.41</v>
      </c>
      <c r="J811" s="5" t="n">
        <f aca="false">IF(G811=0,"",I811/G811)</f>
        <v>-0.033677856032196</v>
      </c>
      <c r="K811" s="0" t="n">
        <v>91.1</v>
      </c>
      <c r="M811" s="11" t="s">
        <v>1332</v>
      </c>
      <c r="N811" s="12" t="n">
        <f aca="false">INT(E811)</f>
        <v>45754</v>
      </c>
      <c r="O811" s="12" t="str">
        <f aca="false">IF(F811="","",INT(F811))</f>
        <v/>
      </c>
    </row>
    <row r="812" customFormat="false" ht="15" hidden="false" customHeight="false" outlineLevel="0" collapsed="false">
      <c r="A812" s="0" t="s">
        <v>1665</v>
      </c>
      <c r="B812" s="0" t="s">
        <v>1666</v>
      </c>
      <c r="C812" s="0" t="s">
        <v>23</v>
      </c>
      <c r="D812" s="0" t="s">
        <v>42</v>
      </c>
      <c r="E812" s="10" t="n">
        <v>45754.5798611111</v>
      </c>
      <c r="F812" s="10" t="n">
        <v>45756.1681828704</v>
      </c>
      <c r="G812" s="0" t="n">
        <v>314.4</v>
      </c>
      <c r="H812" s="0" t="n">
        <v>318.01</v>
      </c>
      <c r="I812" s="11" t="n">
        <f aca="false">H812-G812</f>
        <v>3.61000000000001</v>
      </c>
      <c r="J812" s="5" t="n">
        <f aca="false">IF(G812=0,"",I812/G812)</f>
        <v>0.0114821882951654</v>
      </c>
      <c r="K812" s="0" t="n">
        <v>130.2</v>
      </c>
      <c r="L812" s="0" t="n">
        <v>38.12</v>
      </c>
      <c r="M812" s="11" t="s">
        <v>1332</v>
      </c>
      <c r="N812" s="12" t="n">
        <f aca="false">INT(E812)</f>
        <v>45754</v>
      </c>
      <c r="O812" s="12" t="n">
        <f aca="false">IF(F812="","",INT(F812))</f>
        <v>45756</v>
      </c>
    </row>
    <row r="813" customFormat="false" ht="15" hidden="false" customHeight="false" outlineLevel="0" collapsed="false">
      <c r="A813" s="0" t="s">
        <v>1667</v>
      </c>
      <c r="B813" s="0" t="s">
        <v>1668</v>
      </c>
      <c r="C813" s="0" t="s">
        <v>19</v>
      </c>
      <c r="D813" s="0" t="s">
        <v>42</v>
      </c>
      <c r="E813" s="10" t="n">
        <v>45754.5826388889</v>
      </c>
      <c r="F813" s="10" t="n">
        <v>45758.1118055556</v>
      </c>
      <c r="G813" s="0" t="n">
        <v>385.91</v>
      </c>
      <c r="H813" s="0" t="n">
        <v>386.07</v>
      </c>
      <c r="I813" s="11" t="n">
        <f aca="false">H813-G813</f>
        <v>0.159999999999968</v>
      </c>
      <c r="J813" s="5" t="n">
        <f aca="false">IF(G813=0,"",I813/G813)</f>
        <v>0.000414604441449997</v>
      </c>
      <c r="K813" s="0" t="n">
        <v>69</v>
      </c>
      <c r="L813" s="0" t="n">
        <v>84.7</v>
      </c>
      <c r="M813" s="11" t="s">
        <v>1332</v>
      </c>
      <c r="N813" s="12" t="n">
        <f aca="false">INT(E813)</f>
        <v>45754</v>
      </c>
      <c r="O813" s="12" t="n">
        <f aca="false">IF(F813="","",INT(F813))</f>
        <v>45758</v>
      </c>
    </row>
    <row r="814" customFormat="false" ht="15" hidden="false" customHeight="false" outlineLevel="0" collapsed="false">
      <c r="A814" s="0" t="s">
        <v>1669</v>
      </c>
      <c r="B814" s="0" t="s">
        <v>1670</v>
      </c>
      <c r="C814" s="0" t="s">
        <v>22</v>
      </c>
      <c r="D814" s="0" t="s">
        <v>42</v>
      </c>
      <c r="E814" s="10" t="n">
        <v>45754.6104166667</v>
      </c>
      <c r="F814" s="10" t="n">
        <v>45755.4643518519</v>
      </c>
      <c r="G814" s="0" t="n">
        <v>196.82</v>
      </c>
      <c r="H814" s="0" t="n">
        <v>197.3</v>
      </c>
      <c r="I814" s="11" t="n">
        <f aca="false">H814-G814</f>
        <v>0.480000000000018</v>
      </c>
      <c r="J814" s="5" t="n">
        <f aca="false">IF(G814=0,"",I814/G814)</f>
        <v>0.00243877654709896</v>
      </c>
      <c r="K814" s="0" t="n">
        <v>26.5</v>
      </c>
      <c r="L814" s="0" t="n">
        <v>20.49</v>
      </c>
      <c r="M814" s="11" t="s">
        <v>1332</v>
      </c>
      <c r="N814" s="12" t="n">
        <f aca="false">INT(E814)</f>
        <v>45754</v>
      </c>
      <c r="O814" s="12" t="n">
        <f aca="false">IF(F814="","",INT(F814))</f>
        <v>45755</v>
      </c>
    </row>
    <row r="815" customFormat="false" ht="15" hidden="false" customHeight="false" outlineLevel="0" collapsed="false">
      <c r="A815" s="0" t="s">
        <v>1671</v>
      </c>
      <c r="B815" s="0" t="s">
        <v>1672</v>
      </c>
      <c r="C815" s="0" t="s">
        <v>23</v>
      </c>
      <c r="D815" s="0" t="s">
        <v>42</v>
      </c>
      <c r="E815" s="10" t="n">
        <v>45754.6131944444</v>
      </c>
      <c r="F815" s="10" t="n">
        <v>45755.59375</v>
      </c>
      <c r="G815" s="0" t="n">
        <v>304.83</v>
      </c>
      <c r="H815" s="0" t="n">
        <v>300.17</v>
      </c>
      <c r="I815" s="11" t="n">
        <f aca="false">H815-G815</f>
        <v>-4.65999999999997</v>
      </c>
      <c r="J815" s="5" t="n">
        <f aca="false">IF(G815=0,"",I815/G815)</f>
        <v>-0.0152872092641799</v>
      </c>
      <c r="K815" s="0" t="n">
        <v>126.4</v>
      </c>
      <c r="L815" s="0" t="n">
        <v>23.53</v>
      </c>
      <c r="M815" s="11" t="s">
        <v>1332</v>
      </c>
      <c r="N815" s="12" t="n">
        <f aca="false">INT(E815)</f>
        <v>45754</v>
      </c>
      <c r="O815" s="12" t="n">
        <f aca="false">IF(F815="","",INT(F815))</f>
        <v>45755</v>
      </c>
    </row>
    <row r="816" customFormat="false" ht="15" hidden="false" customHeight="false" outlineLevel="0" collapsed="false">
      <c r="A816" s="0" t="s">
        <v>1673</v>
      </c>
      <c r="B816" s="0" t="s">
        <v>1674</v>
      </c>
      <c r="C816" s="0" t="s">
        <v>20</v>
      </c>
      <c r="D816" s="0" t="s">
        <v>42</v>
      </c>
      <c r="E816" s="10" t="n">
        <v>45754.6284722222</v>
      </c>
      <c r="F816" s="10" t="n">
        <v>45757.8467592593</v>
      </c>
      <c r="G816" s="0" t="n">
        <v>360.54</v>
      </c>
      <c r="H816" s="0" t="n">
        <v>350.87</v>
      </c>
      <c r="I816" s="11" t="n">
        <f aca="false">H816-G816</f>
        <v>-9.67000000000002</v>
      </c>
      <c r="J816" s="5" t="n">
        <f aca="false">IF(G816=0,"",I816/G816)</f>
        <v>-0.026820879791424</v>
      </c>
      <c r="K816" s="0" t="n">
        <v>54.1</v>
      </c>
      <c r="L816" s="0" t="n">
        <v>77.24</v>
      </c>
      <c r="M816" s="11" t="s">
        <v>1332</v>
      </c>
      <c r="N816" s="12" t="n">
        <f aca="false">INT(E816)</f>
        <v>45754</v>
      </c>
      <c r="O816" s="12" t="n">
        <f aca="false">IF(F816="","",INT(F816))</f>
        <v>45757</v>
      </c>
    </row>
    <row r="817" customFormat="false" ht="15" hidden="false" customHeight="false" outlineLevel="0" collapsed="false">
      <c r="A817" s="0" t="s">
        <v>1675</v>
      </c>
      <c r="B817" s="0" t="s">
        <v>1676</v>
      </c>
      <c r="C817" s="0" t="s">
        <v>22</v>
      </c>
      <c r="D817" s="0" t="s">
        <v>42</v>
      </c>
      <c r="E817" s="10" t="n">
        <v>45754.6423611111</v>
      </c>
      <c r="F817" s="10" t="n">
        <v>45754.9666666667</v>
      </c>
      <c r="G817" s="0" t="n">
        <v>206.34</v>
      </c>
      <c r="H817" s="0" t="n">
        <v>219.15</v>
      </c>
      <c r="I817" s="11" t="n">
        <f aca="false">H817-G817</f>
        <v>12.81</v>
      </c>
      <c r="J817" s="5" t="n">
        <f aca="false">IF(G817=0,"",I817/G817)</f>
        <v>0.0620820005815644</v>
      </c>
      <c r="K817" s="0" t="n">
        <v>29.1</v>
      </c>
      <c r="L817" s="0" t="n">
        <v>7.78</v>
      </c>
      <c r="M817" s="11" t="s">
        <v>1332</v>
      </c>
      <c r="N817" s="12" t="n">
        <f aca="false">INT(E817)</f>
        <v>45754</v>
      </c>
      <c r="O817" s="12" t="n">
        <f aca="false">IF(F817="","",INT(F817))</f>
        <v>45754</v>
      </c>
    </row>
    <row r="818" customFormat="false" ht="15" hidden="false" customHeight="false" outlineLevel="0" collapsed="false">
      <c r="A818" s="0" t="s">
        <v>1677</v>
      </c>
      <c r="B818" s="0" t="s">
        <v>1678</v>
      </c>
      <c r="C818" s="0" t="s">
        <v>19</v>
      </c>
      <c r="D818" s="0" t="s">
        <v>42</v>
      </c>
      <c r="E818" s="10" t="n">
        <v>45754.65625</v>
      </c>
      <c r="F818" s="10" t="n">
        <v>45755.8320601852</v>
      </c>
      <c r="G818" s="0" t="n">
        <v>339.38</v>
      </c>
      <c r="H818" s="0" t="n">
        <v>332.58</v>
      </c>
      <c r="I818" s="11" t="n">
        <f aca="false">H818-G818</f>
        <v>-6.80000000000001</v>
      </c>
      <c r="J818" s="5" t="n">
        <f aca="false">IF(G818=0,"",I818/G818)</f>
        <v>-0.0200365372149214</v>
      </c>
      <c r="K818" s="0" t="n">
        <v>56.5</v>
      </c>
      <c r="L818" s="0" t="n">
        <v>28.22</v>
      </c>
      <c r="M818" s="11" t="s">
        <v>1332</v>
      </c>
      <c r="N818" s="12" t="n">
        <f aca="false">INT(E818)</f>
        <v>45754</v>
      </c>
      <c r="O818" s="12" t="n">
        <f aca="false">IF(F818="","",INT(F818))</f>
        <v>45755</v>
      </c>
    </row>
    <row r="819" customFormat="false" ht="15" hidden="false" customHeight="false" outlineLevel="0" collapsed="false">
      <c r="A819" s="0" t="s">
        <v>1679</v>
      </c>
      <c r="B819" s="0" t="s">
        <v>1680</v>
      </c>
      <c r="C819" s="0" t="s">
        <v>23</v>
      </c>
      <c r="D819" s="0" t="s">
        <v>42</v>
      </c>
      <c r="E819" s="10" t="n">
        <v>45754.6597222222</v>
      </c>
      <c r="F819" s="10" t="n">
        <v>45756.3965277778</v>
      </c>
      <c r="G819" s="0" t="n">
        <v>122.12</v>
      </c>
      <c r="H819" s="0" t="n">
        <v>122.84</v>
      </c>
      <c r="I819" s="11" t="n">
        <f aca="false">H819-G819</f>
        <v>0.719999999999999</v>
      </c>
      <c r="J819" s="5" t="n">
        <f aca="false">IF(G819=0,"",I819/G819)</f>
        <v>0.00589584015722239</v>
      </c>
      <c r="K819" s="0" t="n">
        <v>47.2</v>
      </c>
      <c r="L819" s="0" t="n">
        <v>41.68</v>
      </c>
      <c r="M819" s="11" t="s">
        <v>1332</v>
      </c>
      <c r="N819" s="12" t="n">
        <f aca="false">INT(E819)</f>
        <v>45754</v>
      </c>
      <c r="O819" s="12" t="n">
        <f aca="false">IF(F819="","",INT(F819))</f>
        <v>45756</v>
      </c>
    </row>
    <row r="820" customFormat="false" ht="15" hidden="false" customHeight="false" outlineLevel="0" collapsed="false">
      <c r="A820" s="0" t="s">
        <v>1681</v>
      </c>
      <c r="B820" s="0" t="s">
        <v>1682</v>
      </c>
      <c r="C820" s="0" t="s">
        <v>23</v>
      </c>
      <c r="D820" s="0" t="s">
        <v>42</v>
      </c>
      <c r="E820" s="10" t="n">
        <v>45754.6645833333</v>
      </c>
      <c r="F820" s="10" t="n">
        <v>45755.5361111111</v>
      </c>
      <c r="G820" s="0" t="n">
        <v>593.15</v>
      </c>
      <c r="H820" s="0" t="n">
        <v>627.63</v>
      </c>
      <c r="I820" s="11" t="n">
        <f aca="false">H820-G820</f>
        <v>34.48</v>
      </c>
      <c r="J820" s="5" t="n">
        <f aca="false">IF(G820=0,"",I820/G820)</f>
        <v>0.0581303211666527</v>
      </c>
      <c r="K820" s="0" t="n">
        <v>153.6</v>
      </c>
      <c r="L820" s="0" t="n">
        <v>20.92</v>
      </c>
      <c r="M820" s="11" t="s">
        <v>1332</v>
      </c>
      <c r="N820" s="12" t="n">
        <f aca="false">INT(E820)</f>
        <v>45754</v>
      </c>
      <c r="O820" s="12" t="n">
        <f aca="false">IF(F820="","",INT(F820))</f>
        <v>45755</v>
      </c>
    </row>
    <row r="821" customFormat="false" ht="15" hidden="false" customHeight="false" outlineLevel="0" collapsed="false">
      <c r="A821" s="0" t="s">
        <v>1683</v>
      </c>
      <c r="B821" s="0" t="s">
        <v>1684</v>
      </c>
      <c r="C821" s="0" t="s">
        <v>21</v>
      </c>
      <c r="D821" s="0" t="s">
        <v>42</v>
      </c>
      <c r="E821" s="10" t="n">
        <v>45754.6736111111</v>
      </c>
      <c r="F821" s="10" t="n">
        <v>45755.7434143519</v>
      </c>
      <c r="G821" s="0" t="n">
        <v>283.99</v>
      </c>
      <c r="H821" s="0" t="n">
        <v>272.12</v>
      </c>
      <c r="I821" s="11" t="n">
        <f aca="false">H821-G821</f>
        <v>-11.87</v>
      </c>
      <c r="J821" s="5" t="n">
        <f aca="false">IF(G821=0,"",I821/G821)</f>
        <v>-0.0417972463819149</v>
      </c>
      <c r="K821" s="0" t="n">
        <v>78.4</v>
      </c>
      <c r="L821" s="0" t="n">
        <v>25.68</v>
      </c>
      <c r="M821" s="11" t="s">
        <v>1332</v>
      </c>
      <c r="N821" s="12" t="n">
        <f aca="false">INT(E821)</f>
        <v>45754</v>
      </c>
      <c r="O821" s="12" t="n">
        <f aca="false">IF(F821="","",INT(F821))</f>
        <v>45755</v>
      </c>
    </row>
    <row r="822" customFormat="false" ht="15" hidden="false" customHeight="false" outlineLevel="0" collapsed="false">
      <c r="A822" s="0" t="s">
        <v>1685</v>
      </c>
      <c r="B822" s="0" t="s">
        <v>1686</v>
      </c>
      <c r="C822" s="0" t="s">
        <v>20</v>
      </c>
      <c r="D822" s="0" t="s">
        <v>42</v>
      </c>
      <c r="E822" s="10" t="n">
        <v>45754.6979166667</v>
      </c>
      <c r="F822" s="10" t="n">
        <v>45755.8679398148</v>
      </c>
      <c r="G822" s="0" t="n">
        <v>131.64</v>
      </c>
      <c r="H822" s="0" t="n">
        <v>130.08</v>
      </c>
      <c r="I822" s="11" t="n">
        <f aca="false">H822-G822</f>
        <v>-1.55999999999997</v>
      </c>
      <c r="J822" s="5" t="n">
        <f aca="false">IF(G822=0,"",I822/G822)</f>
        <v>-0.0118505013673653</v>
      </c>
      <c r="K822" s="0" t="n">
        <v>18.2</v>
      </c>
      <c r="L822" s="0" t="n">
        <v>28.08</v>
      </c>
      <c r="M822" s="11" t="s">
        <v>1332</v>
      </c>
      <c r="N822" s="12" t="n">
        <f aca="false">INT(E822)</f>
        <v>45754</v>
      </c>
      <c r="O822" s="12" t="n">
        <f aca="false">IF(F822="","",INT(F822))</f>
        <v>45755</v>
      </c>
    </row>
    <row r="823" customFormat="false" ht="15" hidden="false" customHeight="false" outlineLevel="0" collapsed="false">
      <c r="A823" s="0" t="s">
        <v>1687</v>
      </c>
      <c r="B823" s="0" t="s">
        <v>1688</v>
      </c>
      <c r="C823" s="0" t="s">
        <v>19</v>
      </c>
      <c r="D823" s="0" t="s">
        <v>42</v>
      </c>
      <c r="E823" s="10" t="n">
        <v>45754.7118055556</v>
      </c>
      <c r="F823" s="10" t="n">
        <v>45755.2506944445</v>
      </c>
      <c r="G823" s="0" t="n">
        <v>288.16</v>
      </c>
      <c r="H823" s="0" t="n">
        <v>280.85</v>
      </c>
      <c r="I823" s="11" t="n">
        <f aca="false">H823-G823</f>
        <v>-7.31</v>
      </c>
      <c r="J823" s="5" t="n">
        <f aca="false">IF(G823=0,"",I823/G823)</f>
        <v>-0.0253678511937812</v>
      </c>
      <c r="K823" s="0" t="n">
        <v>55.4</v>
      </c>
      <c r="L823" s="0" t="n">
        <v>12.93</v>
      </c>
      <c r="M823" s="11" t="s">
        <v>1332</v>
      </c>
      <c r="N823" s="12" t="n">
        <f aca="false">INT(E823)</f>
        <v>45754</v>
      </c>
      <c r="O823" s="12" t="n">
        <f aca="false">IF(F823="","",INT(F823))</f>
        <v>45755</v>
      </c>
    </row>
    <row r="824" customFormat="false" ht="15" hidden="false" customHeight="false" outlineLevel="0" collapsed="false">
      <c r="A824" s="0" t="s">
        <v>1689</v>
      </c>
      <c r="B824" s="0" t="s">
        <v>1690</v>
      </c>
      <c r="C824" s="0" t="s">
        <v>22</v>
      </c>
      <c r="D824" s="0" t="s">
        <v>42</v>
      </c>
      <c r="E824" s="10" t="n">
        <v>45754.7152777778</v>
      </c>
      <c r="F824" s="10" t="n">
        <v>45755.0958333333</v>
      </c>
      <c r="G824" s="0" t="n">
        <v>969.87</v>
      </c>
      <c r="H824" s="0" t="n">
        <v>989.18</v>
      </c>
      <c r="I824" s="11" t="n">
        <f aca="false">H824-G824</f>
        <v>19.3099999999999</v>
      </c>
      <c r="J824" s="5" t="n">
        <f aca="false">IF(G824=0,"",I824/G824)</f>
        <v>0.0199098848299256</v>
      </c>
      <c r="K824" s="0" t="n">
        <v>200.8</v>
      </c>
      <c r="L824" s="0" t="n">
        <v>9.13</v>
      </c>
      <c r="M824" s="11" t="s">
        <v>1332</v>
      </c>
      <c r="N824" s="12" t="n">
        <f aca="false">INT(E824)</f>
        <v>45754</v>
      </c>
      <c r="O824" s="12" t="n">
        <f aca="false">IF(F824="","",INT(F824))</f>
        <v>45755</v>
      </c>
    </row>
    <row r="825" customFormat="false" ht="15" hidden="false" customHeight="false" outlineLevel="0" collapsed="false">
      <c r="A825" s="0" t="s">
        <v>1691</v>
      </c>
      <c r="B825" s="0" t="s">
        <v>1692</v>
      </c>
      <c r="C825" s="0" t="s">
        <v>22</v>
      </c>
      <c r="D825" s="0" t="s">
        <v>48</v>
      </c>
      <c r="E825" s="10" t="n">
        <v>45754.7152777778</v>
      </c>
      <c r="F825" s="10"/>
      <c r="G825" s="0" t="n">
        <v>890.87</v>
      </c>
      <c r="H825" s="0" t="n">
        <v>879.61</v>
      </c>
      <c r="I825" s="11" t="n">
        <f aca="false">H825-G825</f>
        <v>-11.26</v>
      </c>
      <c r="J825" s="5" t="n">
        <f aca="false">IF(G825=0,"",I825/G825)</f>
        <v>-0.0126393300930551</v>
      </c>
      <c r="K825" s="0" t="n">
        <v>97.9</v>
      </c>
      <c r="M825" s="11" t="s">
        <v>1332</v>
      </c>
      <c r="N825" s="12" t="n">
        <f aca="false">INT(E825)</f>
        <v>45754</v>
      </c>
      <c r="O825" s="12" t="str">
        <f aca="false">IF(F825="","",INT(F825))</f>
        <v/>
      </c>
    </row>
    <row r="826" customFormat="false" ht="15" hidden="false" customHeight="false" outlineLevel="0" collapsed="false">
      <c r="A826" s="0" t="s">
        <v>1693</v>
      </c>
      <c r="B826" s="0" t="s">
        <v>1694</v>
      </c>
      <c r="C826" s="0" t="s">
        <v>22</v>
      </c>
      <c r="D826" s="0" t="s">
        <v>42</v>
      </c>
      <c r="E826" s="10" t="n">
        <v>45754.7208333333</v>
      </c>
      <c r="F826" s="10" t="n">
        <v>45755.3922106482</v>
      </c>
      <c r="G826" s="0" t="n">
        <v>436.31</v>
      </c>
      <c r="H826" s="0" t="n">
        <v>431.54</v>
      </c>
      <c r="I826" s="11" t="n">
        <f aca="false">H826-G826</f>
        <v>-4.76999999999998</v>
      </c>
      <c r="J826" s="5" t="n">
        <f aca="false">IF(G826=0,"",I826/G826)</f>
        <v>-0.0109325937979876</v>
      </c>
      <c r="K826" s="0" t="n">
        <v>46.6</v>
      </c>
      <c r="L826" s="0" t="n">
        <v>16.11</v>
      </c>
      <c r="M826" s="11" t="s">
        <v>1332</v>
      </c>
      <c r="N826" s="12" t="n">
        <f aca="false">INT(E826)</f>
        <v>45754</v>
      </c>
      <c r="O826" s="12" t="n">
        <f aca="false">IF(F826="","",INT(F826))</f>
        <v>45755</v>
      </c>
    </row>
    <row r="827" customFormat="false" ht="15" hidden="false" customHeight="false" outlineLevel="0" collapsed="false">
      <c r="A827" s="0" t="s">
        <v>1695</v>
      </c>
      <c r="B827" s="0" t="s">
        <v>1696</v>
      </c>
      <c r="C827" s="0" t="s">
        <v>22</v>
      </c>
      <c r="D827" s="0" t="s">
        <v>42</v>
      </c>
      <c r="E827" s="10" t="n">
        <v>45754.7263888889</v>
      </c>
      <c r="F827" s="10" t="n">
        <v>45755.3416319444</v>
      </c>
      <c r="G827" s="0" t="n">
        <v>437.84</v>
      </c>
      <c r="H827" s="0" t="n">
        <v>437.05</v>
      </c>
      <c r="I827" s="11" t="n">
        <f aca="false">H827-G827</f>
        <v>-0.789999999999964</v>
      </c>
      <c r="J827" s="5" t="n">
        <f aca="false">IF(G827=0,"",I827/G827)</f>
        <v>-0.00180431207747114</v>
      </c>
      <c r="K827" s="0" t="n">
        <v>41.8</v>
      </c>
      <c r="L827" s="0" t="n">
        <v>14.77</v>
      </c>
      <c r="M827" s="11" t="s">
        <v>1332</v>
      </c>
      <c r="N827" s="12" t="n">
        <f aca="false">INT(E827)</f>
        <v>45754</v>
      </c>
      <c r="O827" s="12" t="n">
        <f aca="false">IF(F827="","",INT(F827))</f>
        <v>45755</v>
      </c>
    </row>
    <row r="828" customFormat="false" ht="15" hidden="false" customHeight="false" outlineLevel="0" collapsed="false">
      <c r="A828" s="0" t="s">
        <v>1697</v>
      </c>
      <c r="B828" s="0" t="s">
        <v>1698</v>
      </c>
      <c r="C828" s="0" t="s">
        <v>22</v>
      </c>
      <c r="D828" s="0" t="s">
        <v>42</v>
      </c>
      <c r="E828" s="10" t="n">
        <v>45754.7645833333</v>
      </c>
      <c r="F828" s="10" t="n">
        <v>45755.4762962963</v>
      </c>
      <c r="G828" s="0" t="n">
        <v>1985.12</v>
      </c>
      <c r="H828" s="0" t="n">
        <v>2019.87</v>
      </c>
      <c r="I828" s="11" t="n">
        <f aca="false">H828-G828</f>
        <v>34.75</v>
      </c>
      <c r="J828" s="5" t="n">
        <f aca="false">IF(G828=0,"",I828/G828)</f>
        <v>0.0175052389779963</v>
      </c>
      <c r="K828" s="0" t="n">
        <v>342.2</v>
      </c>
      <c r="L828" s="0" t="n">
        <v>17.08</v>
      </c>
      <c r="M828" s="11" t="s">
        <v>1332</v>
      </c>
      <c r="N828" s="12" t="n">
        <f aca="false">INT(E828)</f>
        <v>45754</v>
      </c>
      <c r="O828" s="12" t="n">
        <f aca="false">IF(F828="","",INT(F828))</f>
        <v>45755</v>
      </c>
    </row>
    <row r="829" customFormat="false" ht="15" hidden="false" customHeight="false" outlineLevel="0" collapsed="false">
      <c r="A829" s="0" t="s">
        <v>1699</v>
      </c>
      <c r="B829" s="0" t="s">
        <v>1700</v>
      </c>
      <c r="C829" s="0" t="s">
        <v>23</v>
      </c>
      <c r="D829" s="0" t="s">
        <v>42</v>
      </c>
      <c r="E829" s="10" t="n">
        <v>45754.7715277778</v>
      </c>
      <c r="F829" s="10" t="n">
        <v>45755.2375</v>
      </c>
      <c r="G829" s="0" t="n">
        <v>82.29</v>
      </c>
      <c r="H829" s="0" t="n">
        <v>82.22</v>
      </c>
      <c r="I829" s="11" t="n">
        <f aca="false">H829-G829</f>
        <v>-0.0700000000000074</v>
      </c>
      <c r="J829" s="5" t="n">
        <f aca="false">IF(G829=0,"",I829/G829)</f>
        <v>-0.000850650139749756</v>
      </c>
      <c r="K829" s="0" t="n">
        <v>36.7</v>
      </c>
      <c r="L829" s="0" t="n">
        <v>11.18</v>
      </c>
      <c r="M829" s="11" t="s">
        <v>1332</v>
      </c>
      <c r="N829" s="12" t="n">
        <f aca="false">INT(E829)</f>
        <v>45754</v>
      </c>
      <c r="O829" s="12" t="n">
        <f aca="false">IF(F829="","",INT(F829))</f>
        <v>45755</v>
      </c>
    </row>
    <row r="830" customFormat="false" ht="15" hidden="false" customHeight="false" outlineLevel="0" collapsed="false">
      <c r="A830" s="0" t="s">
        <v>1701</v>
      </c>
      <c r="B830" s="0" t="s">
        <v>1702</v>
      </c>
      <c r="C830" s="0" t="s">
        <v>21</v>
      </c>
      <c r="D830" s="0" t="s">
        <v>42</v>
      </c>
      <c r="E830" s="10" t="n">
        <v>45754.7770833333</v>
      </c>
      <c r="F830" s="10" t="n">
        <v>45755.8604166667</v>
      </c>
      <c r="G830" s="0" t="n">
        <v>261.28</v>
      </c>
      <c r="H830" s="0" t="n">
        <v>263.94</v>
      </c>
      <c r="I830" s="11" t="n">
        <f aca="false">H830-G830</f>
        <v>2.66000000000003</v>
      </c>
      <c r="J830" s="5" t="n">
        <f aca="false">IF(G830=0,"",I830/G830)</f>
        <v>0.0101806491120638</v>
      </c>
      <c r="K830" s="0" t="n">
        <v>56.8</v>
      </c>
      <c r="L830" s="0" t="n">
        <v>26</v>
      </c>
      <c r="M830" s="11" t="s">
        <v>1332</v>
      </c>
      <c r="N830" s="12" t="n">
        <f aca="false">INT(E830)</f>
        <v>45754</v>
      </c>
      <c r="O830" s="12" t="n">
        <f aca="false">IF(F830="","",INT(F830))</f>
        <v>45755</v>
      </c>
    </row>
    <row r="831" customFormat="false" ht="15" hidden="false" customHeight="false" outlineLevel="0" collapsed="false">
      <c r="A831" s="0" t="s">
        <v>1703</v>
      </c>
      <c r="B831" s="0" t="s">
        <v>1704</v>
      </c>
      <c r="C831" s="0" t="s">
        <v>23</v>
      </c>
      <c r="D831" s="0" t="s">
        <v>42</v>
      </c>
      <c r="E831" s="10" t="n">
        <v>45754.7784722222</v>
      </c>
      <c r="F831" s="10" t="n">
        <v>45755.9197685185</v>
      </c>
      <c r="G831" s="0" t="n">
        <v>446.49</v>
      </c>
      <c r="H831" s="0" t="n">
        <v>459.64</v>
      </c>
      <c r="I831" s="11" t="n">
        <f aca="false">H831-G831</f>
        <v>13.15</v>
      </c>
      <c r="J831" s="5" t="n">
        <f aca="false">IF(G831=0,"",I831/G831)</f>
        <v>0.0294519474120361</v>
      </c>
      <c r="K831" s="0" t="n">
        <v>163.1</v>
      </c>
      <c r="L831" s="0" t="n">
        <v>27.39</v>
      </c>
      <c r="M831" s="11" t="s">
        <v>1332</v>
      </c>
      <c r="N831" s="12" t="n">
        <f aca="false">INT(E831)</f>
        <v>45754</v>
      </c>
      <c r="O831" s="12" t="n">
        <f aca="false">IF(F831="","",INT(F831))</f>
        <v>45755</v>
      </c>
    </row>
    <row r="832" customFormat="false" ht="15" hidden="false" customHeight="false" outlineLevel="0" collapsed="false">
      <c r="A832" s="0" t="s">
        <v>1705</v>
      </c>
      <c r="B832" s="0" t="s">
        <v>1706</v>
      </c>
      <c r="C832" s="0" t="s">
        <v>23</v>
      </c>
      <c r="D832" s="0" t="s">
        <v>42</v>
      </c>
      <c r="E832" s="10" t="n">
        <v>45755.2965277778</v>
      </c>
      <c r="F832" s="10" t="n">
        <v>45756.3243055556</v>
      </c>
      <c r="G832" s="0" t="n">
        <v>184.4</v>
      </c>
      <c r="H832" s="0" t="n">
        <v>186.34</v>
      </c>
      <c r="I832" s="11" t="n">
        <f aca="false">H832-G832</f>
        <v>1.94</v>
      </c>
      <c r="J832" s="5" t="n">
        <f aca="false">IF(G832=0,"",I832/G832)</f>
        <v>0.0105206073752711</v>
      </c>
      <c r="K832" s="0" t="n">
        <v>36.9</v>
      </c>
      <c r="L832" s="0" t="n">
        <v>24.67</v>
      </c>
      <c r="M832" s="11" t="s">
        <v>1332</v>
      </c>
      <c r="N832" s="12" t="n">
        <f aca="false">INT(E832)</f>
        <v>45755</v>
      </c>
      <c r="O832" s="12" t="n">
        <f aca="false">IF(F832="","",INT(F832))</f>
        <v>45756</v>
      </c>
    </row>
    <row r="833" customFormat="false" ht="15" hidden="false" customHeight="false" outlineLevel="0" collapsed="false">
      <c r="A833" s="0" t="s">
        <v>1707</v>
      </c>
      <c r="B833" s="0" t="s">
        <v>1708</v>
      </c>
      <c r="C833" s="0" t="s">
        <v>23</v>
      </c>
      <c r="D833" s="0" t="s">
        <v>42</v>
      </c>
      <c r="E833" s="10" t="n">
        <v>45755.31875</v>
      </c>
      <c r="F833" s="10" t="n">
        <v>45756.1651851852</v>
      </c>
      <c r="G833" s="0" t="n">
        <v>112.52</v>
      </c>
      <c r="H833" s="0" t="n">
        <v>113.26</v>
      </c>
      <c r="I833" s="11" t="n">
        <f aca="false">H833-G833</f>
        <v>0.740000000000009</v>
      </c>
      <c r="J833" s="5" t="n">
        <f aca="false">IF(G833=0,"",I833/G833)</f>
        <v>0.00657660860291512</v>
      </c>
      <c r="K833" s="0" t="n">
        <v>24.5</v>
      </c>
      <c r="L833" s="0" t="n">
        <v>20.31</v>
      </c>
      <c r="M833" s="11" t="s">
        <v>1332</v>
      </c>
      <c r="N833" s="12" t="n">
        <f aca="false">INT(E833)</f>
        <v>45755</v>
      </c>
      <c r="O833" s="12" t="n">
        <f aca="false">IF(F833="","",INT(F833))</f>
        <v>45756</v>
      </c>
    </row>
    <row r="834" customFormat="false" ht="15" hidden="false" customHeight="false" outlineLevel="0" collapsed="false">
      <c r="A834" s="0" t="s">
        <v>1709</v>
      </c>
      <c r="B834" s="0" t="s">
        <v>1710</v>
      </c>
      <c r="C834" s="0" t="s">
        <v>24</v>
      </c>
      <c r="D834" s="0" t="s">
        <v>42</v>
      </c>
      <c r="E834" s="10" t="n">
        <v>45755.3444444445</v>
      </c>
      <c r="F834" s="10" t="n">
        <v>45757.4965277778</v>
      </c>
      <c r="G834" s="0" t="n">
        <v>375.31</v>
      </c>
      <c r="H834" s="0" t="n">
        <v>382.7</v>
      </c>
      <c r="I834" s="11" t="n">
        <f aca="false">H834-G834</f>
        <v>7.38999999999999</v>
      </c>
      <c r="J834" s="5" t="n">
        <f aca="false">IF(G834=0,"",I834/G834)</f>
        <v>0.0196903892781967</v>
      </c>
      <c r="K834" s="0" t="n">
        <v>97.4</v>
      </c>
      <c r="L834" s="0" t="n">
        <v>51.65</v>
      </c>
      <c r="M834" s="11" t="s">
        <v>1332</v>
      </c>
      <c r="N834" s="12" t="n">
        <f aca="false">INT(E834)</f>
        <v>45755</v>
      </c>
      <c r="O834" s="12" t="n">
        <f aca="false">IF(F834="","",INT(F834))</f>
        <v>45757</v>
      </c>
    </row>
    <row r="835" customFormat="false" ht="15" hidden="false" customHeight="false" outlineLevel="0" collapsed="false">
      <c r="A835" s="0" t="s">
        <v>1711</v>
      </c>
      <c r="B835" s="0" t="s">
        <v>1712</v>
      </c>
      <c r="C835" s="0" t="s">
        <v>23</v>
      </c>
      <c r="D835" s="0" t="s">
        <v>42</v>
      </c>
      <c r="E835" s="10" t="n">
        <v>45755.3444444445</v>
      </c>
      <c r="F835" s="10" t="n">
        <v>45756.689837963</v>
      </c>
      <c r="G835" s="0" t="n">
        <v>469.85</v>
      </c>
      <c r="H835" s="0" t="n">
        <v>492.33</v>
      </c>
      <c r="I835" s="11" t="n">
        <f aca="false">H835-G835</f>
        <v>22.48</v>
      </c>
      <c r="J835" s="5" t="n">
        <f aca="false">IF(G835=0,"",I835/G835)</f>
        <v>0.0478450569330637</v>
      </c>
      <c r="K835" s="0" t="n">
        <v>162</v>
      </c>
      <c r="L835" s="0" t="n">
        <v>32.29</v>
      </c>
      <c r="M835" s="11" t="s">
        <v>1332</v>
      </c>
      <c r="N835" s="12" t="n">
        <f aca="false">INT(E835)</f>
        <v>45755</v>
      </c>
      <c r="O835" s="12" t="n">
        <f aca="false">IF(F835="","",INT(F835))</f>
        <v>45756</v>
      </c>
    </row>
    <row r="836" customFormat="false" ht="15" hidden="false" customHeight="false" outlineLevel="0" collapsed="false">
      <c r="A836" s="0" t="s">
        <v>1713</v>
      </c>
      <c r="B836" s="0" t="s">
        <v>1714</v>
      </c>
      <c r="C836" s="0" t="s">
        <v>23</v>
      </c>
      <c r="D836" s="0" t="s">
        <v>42</v>
      </c>
      <c r="E836" s="10" t="n">
        <v>45755.3444444445</v>
      </c>
      <c r="F836" s="10" t="n">
        <v>45756.1354166667</v>
      </c>
      <c r="G836" s="0" t="n">
        <v>289.53</v>
      </c>
      <c r="H836" s="0" t="n">
        <v>295.09</v>
      </c>
      <c r="I836" s="11" t="n">
        <f aca="false">H836-G836</f>
        <v>5.56</v>
      </c>
      <c r="J836" s="5" t="n">
        <f aca="false">IF(G836=0,"",I836/G836)</f>
        <v>0.0192035367664836</v>
      </c>
      <c r="K836" s="0" t="n">
        <v>66.4</v>
      </c>
      <c r="L836" s="0" t="n">
        <v>18.98</v>
      </c>
      <c r="M836" s="11" t="s">
        <v>1332</v>
      </c>
      <c r="N836" s="12" t="n">
        <f aca="false">INT(E836)</f>
        <v>45755</v>
      </c>
      <c r="O836" s="12" t="n">
        <f aca="false">IF(F836="","",INT(F836))</f>
        <v>45756</v>
      </c>
    </row>
    <row r="837" customFormat="false" ht="15" hidden="false" customHeight="false" outlineLevel="0" collapsed="false">
      <c r="A837" s="0" t="s">
        <v>1715</v>
      </c>
      <c r="B837" s="0" t="s">
        <v>1716</v>
      </c>
      <c r="C837" s="0" t="s">
        <v>23</v>
      </c>
      <c r="D837" s="0" t="s">
        <v>42</v>
      </c>
      <c r="E837" s="10" t="n">
        <v>45755.3868055556</v>
      </c>
      <c r="F837" s="10" t="n">
        <v>45757.8296643519</v>
      </c>
      <c r="G837" s="0" t="n">
        <v>174.13</v>
      </c>
      <c r="H837" s="0" t="n">
        <v>194.79</v>
      </c>
      <c r="I837" s="11" t="n">
        <f aca="false">H837-G837</f>
        <v>20.66</v>
      </c>
      <c r="J837" s="5" t="n">
        <f aca="false">IF(G837=0,"",I837/G837)</f>
        <v>0.118646987882616</v>
      </c>
      <c r="K837" s="0" t="n">
        <v>51.7</v>
      </c>
      <c r="L837" s="0" t="n">
        <v>58.63</v>
      </c>
      <c r="M837" s="11" t="s">
        <v>1332</v>
      </c>
      <c r="N837" s="12" t="n">
        <f aca="false">INT(E837)</f>
        <v>45755</v>
      </c>
      <c r="O837" s="12" t="n">
        <f aca="false">IF(F837="","",INT(F837))</f>
        <v>45757</v>
      </c>
    </row>
    <row r="838" customFormat="false" ht="15" hidden="false" customHeight="false" outlineLevel="0" collapsed="false">
      <c r="A838" s="0" t="s">
        <v>1717</v>
      </c>
      <c r="B838" s="0" t="s">
        <v>1718</v>
      </c>
      <c r="C838" s="0" t="s">
        <v>23</v>
      </c>
      <c r="D838" s="0" t="s">
        <v>42</v>
      </c>
      <c r="E838" s="10" t="n">
        <v>45755.3944444444</v>
      </c>
      <c r="F838" s="10" t="n">
        <v>45755.8895833333</v>
      </c>
      <c r="G838" s="0" t="n">
        <v>253.84</v>
      </c>
      <c r="H838" s="0" t="n">
        <v>255.16</v>
      </c>
      <c r="I838" s="11" t="n">
        <f aca="false">H838-G838</f>
        <v>1.31999999999999</v>
      </c>
      <c r="J838" s="5" t="n">
        <f aca="false">IF(G838=0,"",I838/G838)</f>
        <v>0.00520012606366212</v>
      </c>
      <c r="K838" s="0" t="n">
        <v>88.6</v>
      </c>
      <c r="L838" s="0" t="n">
        <v>11.88</v>
      </c>
      <c r="M838" s="11" t="s">
        <v>1332</v>
      </c>
      <c r="N838" s="12" t="n">
        <f aca="false">INT(E838)</f>
        <v>45755</v>
      </c>
      <c r="O838" s="12" t="n">
        <f aca="false">IF(F838="","",INT(F838))</f>
        <v>45755</v>
      </c>
    </row>
    <row r="839" customFormat="false" ht="15" hidden="false" customHeight="false" outlineLevel="0" collapsed="false">
      <c r="A839" s="0" t="s">
        <v>1719</v>
      </c>
      <c r="B839" s="0" t="s">
        <v>1720</v>
      </c>
      <c r="C839" s="0" t="s">
        <v>20</v>
      </c>
      <c r="D839" s="0" t="s">
        <v>42</v>
      </c>
      <c r="E839" s="10" t="n">
        <v>45755.3951388889</v>
      </c>
      <c r="F839" s="10" t="n">
        <v>45756.2472222222</v>
      </c>
      <c r="G839" s="0" t="n">
        <v>704.15</v>
      </c>
      <c r="H839" s="0" t="n">
        <v>717.4</v>
      </c>
      <c r="I839" s="11" t="n">
        <f aca="false">H839-G839</f>
        <v>13.25</v>
      </c>
      <c r="J839" s="5" t="n">
        <f aca="false">IF(G839=0,"",I839/G839)</f>
        <v>0.018817013420436</v>
      </c>
      <c r="K839" s="0" t="n">
        <v>141.9</v>
      </c>
      <c r="L839" s="0" t="n">
        <v>20.45</v>
      </c>
      <c r="M839" s="11" t="s">
        <v>1332</v>
      </c>
      <c r="N839" s="12" t="n">
        <f aca="false">INT(E839)</f>
        <v>45755</v>
      </c>
      <c r="O839" s="12" t="n">
        <f aca="false">IF(F839="","",INT(F839))</f>
        <v>45756</v>
      </c>
    </row>
    <row r="840" customFormat="false" ht="15" hidden="false" customHeight="false" outlineLevel="0" collapsed="false">
      <c r="A840" s="0" t="s">
        <v>1721</v>
      </c>
      <c r="B840" s="0" t="s">
        <v>1722</v>
      </c>
      <c r="C840" s="0" t="s">
        <v>23</v>
      </c>
      <c r="D840" s="0" t="s">
        <v>48</v>
      </c>
      <c r="E840" s="10" t="n">
        <v>45755.4034722222</v>
      </c>
      <c r="F840" s="10"/>
      <c r="G840" s="0" t="n">
        <v>306.65</v>
      </c>
      <c r="H840" s="0" t="n">
        <v>305.03</v>
      </c>
      <c r="I840" s="11" t="n">
        <f aca="false">H840-G840</f>
        <v>-1.62</v>
      </c>
      <c r="J840" s="5" t="n">
        <f aca="false">IF(G840=0,"",I840/G840)</f>
        <v>-0.00528289580955488</v>
      </c>
      <c r="K840" s="0" t="n">
        <v>97.3</v>
      </c>
      <c r="M840" s="11" t="s">
        <v>1332</v>
      </c>
      <c r="N840" s="12" t="n">
        <f aca="false">INT(E840)</f>
        <v>45755</v>
      </c>
      <c r="O840" s="12" t="str">
        <f aca="false">IF(F840="","",INT(F840))</f>
        <v/>
      </c>
    </row>
    <row r="841" customFormat="false" ht="15" hidden="false" customHeight="false" outlineLevel="0" collapsed="false">
      <c r="A841" s="0" t="s">
        <v>1723</v>
      </c>
      <c r="B841" s="0" t="s">
        <v>1724</v>
      </c>
      <c r="C841" s="0" t="s">
        <v>21</v>
      </c>
      <c r="D841" s="0" t="s">
        <v>42</v>
      </c>
      <c r="E841" s="10" t="n">
        <v>45755.4055555556</v>
      </c>
      <c r="F841" s="10" t="n">
        <v>45756.558287037</v>
      </c>
      <c r="G841" s="0" t="n">
        <v>394.7</v>
      </c>
      <c r="H841" s="0" t="n">
        <v>397.93</v>
      </c>
      <c r="I841" s="11" t="n">
        <f aca="false">H841-G841</f>
        <v>3.23000000000002</v>
      </c>
      <c r="J841" s="5" t="n">
        <f aca="false">IF(G841=0,"",I841/G841)</f>
        <v>0.00818343045350904</v>
      </c>
      <c r="K841" s="0" t="n">
        <v>108.8</v>
      </c>
      <c r="L841" s="0" t="n">
        <v>27.67</v>
      </c>
      <c r="M841" s="11" t="s">
        <v>1332</v>
      </c>
      <c r="N841" s="12" t="n">
        <f aca="false">INT(E841)</f>
        <v>45755</v>
      </c>
      <c r="O841" s="12" t="n">
        <f aca="false">IF(F841="","",INT(F841))</f>
        <v>45756</v>
      </c>
    </row>
    <row r="842" customFormat="false" ht="15" hidden="false" customHeight="false" outlineLevel="0" collapsed="false">
      <c r="A842" s="0" t="s">
        <v>1725</v>
      </c>
      <c r="B842" s="0" t="s">
        <v>1726</v>
      </c>
      <c r="C842" s="0" t="s">
        <v>23</v>
      </c>
      <c r="D842" s="0" t="s">
        <v>42</v>
      </c>
      <c r="E842" s="10" t="n">
        <v>45755.4125</v>
      </c>
      <c r="F842" s="10" t="n">
        <v>45757.0048611111</v>
      </c>
      <c r="G842" s="0" t="n">
        <v>556.07</v>
      </c>
      <c r="H842" s="0" t="n">
        <v>551.89</v>
      </c>
      <c r="I842" s="11" t="n">
        <f aca="false">H842-G842</f>
        <v>-4.18000000000006</v>
      </c>
      <c r="J842" s="5" t="n">
        <f aca="false">IF(G842=0,"",I842/G842)</f>
        <v>-0.00751703922168084</v>
      </c>
      <c r="K842" s="0" t="n">
        <v>148.2</v>
      </c>
      <c r="L842" s="0" t="n">
        <v>38.22</v>
      </c>
      <c r="M842" s="11" t="s">
        <v>1332</v>
      </c>
      <c r="N842" s="12" t="n">
        <f aca="false">INT(E842)</f>
        <v>45755</v>
      </c>
      <c r="O842" s="12" t="n">
        <f aca="false">IF(F842="","",INT(F842))</f>
        <v>45757</v>
      </c>
    </row>
    <row r="843" customFormat="false" ht="15" hidden="false" customHeight="false" outlineLevel="0" collapsed="false">
      <c r="A843" s="0" t="s">
        <v>1727</v>
      </c>
      <c r="B843" s="0" t="s">
        <v>1728</v>
      </c>
      <c r="C843" s="0" t="s">
        <v>22</v>
      </c>
      <c r="D843" s="0" t="s">
        <v>42</v>
      </c>
      <c r="E843" s="10" t="n">
        <v>45755.4138888889</v>
      </c>
      <c r="F843" s="10" t="n">
        <v>45755.9079513889</v>
      </c>
      <c r="G843" s="0" t="n">
        <v>374.17</v>
      </c>
      <c r="H843" s="0" t="n">
        <v>383.33</v>
      </c>
      <c r="I843" s="11" t="n">
        <f aca="false">H843-G843</f>
        <v>9.15999999999997</v>
      </c>
      <c r="J843" s="5" t="n">
        <f aca="false">IF(G843=0,"",I843/G843)</f>
        <v>0.0244808509501028</v>
      </c>
      <c r="K843" s="0" t="n">
        <v>46.3</v>
      </c>
      <c r="L843" s="0" t="n">
        <v>11.86</v>
      </c>
      <c r="M843" s="11" t="s">
        <v>1332</v>
      </c>
      <c r="N843" s="12" t="n">
        <f aca="false">INT(E843)</f>
        <v>45755</v>
      </c>
      <c r="O843" s="12" t="n">
        <f aca="false">IF(F843="","",INT(F843))</f>
        <v>45755</v>
      </c>
    </row>
    <row r="844" customFormat="false" ht="15" hidden="false" customHeight="false" outlineLevel="0" collapsed="false">
      <c r="A844" s="0" t="s">
        <v>1729</v>
      </c>
      <c r="B844" s="0" t="s">
        <v>1730</v>
      </c>
      <c r="C844" s="0" t="s">
        <v>20</v>
      </c>
      <c r="D844" s="0" t="s">
        <v>42</v>
      </c>
      <c r="E844" s="10" t="n">
        <v>45755.4138888889</v>
      </c>
      <c r="F844" s="10" t="n">
        <v>45756.1855208333</v>
      </c>
      <c r="G844" s="0" t="n">
        <v>129.41</v>
      </c>
      <c r="H844" s="0" t="n">
        <v>128.71</v>
      </c>
      <c r="I844" s="11" t="n">
        <f aca="false">H844-G844</f>
        <v>-0.699999999999989</v>
      </c>
      <c r="J844" s="5" t="n">
        <f aca="false">IF(G844=0,"",I844/G844)</f>
        <v>-0.00540916467042724</v>
      </c>
      <c r="K844" s="0" t="n">
        <v>27.2</v>
      </c>
      <c r="L844" s="0" t="n">
        <v>18.52</v>
      </c>
      <c r="M844" s="11" t="s">
        <v>1332</v>
      </c>
      <c r="N844" s="12" t="n">
        <f aca="false">INT(E844)</f>
        <v>45755</v>
      </c>
      <c r="O844" s="12" t="n">
        <f aca="false">IF(F844="","",INT(F844))</f>
        <v>45756</v>
      </c>
    </row>
    <row r="845" customFormat="false" ht="15" hidden="false" customHeight="false" outlineLevel="0" collapsed="false">
      <c r="A845" s="0" t="s">
        <v>1731</v>
      </c>
      <c r="B845" s="0" t="s">
        <v>1732</v>
      </c>
      <c r="C845" s="0" t="s">
        <v>21</v>
      </c>
      <c r="D845" s="0" t="s">
        <v>42</v>
      </c>
      <c r="E845" s="10" t="n">
        <v>45755.4451388889</v>
      </c>
      <c r="F845" s="10" t="n">
        <v>45756.6253703704</v>
      </c>
      <c r="G845" s="0" t="n">
        <v>870.13</v>
      </c>
      <c r="H845" s="0" t="n">
        <v>955.67</v>
      </c>
      <c r="I845" s="11" t="n">
        <f aca="false">H845-G845</f>
        <v>85.54</v>
      </c>
      <c r="J845" s="5" t="n">
        <f aca="false">IF(G845=0,"",I845/G845)</f>
        <v>0.0983071495063956</v>
      </c>
      <c r="K845" s="0" t="n">
        <v>111.9</v>
      </c>
      <c r="L845" s="0" t="n">
        <v>28.33</v>
      </c>
      <c r="M845" s="11" t="s">
        <v>1332</v>
      </c>
      <c r="N845" s="12" t="n">
        <f aca="false">INT(E845)</f>
        <v>45755</v>
      </c>
      <c r="O845" s="12" t="n">
        <f aca="false">IF(F845="","",INT(F845))</f>
        <v>45756</v>
      </c>
    </row>
    <row r="846" customFormat="false" ht="15" hidden="false" customHeight="false" outlineLevel="0" collapsed="false">
      <c r="A846" s="0" t="s">
        <v>1733</v>
      </c>
      <c r="B846" s="0" t="s">
        <v>1734</v>
      </c>
      <c r="C846" s="0" t="s">
        <v>23</v>
      </c>
      <c r="D846" s="0" t="s">
        <v>42</v>
      </c>
      <c r="E846" s="10" t="n">
        <v>45755.4618055556</v>
      </c>
      <c r="F846" s="10" t="n">
        <v>45757.4135069445</v>
      </c>
      <c r="G846" s="0" t="n">
        <v>667.81</v>
      </c>
      <c r="H846" s="0" t="n">
        <v>661.58</v>
      </c>
      <c r="I846" s="11" t="n">
        <f aca="false">H846-G846</f>
        <v>-6.2299999999999</v>
      </c>
      <c r="J846" s="5" t="n">
        <f aca="false">IF(G846=0,"",I846/G846)</f>
        <v>-0.00932900076369013</v>
      </c>
      <c r="K846" s="0" t="n">
        <v>172</v>
      </c>
      <c r="L846" s="0" t="n">
        <v>46.84</v>
      </c>
      <c r="M846" s="11" t="s">
        <v>1332</v>
      </c>
      <c r="N846" s="12" t="n">
        <f aca="false">INT(E846)</f>
        <v>45755</v>
      </c>
      <c r="O846" s="12" t="n">
        <f aca="false">IF(F846="","",INT(F846))</f>
        <v>45757</v>
      </c>
    </row>
    <row r="847" customFormat="false" ht="15" hidden="false" customHeight="false" outlineLevel="0" collapsed="false">
      <c r="A847" s="0" t="s">
        <v>1735</v>
      </c>
      <c r="B847" s="0" t="s">
        <v>1736</v>
      </c>
      <c r="C847" s="0" t="s">
        <v>23</v>
      </c>
      <c r="D847" s="0" t="s">
        <v>42</v>
      </c>
      <c r="E847" s="10" t="n">
        <v>45755.4972222222</v>
      </c>
      <c r="F847" s="10" t="n">
        <v>45757.2184837963</v>
      </c>
      <c r="G847" s="0" t="n">
        <v>220.57</v>
      </c>
      <c r="H847" s="0" t="n">
        <v>155.02</v>
      </c>
      <c r="I847" s="11" t="n">
        <f aca="false">H847-G847</f>
        <v>-65.55</v>
      </c>
      <c r="J847" s="5" t="n">
        <f aca="false">IF(G847=0,"",I847/G847)</f>
        <v>-0.29718456725756</v>
      </c>
      <c r="K847" s="0" t="n">
        <v>58</v>
      </c>
      <c r="L847" s="0" t="n">
        <v>41.31</v>
      </c>
      <c r="M847" s="11" t="s">
        <v>1332</v>
      </c>
      <c r="N847" s="12" t="n">
        <f aca="false">INT(E847)</f>
        <v>45755</v>
      </c>
      <c r="O847" s="12" t="n">
        <f aca="false">IF(F847="","",INT(F847))</f>
        <v>45757</v>
      </c>
    </row>
    <row r="848" customFormat="false" ht="15" hidden="false" customHeight="false" outlineLevel="0" collapsed="false">
      <c r="A848" s="0" t="s">
        <v>1737</v>
      </c>
      <c r="B848" s="0" t="s">
        <v>1738</v>
      </c>
      <c r="C848" s="0" t="s">
        <v>22</v>
      </c>
      <c r="D848" s="0" t="s">
        <v>42</v>
      </c>
      <c r="E848" s="10" t="n">
        <v>45755.5020833333</v>
      </c>
      <c r="F848" s="10" t="n">
        <v>45755.71625</v>
      </c>
      <c r="G848" s="0" t="n">
        <v>560.78</v>
      </c>
      <c r="H848" s="0" t="n">
        <v>569.85</v>
      </c>
      <c r="I848" s="11" t="n">
        <f aca="false">H848-G848</f>
        <v>9.07000000000005</v>
      </c>
      <c r="J848" s="5" t="n">
        <f aca="false">IF(G848=0,"",I848/G848)</f>
        <v>0.0161739006383966</v>
      </c>
      <c r="K848" s="0" t="n">
        <v>77.3</v>
      </c>
      <c r="L848" s="0" t="n">
        <v>5.14</v>
      </c>
      <c r="M848" s="11" t="s">
        <v>1332</v>
      </c>
      <c r="N848" s="12" t="n">
        <f aca="false">INT(E848)</f>
        <v>45755</v>
      </c>
      <c r="O848" s="12" t="n">
        <f aca="false">IF(F848="","",INT(F848))</f>
        <v>45755</v>
      </c>
    </row>
    <row r="849" customFormat="false" ht="15" hidden="false" customHeight="false" outlineLevel="0" collapsed="false">
      <c r="A849" s="0" t="s">
        <v>1739</v>
      </c>
      <c r="B849" s="0" t="s">
        <v>1740</v>
      </c>
      <c r="C849" s="0" t="s">
        <v>24</v>
      </c>
      <c r="D849" s="0" t="s">
        <v>42</v>
      </c>
      <c r="E849" s="10" t="n">
        <v>45755.5090277778</v>
      </c>
      <c r="F849" s="10" t="n">
        <v>45756.9652777778</v>
      </c>
      <c r="G849" s="0" t="n">
        <v>352.27</v>
      </c>
      <c r="H849" s="0" t="n">
        <v>350.35</v>
      </c>
      <c r="I849" s="11" t="n">
        <f aca="false">H849-G849</f>
        <v>-1.91999999999996</v>
      </c>
      <c r="J849" s="5" t="n">
        <f aca="false">IF(G849=0,"",I849/G849)</f>
        <v>-0.00545036477701751</v>
      </c>
      <c r="K849" s="0" t="n">
        <v>109.8</v>
      </c>
      <c r="L849" s="0" t="n">
        <v>34.95</v>
      </c>
      <c r="M849" s="11" t="s">
        <v>1332</v>
      </c>
      <c r="N849" s="12" t="n">
        <f aca="false">INT(E849)</f>
        <v>45755</v>
      </c>
      <c r="O849" s="12" t="n">
        <f aca="false">IF(F849="","",INT(F849))</f>
        <v>45756</v>
      </c>
    </row>
    <row r="850" customFormat="false" ht="15" hidden="false" customHeight="false" outlineLevel="0" collapsed="false">
      <c r="A850" s="0" t="s">
        <v>1741</v>
      </c>
      <c r="B850" s="0" t="s">
        <v>1742</v>
      </c>
      <c r="C850" s="0" t="s">
        <v>20</v>
      </c>
      <c r="D850" s="0" t="s">
        <v>42</v>
      </c>
      <c r="E850" s="10" t="n">
        <v>45755.5305555556</v>
      </c>
      <c r="F850" s="10" t="n">
        <v>45756.9034722222</v>
      </c>
      <c r="G850" s="0" t="n">
        <v>376.03</v>
      </c>
      <c r="H850" s="0" t="n">
        <v>370.03</v>
      </c>
      <c r="I850" s="11" t="n">
        <f aca="false">H850-G850</f>
        <v>-6</v>
      </c>
      <c r="J850" s="5" t="n">
        <f aca="false">IF(G850=0,"",I850/G850)</f>
        <v>-0.0159561737095445</v>
      </c>
      <c r="K850" s="0" t="n">
        <v>73.5</v>
      </c>
      <c r="L850" s="0" t="n">
        <v>32.95</v>
      </c>
      <c r="M850" s="11" t="s">
        <v>1332</v>
      </c>
      <c r="N850" s="12" t="n">
        <f aca="false">INT(E850)</f>
        <v>45755</v>
      </c>
      <c r="O850" s="12" t="n">
        <f aca="false">IF(F850="","",INT(F850))</f>
        <v>45756</v>
      </c>
    </row>
    <row r="851" customFormat="false" ht="15" hidden="false" customHeight="false" outlineLevel="0" collapsed="false">
      <c r="A851" s="0" t="s">
        <v>1743</v>
      </c>
      <c r="B851" s="0" t="s">
        <v>1744</v>
      </c>
      <c r="C851" s="0" t="s">
        <v>21</v>
      </c>
      <c r="D851" s="0" t="s">
        <v>42</v>
      </c>
      <c r="E851" s="10" t="n">
        <v>45755.5527777778</v>
      </c>
      <c r="F851" s="10" t="n">
        <v>45757.7895949074</v>
      </c>
      <c r="G851" s="0" t="n">
        <v>455</v>
      </c>
      <c r="H851" s="0" t="n">
        <v>443.71</v>
      </c>
      <c r="I851" s="11" t="n">
        <f aca="false">H851-G851</f>
        <v>-11.29</v>
      </c>
      <c r="J851" s="5" t="n">
        <f aca="false">IF(G851=0,"",I851/G851)</f>
        <v>-0.0248131868131869</v>
      </c>
      <c r="K851" s="0" t="n">
        <v>89</v>
      </c>
      <c r="L851" s="0" t="n">
        <v>53.68</v>
      </c>
      <c r="M851" s="11" t="s">
        <v>1332</v>
      </c>
      <c r="N851" s="12" t="n">
        <f aca="false">INT(E851)</f>
        <v>45755</v>
      </c>
      <c r="O851" s="12" t="n">
        <f aca="false">IF(F851="","",INT(F851))</f>
        <v>45757</v>
      </c>
    </row>
    <row r="852" customFormat="false" ht="15" hidden="false" customHeight="false" outlineLevel="0" collapsed="false">
      <c r="A852" s="0" t="s">
        <v>1745</v>
      </c>
      <c r="B852" s="0" t="s">
        <v>1746</v>
      </c>
      <c r="C852" s="0" t="s">
        <v>21</v>
      </c>
      <c r="D852" s="0" t="s">
        <v>42</v>
      </c>
      <c r="E852" s="10" t="n">
        <v>45755.5590277778</v>
      </c>
      <c r="F852" s="10" t="n">
        <v>45756.1256481482</v>
      </c>
      <c r="G852" s="0" t="n">
        <v>208.2</v>
      </c>
      <c r="H852" s="0" t="n">
        <v>207.05</v>
      </c>
      <c r="I852" s="11" t="n">
        <f aca="false">H852-G852</f>
        <v>-1.14999999999998</v>
      </c>
      <c r="J852" s="5" t="n">
        <f aca="false">IF(G852=0,"",I852/G852)</f>
        <v>-0.00552353506243985</v>
      </c>
      <c r="K852" s="0" t="n">
        <v>36.3</v>
      </c>
      <c r="L852" s="0" t="n">
        <v>13.6</v>
      </c>
      <c r="M852" s="11" t="s">
        <v>1332</v>
      </c>
      <c r="N852" s="12" t="n">
        <f aca="false">INT(E852)</f>
        <v>45755</v>
      </c>
      <c r="O852" s="12" t="n">
        <f aca="false">IF(F852="","",INT(F852))</f>
        <v>45756</v>
      </c>
    </row>
    <row r="853" customFormat="false" ht="15" hidden="false" customHeight="false" outlineLevel="0" collapsed="false">
      <c r="A853" s="0" t="s">
        <v>1747</v>
      </c>
      <c r="B853" s="0" t="s">
        <v>1748</v>
      </c>
      <c r="C853" s="0" t="s">
        <v>23</v>
      </c>
      <c r="D853" s="0" t="s">
        <v>42</v>
      </c>
      <c r="E853" s="10" t="n">
        <v>45755.5631944445</v>
      </c>
      <c r="F853" s="10" t="n">
        <v>45756.5777777778</v>
      </c>
      <c r="G853" s="0" t="n">
        <v>1047.02</v>
      </c>
      <c r="H853" s="0" t="n">
        <v>1028.59</v>
      </c>
      <c r="I853" s="11" t="n">
        <f aca="false">H853-G853</f>
        <v>-18.4300000000001</v>
      </c>
      <c r="J853" s="5" t="n">
        <f aca="false">IF(G853=0,"",I853/G853)</f>
        <v>-0.0176023380642204</v>
      </c>
      <c r="K853" s="0" t="n">
        <v>350.5</v>
      </c>
      <c r="L853" s="0" t="n">
        <v>24.35</v>
      </c>
      <c r="M853" s="11" t="s">
        <v>1332</v>
      </c>
      <c r="N853" s="12" t="n">
        <f aca="false">INT(E853)</f>
        <v>45755</v>
      </c>
      <c r="O853" s="12" t="n">
        <f aca="false">IF(F853="","",INT(F853))</f>
        <v>45756</v>
      </c>
    </row>
    <row r="854" customFormat="false" ht="15" hidden="false" customHeight="false" outlineLevel="0" collapsed="false">
      <c r="A854" s="0" t="s">
        <v>1749</v>
      </c>
      <c r="B854" s="0" t="s">
        <v>1750</v>
      </c>
      <c r="C854" s="0" t="s">
        <v>22</v>
      </c>
      <c r="D854" s="0" t="s">
        <v>42</v>
      </c>
      <c r="E854" s="10" t="n">
        <v>45755.5993055556</v>
      </c>
      <c r="F854" s="10" t="n">
        <v>45756.7534722222</v>
      </c>
      <c r="G854" s="0" t="n">
        <v>400.72</v>
      </c>
      <c r="H854" s="0" t="n">
        <v>408.64</v>
      </c>
      <c r="I854" s="11" t="n">
        <f aca="false">H854-G854</f>
        <v>7.91999999999996</v>
      </c>
      <c r="J854" s="5" t="n">
        <f aca="false">IF(G854=0,"",I854/G854)</f>
        <v>0.0197644240367338</v>
      </c>
      <c r="K854" s="0" t="n">
        <v>64.4</v>
      </c>
      <c r="L854" s="0" t="n">
        <v>27.7</v>
      </c>
      <c r="M854" s="11" t="s">
        <v>1332</v>
      </c>
      <c r="N854" s="12" t="n">
        <f aca="false">INT(E854)</f>
        <v>45755</v>
      </c>
      <c r="O854" s="12" t="n">
        <f aca="false">IF(F854="","",INT(F854))</f>
        <v>45756</v>
      </c>
    </row>
    <row r="855" customFormat="false" ht="15" hidden="false" customHeight="false" outlineLevel="0" collapsed="false">
      <c r="A855" s="0" t="s">
        <v>1751</v>
      </c>
      <c r="B855" s="0" t="s">
        <v>1752</v>
      </c>
      <c r="C855" s="0" t="s">
        <v>23</v>
      </c>
      <c r="D855" s="0" t="s">
        <v>303</v>
      </c>
      <c r="E855" s="10" t="n">
        <v>45755.6</v>
      </c>
      <c r="F855" s="10"/>
      <c r="G855" s="0" t="n">
        <v>588.51</v>
      </c>
      <c r="H855" s="0" t="n">
        <v>543.87</v>
      </c>
      <c r="I855" s="11" t="n">
        <f aca="false">H855-G855</f>
        <v>-44.64</v>
      </c>
      <c r="J855" s="5" t="n">
        <f aca="false">IF(G855=0,"",I855/G855)</f>
        <v>-0.0758525768466126</v>
      </c>
      <c r="K855" s="0" t="n">
        <v>186.5</v>
      </c>
      <c r="M855" s="11" t="s">
        <v>1332</v>
      </c>
      <c r="N855" s="12" t="n">
        <f aca="false">INT(E855)</f>
        <v>45755</v>
      </c>
      <c r="O855" s="12" t="str">
        <f aca="false">IF(F855="","",INT(F855))</f>
        <v/>
      </c>
    </row>
    <row r="856" customFormat="false" ht="15" hidden="false" customHeight="false" outlineLevel="0" collapsed="false">
      <c r="A856" s="0" t="s">
        <v>1753</v>
      </c>
      <c r="B856" s="0" t="s">
        <v>1754</v>
      </c>
      <c r="C856" s="0" t="s">
        <v>19</v>
      </c>
      <c r="D856" s="0" t="s">
        <v>42</v>
      </c>
      <c r="E856" s="10" t="n">
        <v>45755.6347222222</v>
      </c>
      <c r="F856" s="10" t="n">
        <v>45756.1805555556</v>
      </c>
      <c r="G856" s="0" t="n">
        <v>3959.55</v>
      </c>
      <c r="H856" s="0" t="n">
        <v>4116.35</v>
      </c>
      <c r="I856" s="11" t="n">
        <f aca="false">H856-G856</f>
        <v>156.8</v>
      </c>
      <c r="J856" s="5" t="n">
        <f aca="false">IF(G856=0,"",I856/G856)</f>
        <v>0.0396004596481924</v>
      </c>
      <c r="K856" s="0" t="n">
        <v>632.4</v>
      </c>
      <c r="L856" s="0" t="n">
        <v>13.1</v>
      </c>
      <c r="M856" s="11" t="s">
        <v>1332</v>
      </c>
      <c r="N856" s="12" t="n">
        <f aca="false">INT(E856)</f>
        <v>45755</v>
      </c>
      <c r="O856" s="12" t="n">
        <f aca="false">IF(F856="","",INT(F856))</f>
        <v>45756</v>
      </c>
    </row>
    <row r="857" customFormat="false" ht="15" hidden="false" customHeight="false" outlineLevel="0" collapsed="false">
      <c r="A857" s="0" t="s">
        <v>1755</v>
      </c>
      <c r="B857" s="0" t="s">
        <v>1756</v>
      </c>
      <c r="C857" s="0" t="s">
        <v>23</v>
      </c>
      <c r="D857" s="0" t="s">
        <v>42</v>
      </c>
      <c r="E857" s="10" t="n">
        <v>45755.6402777778</v>
      </c>
      <c r="F857" s="10" t="n">
        <v>45758.6104166667</v>
      </c>
      <c r="G857" s="0" t="n">
        <v>151.03</v>
      </c>
      <c r="H857" s="0" t="n">
        <v>147.14</v>
      </c>
      <c r="I857" s="11" t="n">
        <f aca="false">H857-G857</f>
        <v>-3.89000000000002</v>
      </c>
      <c r="J857" s="5" t="n">
        <f aca="false">IF(G857=0,"",I857/G857)</f>
        <v>-0.0257564722240615</v>
      </c>
      <c r="K857" s="0" t="n">
        <v>50</v>
      </c>
      <c r="L857" s="0" t="n">
        <v>71.28</v>
      </c>
      <c r="M857" s="11" t="s">
        <v>1332</v>
      </c>
      <c r="N857" s="12" t="n">
        <f aca="false">INT(E857)</f>
        <v>45755</v>
      </c>
      <c r="O857" s="12" t="n">
        <f aca="false">IF(F857="","",INT(F857))</f>
        <v>45758</v>
      </c>
    </row>
    <row r="858" customFormat="false" ht="15" hidden="false" customHeight="false" outlineLevel="0" collapsed="false">
      <c r="A858" s="0" t="s">
        <v>1757</v>
      </c>
      <c r="B858" s="0" t="s">
        <v>1758</v>
      </c>
      <c r="C858" s="0" t="s">
        <v>19</v>
      </c>
      <c r="D858" s="0" t="s">
        <v>42</v>
      </c>
      <c r="E858" s="10" t="n">
        <v>45755.65</v>
      </c>
      <c r="F858" s="10" t="n">
        <v>45757.9</v>
      </c>
      <c r="G858" s="0" t="n">
        <v>659.71</v>
      </c>
      <c r="H858" s="0" t="n">
        <v>655.02</v>
      </c>
      <c r="I858" s="11" t="n">
        <f aca="false">H858-G858</f>
        <v>-4.69000000000006</v>
      </c>
      <c r="J858" s="5" t="n">
        <f aca="false">IF(G858=0,"",I858/G858)</f>
        <v>-0.00710918433857309</v>
      </c>
      <c r="K858" s="0" t="n">
        <v>77.2</v>
      </c>
      <c r="L858" s="0" t="n">
        <v>54</v>
      </c>
      <c r="M858" s="11" t="s">
        <v>1332</v>
      </c>
      <c r="N858" s="12" t="n">
        <f aca="false">INT(E858)</f>
        <v>45755</v>
      </c>
      <c r="O858" s="12" t="n">
        <f aca="false">IF(F858="","",INT(F858))</f>
        <v>45757</v>
      </c>
    </row>
    <row r="859" customFormat="false" ht="15" hidden="false" customHeight="false" outlineLevel="0" collapsed="false">
      <c r="A859" s="0" t="s">
        <v>1759</v>
      </c>
      <c r="B859" s="0" t="s">
        <v>1760</v>
      </c>
      <c r="C859" s="0" t="s">
        <v>22</v>
      </c>
      <c r="D859" s="0" t="s">
        <v>42</v>
      </c>
      <c r="E859" s="10" t="n">
        <v>45755.6736111111</v>
      </c>
      <c r="F859" s="10" t="n">
        <v>45755.9284722222</v>
      </c>
      <c r="G859" s="0" t="n">
        <v>671.84</v>
      </c>
      <c r="H859" s="0" t="n">
        <v>657</v>
      </c>
      <c r="I859" s="11" t="n">
        <f aca="false">H859-G859</f>
        <v>-14.84</v>
      </c>
      <c r="J859" s="5" t="n">
        <f aca="false">IF(G859=0,"",I859/G859)</f>
        <v>-0.0220885925220291</v>
      </c>
      <c r="K859" s="0" t="n">
        <v>62</v>
      </c>
      <c r="L859" s="0" t="n">
        <v>6.12</v>
      </c>
      <c r="M859" s="11" t="s">
        <v>1332</v>
      </c>
      <c r="N859" s="12" t="n">
        <f aca="false">INT(E859)</f>
        <v>45755</v>
      </c>
      <c r="O859" s="12" t="n">
        <f aca="false">IF(F859="","",INT(F859))</f>
        <v>45755</v>
      </c>
    </row>
    <row r="860" customFormat="false" ht="15" hidden="false" customHeight="false" outlineLevel="0" collapsed="false">
      <c r="A860" s="0" t="s">
        <v>1761</v>
      </c>
      <c r="B860" s="0" t="s">
        <v>1762</v>
      </c>
      <c r="C860" s="0" t="s">
        <v>22</v>
      </c>
      <c r="D860" s="0" t="s">
        <v>42</v>
      </c>
      <c r="E860" s="10" t="n">
        <v>45755.6875</v>
      </c>
      <c r="F860" s="10" t="n">
        <v>45756.1020833333</v>
      </c>
      <c r="G860" s="0" t="n">
        <v>417.82</v>
      </c>
      <c r="H860" s="0" t="n">
        <v>408.9</v>
      </c>
      <c r="I860" s="11" t="n">
        <f aca="false">H860-G860</f>
        <v>-8.92000000000002</v>
      </c>
      <c r="J860" s="5" t="n">
        <f aca="false">IF(G860=0,"",I860/G860)</f>
        <v>-0.0213489062275621</v>
      </c>
      <c r="K860" s="0" t="n">
        <v>58.1</v>
      </c>
      <c r="L860" s="0" t="n">
        <v>9.95</v>
      </c>
      <c r="M860" s="11" t="s">
        <v>1332</v>
      </c>
      <c r="N860" s="12" t="n">
        <f aca="false">INT(E860)</f>
        <v>45755</v>
      </c>
      <c r="O860" s="12" t="n">
        <f aca="false">IF(F860="","",INT(F860))</f>
        <v>45756</v>
      </c>
    </row>
    <row r="861" customFormat="false" ht="15" hidden="false" customHeight="false" outlineLevel="0" collapsed="false">
      <c r="A861" s="0" t="s">
        <v>1763</v>
      </c>
      <c r="B861" s="0" t="s">
        <v>1764</v>
      </c>
      <c r="C861" s="0" t="s">
        <v>23</v>
      </c>
      <c r="D861" s="0" t="s">
        <v>42</v>
      </c>
      <c r="E861" s="10" t="n">
        <v>45755.7</v>
      </c>
      <c r="F861" s="10" t="n">
        <v>45758.560625</v>
      </c>
      <c r="G861" s="0" t="n">
        <v>239.68</v>
      </c>
      <c r="H861" s="0" t="n">
        <v>238.18</v>
      </c>
      <c r="I861" s="11" t="n">
        <f aca="false">H861-G861</f>
        <v>-1.5</v>
      </c>
      <c r="J861" s="5" t="n">
        <f aca="false">IF(G861=0,"",I861/G861)</f>
        <v>-0.00625834445927904</v>
      </c>
      <c r="K861" s="0" t="n">
        <v>47.3</v>
      </c>
      <c r="L861" s="0" t="n">
        <v>68.66</v>
      </c>
      <c r="M861" s="11" t="s">
        <v>1332</v>
      </c>
      <c r="N861" s="12" t="n">
        <f aca="false">INT(E861)</f>
        <v>45755</v>
      </c>
      <c r="O861" s="12" t="n">
        <f aca="false">IF(F861="","",INT(F861))</f>
        <v>45758</v>
      </c>
    </row>
    <row r="862" customFormat="false" ht="15" hidden="false" customHeight="false" outlineLevel="0" collapsed="false">
      <c r="A862" s="0" t="s">
        <v>1765</v>
      </c>
      <c r="B862" s="0" t="s">
        <v>1766</v>
      </c>
      <c r="C862" s="0" t="s">
        <v>21</v>
      </c>
      <c r="D862" s="0" t="s">
        <v>42</v>
      </c>
      <c r="E862" s="10" t="n">
        <v>45755.7138888889</v>
      </c>
      <c r="F862" s="10" t="n">
        <v>45756.2902777778</v>
      </c>
      <c r="G862" s="0" t="n">
        <v>361.53</v>
      </c>
      <c r="H862" s="0" t="n">
        <v>369.68</v>
      </c>
      <c r="I862" s="11" t="n">
        <f aca="false">H862-G862</f>
        <v>8.15000000000003</v>
      </c>
      <c r="J862" s="5" t="n">
        <f aca="false">IF(G862=0,"",I862/G862)</f>
        <v>0.0225430807955081</v>
      </c>
      <c r="K862" s="0" t="n">
        <v>69.5</v>
      </c>
      <c r="L862" s="0" t="n">
        <v>13.83</v>
      </c>
      <c r="M862" s="11" t="s">
        <v>1332</v>
      </c>
      <c r="N862" s="12" t="n">
        <f aca="false">INT(E862)</f>
        <v>45755</v>
      </c>
      <c r="O862" s="12" t="n">
        <f aca="false">IF(F862="","",INT(F862))</f>
        <v>45756</v>
      </c>
    </row>
    <row r="863" customFormat="false" ht="15" hidden="false" customHeight="false" outlineLevel="0" collapsed="false">
      <c r="A863" s="0" t="s">
        <v>1767</v>
      </c>
      <c r="B863" s="0" t="s">
        <v>1768</v>
      </c>
      <c r="C863" s="0" t="s">
        <v>19</v>
      </c>
      <c r="D863" s="0" t="s">
        <v>42</v>
      </c>
      <c r="E863" s="10" t="n">
        <v>45755.7270833333</v>
      </c>
      <c r="F863" s="10" t="n">
        <v>45756.3299884259</v>
      </c>
      <c r="G863" s="0" t="n">
        <v>199.92</v>
      </c>
      <c r="H863" s="0" t="n">
        <v>202.29</v>
      </c>
      <c r="I863" s="11" t="n">
        <f aca="false">H863-G863</f>
        <v>2.37</v>
      </c>
      <c r="J863" s="5" t="n">
        <f aca="false">IF(G863=0,"",I863/G863)</f>
        <v>0.0118547418967587</v>
      </c>
      <c r="K863" s="0" t="n">
        <v>19.8</v>
      </c>
      <c r="L863" s="0" t="n">
        <v>14.47</v>
      </c>
      <c r="M863" s="11" t="s">
        <v>1332</v>
      </c>
      <c r="N863" s="12" t="n">
        <f aca="false">INT(E863)</f>
        <v>45755</v>
      </c>
      <c r="O863" s="12" t="n">
        <f aca="false">IF(F863="","",INT(F863))</f>
        <v>45756</v>
      </c>
    </row>
    <row r="864" customFormat="false" ht="15" hidden="false" customHeight="false" outlineLevel="0" collapsed="false">
      <c r="A864" s="0" t="s">
        <v>1769</v>
      </c>
      <c r="B864" s="0" t="s">
        <v>1770</v>
      </c>
      <c r="C864" s="0" t="s">
        <v>23</v>
      </c>
      <c r="D864" s="0" t="s">
        <v>42</v>
      </c>
      <c r="E864" s="10" t="n">
        <v>45755.7284722222</v>
      </c>
      <c r="F864" s="10" t="n">
        <v>45756.31875</v>
      </c>
      <c r="G864" s="0" t="n">
        <v>215.26</v>
      </c>
      <c r="H864" s="0" t="n">
        <v>211.35</v>
      </c>
      <c r="I864" s="11" t="n">
        <f aca="false">H864-G864</f>
        <v>-3.91</v>
      </c>
      <c r="J864" s="5" t="n">
        <f aca="false">IF(G864=0,"",I864/G864)</f>
        <v>-0.0181640806466598</v>
      </c>
      <c r="K864" s="0" t="n">
        <v>94.1</v>
      </c>
      <c r="L864" s="0" t="n">
        <v>14.17</v>
      </c>
      <c r="M864" s="11" t="s">
        <v>1332</v>
      </c>
      <c r="N864" s="12" t="n">
        <f aca="false">INT(E864)</f>
        <v>45755</v>
      </c>
      <c r="O864" s="12" t="n">
        <f aca="false">IF(F864="","",INT(F864))</f>
        <v>45756</v>
      </c>
    </row>
    <row r="865" customFormat="false" ht="15" hidden="false" customHeight="false" outlineLevel="0" collapsed="false">
      <c r="A865" s="0" t="s">
        <v>1771</v>
      </c>
      <c r="B865" s="0" t="s">
        <v>1772</v>
      </c>
      <c r="C865" s="0" t="s">
        <v>21</v>
      </c>
      <c r="D865" s="0" t="s">
        <v>42</v>
      </c>
      <c r="E865" s="10" t="n">
        <v>45756.2944444444</v>
      </c>
      <c r="F865" s="10" t="n">
        <v>45757.0256944444</v>
      </c>
      <c r="G865" s="0" t="n">
        <v>248.34</v>
      </c>
      <c r="H865" s="0" t="n">
        <v>256.81</v>
      </c>
      <c r="I865" s="11" t="n">
        <f aca="false">H865-G865</f>
        <v>8.47</v>
      </c>
      <c r="J865" s="5" t="n">
        <f aca="false">IF(G865=0,"",I865/G865)</f>
        <v>0.0341064669404848</v>
      </c>
      <c r="K865" s="0" t="n">
        <v>40.2</v>
      </c>
      <c r="L865" s="0" t="n">
        <v>17.55</v>
      </c>
      <c r="M865" s="11" t="s">
        <v>1332</v>
      </c>
      <c r="N865" s="12" t="n">
        <f aca="false">INT(E865)</f>
        <v>45756</v>
      </c>
      <c r="O865" s="12" t="n">
        <f aca="false">IF(F865="","",INT(F865))</f>
        <v>45757</v>
      </c>
    </row>
    <row r="866" customFormat="false" ht="15" hidden="false" customHeight="false" outlineLevel="0" collapsed="false">
      <c r="A866" s="0" t="s">
        <v>1773</v>
      </c>
      <c r="B866" s="0" t="s">
        <v>1774</v>
      </c>
      <c r="C866" s="0" t="s">
        <v>21</v>
      </c>
      <c r="D866" s="0" t="s">
        <v>42</v>
      </c>
      <c r="E866" s="10" t="n">
        <v>45756.3236111111</v>
      </c>
      <c r="F866" s="10" t="n">
        <v>45756.8349189815</v>
      </c>
      <c r="G866" s="0" t="n">
        <v>201.42</v>
      </c>
      <c r="H866" s="0" t="n">
        <v>197.8</v>
      </c>
      <c r="I866" s="11" t="n">
        <f aca="false">H866-G866</f>
        <v>-3.61999999999998</v>
      </c>
      <c r="J866" s="5" t="n">
        <f aca="false">IF(G866=0,"",I866/G866)</f>
        <v>-0.0179723959884817</v>
      </c>
      <c r="K866" s="0" t="n">
        <v>38.1</v>
      </c>
      <c r="L866" s="0" t="n">
        <v>12.27</v>
      </c>
      <c r="M866" s="11" t="s">
        <v>1332</v>
      </c>
      <c r="N866" s="12" t="n">
        <f aca="false">INT(E866)</f>
        <v>45756</v>
      </c>
      <c r="O866" s="12" t="n">
        <f aca="false">IF(F866="","",INT(F866))</f>
        <v>45756</v>
      </c>
    </row>
    <row r="867" customFormat="false" ht="15" hidden="false" customHeight="false" outlineLevel="0" collapsed="false">
      <c r="A867" s="0" t="s">
        <v>1775</v>
      </c>
      <c r="B867" s="0" t="s">
        <v>1776</v>
      </c>
      <c r="C867" s="0" t="s">
        <v>21</v>
      </c>
      <c r="D867" s="0" t="s">
        <v>42</v>
      </c>
      <c r="E867" s="10" t="n">
        <v>45756.3333333333</v>
      </c>
      <c r="F867" s="10" t="n">
        <v>45756.7486342593</v>
      </c>
      <c r="G867" s="0" t="n">
        <v>129.5</v>
      </c>
      <c r="H867" s="0" t="n">
        <v>127.26</v>
      </c>
      <c r="I867" s="11" t="n">
        <f aca="false">H867-G867</f>
        <v>-2.24</v>
      </c>
      <c r="J867" s="5" t="n">
        <f aca="false">IF(G867=0,"",I867/G867)</f>
        <v>-0.0172972972972973</v>
      </c>
      <c r="K867" s="0" t="n">
        <v>20.7</v>
      </c>
      <c r="L867" s="0" t="n">
        <v>9.97</v>
      </c>
      <c r="M867" s="11" t="s">
        <v>1332</v>
      </c>
      <c r="N867" s="12" t="n">
        <f aca="false">INT(E867)</f>
        <v>45756</v>
      </c>
      <c r="O867" s="12" t="n">
        <f aca="false">IF(F867="","",INT(F867))</f>
        <v>45756</v>
      </c>
    </row>
    <row r="868" customFormat="false" ht="15" hidden="false" customHeight="false" outlineLevel="0" collapsed="false">
      <c r="A868" s="0" t="s">
        <v>1777</v>
      </c>
      <c r="B868" s="0" t="s">
        <v>1778</v>
      </c>
      <c r="C868" s="0" t="s">
        <v>23</v>
      </c>
      <c r="D868" s="0" t="s">
        <v>42</v>
      </c>
      <c r="E868" s="10" t="n">
        <v>45756.3381944444</v>
      </c>
      <c r="F868" s="10" t="n">
        <v>45759.3368055556</v>
      </c>
      <c r="G868" s="0" t="n">
        <v>3528.63</v>
      </c>
      <c r="H868" s="0" t="n">
        <v>3575.42</v>
      </c>
      <c r="I868" s="11" t="n">
        <f aca="false">H868-G868</f>
        <v>46.79</v>
      </c>
      <c r="J868" s="5" t="n">
        <f aca="false">IF(G868=0,"",I868/G868)</f>
        <v>0.0132601037796538</v>
      </c>
      <c r="K868" s="0" t="n">
        <v>1536.5</v>
      </c>
      <c r="L868" s="0" t="n">
        <v>63.88</v>
      </c>
      <c r="M868" s="11" t="s">
        <v>1332</v>
      </c>
      <c r="N868" s="12" t="n">
        <f aca="false">INT(E868)</f>
        <v>45756</v>
      </c>
      <c r="O868" s="12" t="n">
        <f aca="false">IF(F868="","",INT(F868))</f>
        <v>45759</v>
      </c>
    </row>
    <row r="869" customFormat="false" ht="15" hidden="false" customHeight="false" outlineLevel="0" collapsed="false">
      <c r="A869" s="0" t="s">
        <v>1779</v>
      </c>
      <c r="B869" s="0" t="s">
        <v>1780</v>
      </c>
      <c r="C869" s="0" t="s">
        <v>21</v>
      </c>
      <c r="D869" s="0" t="s">
        <v>42</v>
      </c>
      <c r="E869" s="10" t="n">
        <v>45756.3638888889</v>
      </c>
      <c r="F869" s="10" t="n">
        <v>45757.2597222222</v>
      </c>
      <c r="G869" s="0" t="n">
        <v>774.46</v>
      </c>
      <c r="H869" s="0" t="n">
        <v>774.43</v>
      </c>
      <c r="I869" s="11" t="n">
        <f aca="false">H869-G869</f>
        <v>-0.0300000000000864</v>
      </c>
      <c r="J869" s="5" t="n">
        <f aca="false">IF(G869=0,"",I869/G869)</f>
        <v>-3.87366681301635E-005</v>
      </c>
      <c r="K869" s="0" t="n">
        <v>213.3</v>
      </c>
      <c r="L869" s="0" t="n">
        <v>21.5</v>
      </c>
      <c r="M869" s="11" t="s">
        <v>1332</v>
      </c>
      <c r="N869" s="12" t="n">
        <f aca="false">INT(E869)</f>
        <v>45756</v>
      </c>
      <c r="O869" s="12" t="n">
        <f aca="false">IF(F869="","",INT(F869))</f>
        <v>45757</v>
      </c>
    </row>
    <row r="870" customFormat="false" ht="15" hidden="false" customHeight="false" outlineLevel="0" collapsed="false">
      <c r="A870" s="0" t="s">
        <v>1781</v>
      </c>
      <c r="B870" s="0" t="s">
        <v>1782</v>
      </c>
      <c r="C870" s="0" t="s">
        <v>21</v>
      </c>
      <c r="D870" s="0" t="s">
        <v>42</v>
      </c>
      <c r="E870" s="10" t="n">
        <v>45756.36875</v>
      </c>
      <c r="F870" s="10" t="n">
        <v>45757.7902777778</v>
      </c>
      <c r="G870" s="0" t="n">
        <v>694.46</v>
      </c>
      <c r="H870" s="0" t="n">
        <v>704.59</v>
      </c>
      <c r="I870" s="11" t="n">
        <f aca="false">H870-G870</f>
        <v>10.13</v>
      </c>
      <c r="J870" s="5" t="n">
        <f aca="false">IF(G870=0,"",I870/G870)</f>
        <v>0.0145868732540391</v>
      </c>
      <c r="K870" s="0" t="n">
        <v>145</v>
      </c>
      <c r="L870" s="0" t="n">
        <v>34.12</v>
      </c>
      <c r="M870" s="11" t="s">
        <v>1332</v>
      </c>
      <c r="N870" s="12" t="n">
        <f aca="false">INT(E870)</f>
        <v>45756</v>
      </c>
      <c r="O870" s="12" t="n">
        <f aca="false">IF(F870="","",INT(F870))</f>
        <v>45757</v>
      </c>
    </row>
    <row r="871" customFormat="false" ht="15" hidden="false" customHeight="false" outlineLevel="0" collapsed="false">
      <c r="A871" s="0" t="s">
        <v>1783</v>
      </c>
      <c r="B871" s="0" t="s">
        <v>1784</v>
      </c>
      <c r="C871" s="0" t="s">
        <v>23</v>
      </c>
      <c r="D871" s="0" t="s">
        <v>42</v>
      </c>
      <c r="E871" s="10" t="n">
        <v>45756.3791666667</v>
      </c>
      <c r="F871" s="10" t="n">
        <v>45757.2851157407</v>
      </c>
      <c r="G871" s="0" t="n">
        <v>384.86</v>
      </c>
      <c r="H871" s="0" t="n">
        <v>377.54</v>
      </c>
      <c r="I871" s="11" t="n">
        <f aca="false">H871-G871</f>
        <v>-7.31999999999999</v>
      </c>
      <c r="J871" s="5" t="n">
        <f aca="false">IF(G871=0,"",I871/G871)</f>
        <v>-0.0190199033414748</v>
      </c>
      <c r="K871" s="0" t="n">
        <v>148.3</v>
      </c>
      <c r="L871" s="0" t="n">
        <v>21.74</v>
      </c>
      <c r="M871" s="11" t="s">
        <v>1332</v>
      </c>
      <c r="N871" s="12" t="n">
        <f aca="false">INT(E871)</f>
        <v>45756</v>
      </c>
      <c r="O871" s="12" t="n">
        <f aca="false">IF(F871="","",INT(F871))</f>
        <v>45757</v>
      </c>
    </row>
    <row r="872" customFormat="false" ht="15" hidden="false" customHeight="false" outlineLevel="0" collapsed="false">
      <c r="A872" s="0" t="s">
        <v>1785</v>
      </c>
      <c r="B872" s="0" t="s">
        <v>1786</v>
      </c>
      <c r="C872" s="0" t="s">
        <v>23</v>
      </c>
      <c r="D872" s="0" t="s">
        <v>42</v>
      </c>
      <c r="E872" s="10" t="n">
        <v>45756.3833333333</v>
      </c>
      <c r="F872" s="10" t="n">
        <v>45757.0743055556</v>
      </c>
      <c r="G872" s="0" t="n">
        <v>228.55</v>
      </c>
      <c r="H872" s="0" t="n">
        <v>229.12</v>
      </c>
      <c r="I872" s="11" t="n">
        <f aca="false">H872-G872</f>
        <v>0.569999999999993</v>
      </c>
      <c r="J872" s="5" t="n">
        <f aca="false">IF(G872=0,"",I872/G872)</f>
        <v>0.00249398381098225</v>
      </c>
      <c r="K872" s="0" t="n">
        <v>75.7</v>
      </c>
      <c r="L872" s="0" t="n">
        <v>16.58</v>
      </c>
      <c r="M872" s="11" t="s">
        <v>1332</v>
      </c>
      <c r="N872" s="12" t="n">
        <f aca="false">INT(E872)</f>
        <v>45756</v>
      </c>
      <c r="O872" s="12" t="n">
        <f aca="false">IF(F872="","",INT(F872))</f>
        <v>45757</v>
      </c>
    </row>
    <row r="873" customFormat="false" ht="15" hidden="false" customHeight="false" outlineLevel="0" collapsed="false">
      <c r="A873" s="0" t="s">
        <v>1787</v>
      </c>
      <c r="B873" s="0" t="s">
        <v>1788</v>
      </c>
      <c r="C873" s="0" t="s">
        <v>20</v>
      </c>
      <c r="D873" s="0" t="s">
        <v>42</v>
      </c>
      <c r="E873" s="10" t="n">
        <v>45756.3847222222</v>
      </c>
      <c r="F873" s="10" t="n">
        <v>45757.8798611111</v>
      </c>
      <c r="G873" s="0" t="n">
        <v>194.3</v>
      </c>
      <c r="H873" s="0" t="n">
        <v>140.99</v>
      </c>
      <c r="I873" s="11" t="n">
        <f aca="false">H873-G873</f>
        <v>-53.31</v>
      </c>
      <c r="J873" s="5" t="n">
        <f aca="false">IF(G873=0,"",I873/G873)</f>
        <v>-0.274369531652084</v>
      </c>
      <c r="K873" s="0" t="n">
        <v>38.6</v>
      </c>
      <c r="L873" s="0" t="n">
        <v>35.88</v>
      </c>
      <c r="M873" s="11" t="s">
        <v>1332</v>
      </c>
      <c r="N873" s="12" t="n">
        <f aca="false">INT(E873)</f>
        <v>45756</v>
      </c>
      <c r="O873" s="12" t="n">
        <f aca="false">IF(F873="","",INT(F873))</f>
        <v>45757</v>
      </c>
    </row>
    <row r="874" customFormat="false" ht="15" hidden="false" customHeight="false" outlineLevel="0" collapsed="false">
      <c r="A874" s="0" t="s">
        <v>1789</v>
      </c>
      <c r="B874" s="0" t="s">
        <v>1790</v>
      </c>
      <c r="C874" s="0" t="s">
        <v>24</v>
      </c>
      <c r="D874" s="0" t="s">
        <v>42</v>
      </c>
      <c r="E874" s="10" t="n">
        <v>45756.3993055556</v>
      </c>
      <c r="F874" s="10" t="n">
        <v>45756.9963425926</v>
      </c>
      <c r="G874" s="0" t="n">
        <v>115.31</v>
      </c>
      <c r="H874" s="0" t="n">
        <v>116.96</v>
      </c>
      <c r="I874" s="11" t="n">
        <f aca="false">H874-G874</f>
        <v>1.64999999999999</v>
      </c>
      <c r="J874" s="5" t="n">
        <f aca="false">IF(G874=0,"",I874/G874)</f>
        <v>0.014309253317145</v>
      </c>
      <c r="K874" s="0" t="n">
        <v>35.6</v>
      </c>
      <c r="L874" s="0" t="n">
        <v>14.33</v>
      </c>
      <c r="M874" s="11" t="s">
        <v>1332</v>
      </c>
      <c r="N874" s="12" t="n">
        <f aca="false">INT(E874)</f>
        <v>45756</v>
      </c>
      <c r="O874" s="12" t="n">
        <f aca="false">IF(F874="","",INT(F874))</f>
        <v>45756</v>
      </c>
    </row>
    <row r="875" customFormat="false" ht="15" hidden="false" customHeight="false" outlineLevel="0" collapsed="false">
      <c r="A875" s="0" t="s">
        <v>1791</v>
      </c>
      <c r="B875" s="0" t="s">
        <v>1792</v>
      </c>
      <c r="C875" s="0" t="s">
        <v>20</v>
      </c>
      <c r="D875" s="0" t="s">
        <v>42</v>
      </c>
      <c r="E875" s="10" t="n">
        <v>45756.4041666667</v>
      </c>
      <c r="F875" s="10" t="n">
        <v>45758.9088194444</v>
      </c>
      <c r="G875" s="0" t="n">
        <v>352.79</v>
      </c>
      <c r="H875" s="0" t="n">
        <v>356.15</v>
      </c>
      <c r="I875" s="11" t="n">
        <f aca="false">H875-G875</f>
        <v>3.35999999999996</v>
      </c>
      <c r="J875" s="5" t="n">
        <f aca="false">IF(G875=0,"",I875/G875)</f>
        <v>0.00952407948071078</v>
      </c>
      <c r="K875" s="0" t="n">
        <v>70.1</v>
      </c>
      <c r="L875" s="0" t="n">
        <v>60.11</v>
      </c>
      <c r="M875" s="11" t="s">
        <v>1332</v>
      </c>
      <c r="N875" s="12" t="n">
        <f aca="false">INT(E875)</f>
        <v>45756</v>
      </c>
      <c r="O875" s="12" t="n">
        <f aca="false">IF(F875="","",INT(F875))</f>
        <v>45758</v>
      </c>
    </row>
    <row r="876" customFormat="false" ht="15" hidden="false" customHeight="false" outlineLevel="0" collapsed="false">
      <c r="A876" s="0" t="s">
        <v>1793</v>
      </c>
      <c r="B876" s="0" t="s">
        <v>1794</v>
      </c>
      <c r="C876" s="0" t="s">
        <v>20</v>
      </c>
      <c r="D876" s="0" t="s">
        <v>42</v>
      </c>
      <c r="E876" s="10" t="n">
        <v>45756.4180555556</v>
      </c>
      <c r="F876" s="10" t="n">
        <v>45757.1013888889</v>
      </c>
      <c r="G876" s="0" t="n">
        <v>134.72</v>
      </c>
      <c r="H876" s="0" t="n">
        <v>139.39</v>
      </c>
      <c r="I876" s="11" t="n">
        <f aca="false">H876-G876</f>
        <v>4.66999999999999</v>
      </c>
      <c r="J876" s="5" t="n">
        <f aca="false">IF(G876=0,"",I876/G876)</f>
        <v>0.0346644893111638</v>
      </c>
      <c r="K876" s="0" t="n">
        <v>24.6</v>
      </c>
      <c r="L876" s="0" t="n">
        <v>16.4</v>
      </c>
      <c r="M876" s="11" t="s">
        <v>1332</v>
      </c>
      <c r="N876" s="12" t="n">
        <f aca="false">INT(E876)</f>
        <v>45756</v>
      </c>
      <c r="O876" s="12" t="n">
        <f aca="false">IF(F876="","",INT(F876))</f>
        <v>45757</v>
      </c>
    </row>
    <row r="877" customFormat="false" ht="15" hidden="false" customHeight="false" outlineLevel="0" collapsed="false">
      <c r="A877" s="0" t="s">
        <v>1795</v>
      </c>
      <c r="B877" s="0" t="s">
        <v>1796</v>
      </c>
      <c r="C877" s="0" t="s">
        <v>23</v>
      </c>
      <c r="D877" s="0" t="s">
        <v>42</v>
      </c>
      <c r="E877" s="10" t="n">
        <v>45756.4416666667</v>
      </c>
      <c r="F877" s="10" t="n">
        <v>45757.0409722222</v>
      </c>
      <c r="G877" s="0" t="n">
        <v>542.44</v>
      </c>
      <c r="H877" s="0" t="n">
        <v>534.63</v>
      </c>
      <c r="I877" s="11" t="n">
        <f aca="false">H877-G877</f>
        <v>-7.81000000000006</v>
      </c>
      <c r="J877" s="5" t="n">
        <f aca="false">IF(G877=0,"",I877/G877)</f>
        <v>-0.0143979057591624</v>
      </c>
      <c r="K877" s="0" t="n">
        <v>116.1</v>
      </c>
      <c r="L877" s="0" t="n">
        <v>14.38</v>
      </c>
      <c r="M877" s="11" t="s">
        <v>1332</v>
      </c>
      <c r="N877" s="12" t="n">
        <f aca="false">INT(E877)</f>
        <v>45756</v>
      </c>
      <c r="O877" s="12" t="n">
        <f aca="false">IF(F877="","",INT(F877))</f>
        <v>45757</v>
      </c>
    </row>
    <row r="878" customFormat="false" ht="15" hidden="false" customHeight="false" outlineLevel="0" collapsed="false">
      <c r="A878" s="0" t="s">
        <v>1797</v>
      </c>
      <c r="B878" s="0" t="s">
        <v>1798</v>
      </c>
      <c r="C878" s="0" t="s">
        <v>23</v>
      </c>
      <c r="D878" s="0" t="s">
        <v>42</v>
      </c>
      <c r="E878" s="10" t="n">
        <v>45756.4423611111</v>
      </c>
      <c r="F878" s="10" t="n">
        <v>45757.7755092593</v>
      </c>
      <c r="G878" s="0" t="n">
        <v>136.05</v>
      </c>
      <c r="H878" s="0" t="n">
        <v>135.15</v>
      </c>
      <c r="I878" s="11" t="n">
        <f aca="false">H878-G878</f>
        <v>-0.900000000000006</v>
      </c>
      <c r="J878" s="5" t="n">
        <f aca="false">IF(G878=0,"",I878/G878)</f>
        <v>-0.00661521499448736</v>
      </c>
      <c r="K878" s="0" t="n">
        <v>60.6</v>
      </c>
      <c r="L878" s="0" t="n">
        <v>32</v>
      </c>
      <c r="M878" s="11" t="s">
        <v>1332</v>
      </c>
      <c r="N878" s="12" t="n">
        <f aca="false">INT(E878)</f>
        <v>45756</v>
      </c>
      <c r="O878" s="12" t="n">
        <f aca="false">IF(F878="","",INT(F878))</f>
        <v>45757</v>
      </c>
    </row>
    <row r="879" customFormat="false" ht="15" hidden="false" customHeight="false" outlineLevel="0" collapsed="false">
      <c r="A879" s="0" t="s">
        <v>1799</v>
      </c>
      <c r="B879" s="0" t="s">
        <v>1800</v>
      </c>
      <c r="C879" s="0" t="s">
        <v>23</v>
      </c>
      <c r="D879" s="0" t="s">
        <v>42</v>
      </c>
      <c r="E879" s="10" t="n">
        <v>45756.4791666667</v>
      </c>
      <c r="F879" s="10" t="n">
        <v>45757.6413888889</v>
      </c>
      <c r="G879" s="0" t="n">
        <v>230.8</v>
      </c>
      <c r="H879" s="0" t="n">
        <v>226.93</v>
      </c>
      <c r="I879" s="11" t="n">
        <f aca="false">H879-G879</f>
        <v>-3.87</v>
      </c>
      <c r="J879" s="5" t="n">
        <f aca="false">IF(G879=0,"",I879/G879)</f>
        <v>-0.0167677642980936</v>
      </c>
      <c r="K879" s="0" t="n">
        <v>53.4</v>
      </c>
      <c r="L879" s="0" t="n">
        <v>27.89</v>
      </c>
      <c r="M879" s="11" t="s">
        <v>1332</v>
      </c>
      <c r="N879" s="12" t="n">
        <f aca="false">INT(E879)</f>
        <v>45756</v>
      </c>
      <c r="O879" s="12" t="n">
        <f aca="false">IF(F879="","",INT(F879))</f>
        <v>45757</v>
      </c>
    </row>
    <row r="880" customFormat="false" ht="15" hidden="false" customHeight="false" outlineLevel="0" collapsed="false">
      <c r="A880" s="0" t="s">
        <v>1801</v>
      </c>
      <c r="B880" s="0" t="s">
        <v>1802</v>
      </c>
      <c r="C880" s="0" t="s">
        <v>19</v>
      </c>
      <c r="D880" s="0" t="s">
        <v>42</v>
      </c>
      <c r="E880" s="10" t="n">
        <v>45756.5020833333</v>
      </c>
      <c r="F880" s="10" t="n">
        <v>45758.2930555556</v>
      </c>
      <c r="G880" s="0" t="n">
        <v>514.1</v>
      </c>
      <c r="H880" s="0" t="n">
        <v>637.91</v>
      </c>
      <c r="I880" s="11" t="n">
        <f aca="false">H880-G880</f>
        <v>123.81</v>
      </c>
      <c r="J880" s="5" t="n">
        <f aca="false">IF(G880=0,"",I880/G880)</f>
        <v>0.240828632561758</v>
      </c>
      <c r="K880" s="0" t="n">
        <v>76.6</v>
      </c>
      <c r="L880" s="0" t="n">
        <v>42.98</v>
      </c>
      <c r="M880" s="11" t="s">
        <v>1332</v>
      </c>
      <c r="N880" s="12" t="n">
        <f aca="false">INT(E880)</f>
        <v>45756</v>
      </c>
      <c r="O880" s="12" t="n">
        <f aca="false">IF(F880="","",INT(F880))</f>
        <v>45758</v>
      </c>
    </row>
    <row r="881" customFormat="false" ht="15" hidden="false" customHeight="false" outlineLevel="0" collapsed="false">
      <c r="A881" s="0" t="s">
        <v>1803</v>
      </c>
      <c r="B881" s="0" t="s">
        <v>1804</v>
      </c>
      <c r="C881" s="0" t="s">
        <v>23</v>
      </c>
      <c r="D881" s="0" t="s">
        <v>42</v>
      </c>
      <c r="E881" s="10" t="n">
        <v>45756.5041666667</v>
      </c>
      <c r="F881" s="10" t="n">
        <v>45758.3506944445</v>
      </c>
      <c r="G881" s="0" t="n">
        <v>933.18</v>
      </c>
      <c r="H881" s="0" t="n">
        <v>902.17</v>
      </c>
      <c r="I881" s="11" t="n">
        <f aca="false">H881-G881</f>
        <v>-31.01</v>
      </c>
      <c r="J881" s="5" t="n">
        <f aca="false">IF(G881=0,"",I881/G881)</f>
        <v>-0.0332304592897405</v>
      </c>
      <c r="K881" s="0" t="n">
        <v>211.1</v>
      </c>
      <c r="L881" s="0" t="n">
        <v>44.32</v>
      </c>
      <c r="M881" s="11" t="s">
        <v>1332</v>
      </c>
      <c r="N881" s="12" t="n">
        <f aca="false">INT(E881)</f>
        <v>45756</v>
      </c>
      <c r="O881" s="12" t="n">
        <f aca="false">IF(F881="","",INT(F881))</f>
        <v>45758</v>
      </c>
    </row>
    <row r="882" customFormat="false" ht="15" hidden="false" customHeight="false" outlineLevel="0" collapsed="false">
      <c r="A882" s="0" t="s">
        <v>1805</v>
      </c>
      <c r="B882" s="0" t="s">
        <v>1806</v>
      </c>
      <c r="C882" s="0" t="s">
        <v>22</v>
      </c>
      <c r="D882" s="0" t="s">
        <v>42</v>
      </c>
      <c r="E882" s="10" t="n">
        <v>45756.5159722222</v>
      </c>
      <c r="F882" s="10" t="n">
        <v>45757.406724537</v>
      </c>
      <c r="G882" s="0" t="n">
        <v>936.5</v>
      </c>
      <c r="H882" s="0" t="n">
        <v>924.55</v>
      </c>
      <c r="I882" s="11" t="n">
        <f aca="false">H882-G882</f>
        <v>-11.95</v>
      </c>
      <c r="J882" s="5" t="n">
        <f aca="false">IF(G882=0,"",I882/G882)</f>
        <v>-0.0127602776294715</v>
      </c>
      <c r="K882" s="0" t="n">
        <v>181.9</v>
      </c>
      <c r="L882" s="0" t="n">
        <v>21.38</v>
      </c>
      <c r="M882" s="11" t="s">
        <v>1332</v>
      </c>
      <c r="N882" s="12" t="n">
        <f aca="false">INT(E882)</f>
        <v>45756</v>
      </c>
      <c r="O882" s="12" t="n">
        <f aca="false">IF(F882="","",INT(F882))</f>
        <v>45757</v>
      </c>
    </row>
    <row r="883" customFormat="false" ht="15" hidden="false" customHeight="false" outlineLevel="0" collapsed="false">
      <c r="A883" s="0" t="s">
        <v>1807</v>
      </c>
      <c r="B883" s="0" t="s">
        <v>1808</v>
      </c>
      <c r="C883" s="0" t="s">
        <v>24</v>
      </c>
      <c r="D883" s="0" t="s">
        <v>42</v>
      </c>
      <c r="E883" s="10" t="n">
        <v>45756.5666666667</v>
      </c>
      <c r="F883" s="10" t="n">
        <v>45757.7897685185</v>
      </c>
      <c r="G883" s="0" t="n">
        <v>312.95</v>
      </c>
      <c r="H883" s="0" t="n">
        <v>320.71</v>
      </c>
      <c r="I883" s="11" t="n">
        <f aca="false">H883-G883</f>
        <v>7.75999999999999</v>
      </c>
      <c r="J883" s="5" t="n">
        <f aca="false">IF(G883=0,"",I883/G883)</f>
        <v>0.0247962933375938</v>
      </c>
      <c r="K883" s="0" t="n">
        <v>97.2</v>
      </c>
      <c r="L883" s="0" t="n">
        <v>29.35</v>
      </c>
      <c r="M883" s="11" t="s">
        <v>1332</v>
      </c>
      <c r="N883" s="12" t="n">
        <f aca="false">INT(E883)</f>
        <v>45756</v>
      </c>
      <c r="O883" s="12" t="n">
        <f aca="false">IF(F883="","",INT(F883))</f>
        <v>45757</v>
      </c>
    </row>
    <row r="884" customFormat="false" ht="15" hidden="false" customHeight="false" outlineLevel="0" collapsed="false">
      <c r="A884" s="0" t="s">
        <v>1809</v>
      </c>
      <c r="B884" s="0" t="s">
        <v>1810</v>
      </c>
      <c r="C884" s="0" t="s">
        <v>19</v>
      </c>
      <c r="D884" s="0" t="s">
        <v>42</v>
      </c>
      <c r="E884" s="10" t="n">
        <v>45756.6027777778</v>
      </c>
      <c r="F884" s="10" t="n">
        <v>45756.8529976852</v>
      </c>
      <c r="G884" s="0" t="n">
        <v>178.85</v>
      </c>
      <c r="H884" s="0" t="n">
        <v>179.96</v>
      </c>
      <c r="I884" s="11" t="n">
        <f aca="false">H884-G884</f>
        <v>1.11000000000001</v>
      </c>
      <c r="J884" s="5" t="n">
        <f aca="false">IF(G884=0,"",I884/G884)</f>
        <v>0.00620631814369591</v>
      </c>
      <c r="K884" s="0" t="n">
        <v>21.3</v>
      </c>
      <c r="L884" s="0" t="n">
        <v>6.01</v>
      </c>
      <c r="M884" s="11" t="s">
        <v>1332</v>
      </c>
      <c r="N884" s="12" t="n">
        <f aca="false">INT(E884)</f>
        <v>45756</v>
      </c>
      <c r="O884" s="12" t="n">
        <f aca="false">IF(F884="","",INT(F884))</f>
        <v>45756</v>
      </c>
    </row>
    <row r="885" customFormat="false" ht="15" hidden="false" customHeight="false" outlineLevel="0" collapsed="false">
      <c r="A885" s="0" t="s">
        <v>1811</v>
      </c>
      <c r="B885" s="0" t="s">
        <v>1812</v>
      </c>
      <c r="C885" s="0" t="s">
        <v>19</v>
      </c>
      <c r="D885" s="0" t="s">
        <v>42</v>
      </c>
      <c r="E885" s="10" t="n">
        <v>45756.6194444444</v>
      </c>
      <c r="F885" s="10" t="n">
        <v>45757.2194444445</v>
      </c>
      <c r="G885" s="0" t="n">
        <v>464.3</v>
      </c>
      <c r="H885" s="0" t="n">
        <v>457.64</v>
      </c>
      <c r="I885" s="11" t="n">
        <f aca="false">H885-G885</f>
        <v>-6.66000000000003</v>
      </c>
      <c r="J885" s="5" t="n">
        <f aca="false">IF(G885=0,"",I885/G885)</f>
        <v>-0.0143441740254147</v>
      </c>
      <c r="K885" s="0" t="n">
        <v>69.8</v>
      </c>
      <c r="L885" s="0" t="n">
        <v>14.4</v>
      </c>
      <c r="M885" s="11" t="s">
        <v>1332</v>
      </c>
      <c r="N885" s="12" t="n">
        <f aca="false">INT(E885)</f>
        <v>45756</v>
      </c>
      <c r="O885" s="12" t="n">
        <f aca="false">IF(F885="","",INT(F885))</f>
        <v>45757</v>
      </c>
    </row>
    <row r="886" customFormat="false" ht="15" hidden="false" customHeight="false" outlineLevel="0" collapsed="false">
      <c r="A886" s="0" t="s">
        <v>1813</v>
      </c>
      <c r="B886" s="0" t="s">
        <v>1814</v>
      </c>
      <c r="C886" s="0" t="s">
        <v>19</v>
      </c>
      <c r="D886" s="0" t="s">
        <v>42</v>
      </c>
      <c r="E886" s="10" t="n">
        <v>45756.6201388889</v>
      </c>
      <c r="F886" s="10" t="n">
        <v>45757.2680555556</v>
      </c>
      <c r="G886" s="0" t="n">
        <v>220.07</v>
      </c>
      <c r="H886" s="0" t="n">
        <v>220.84</v>
      </c>
      <c r="I886" s="11" t="n">
        <f aca="false">H886-G886</f>
        <v>0.77000000000001</v>
      </c>
      <c r="J886" s="5" t="n">
        <f aca="false">IF(G886=0,"",I886/G886)</f>
        <v>0.00349888671786255</v>
      </c>
      <c r="K886" s="0" t="n">
        <v>36.2</v>
      </c>
      <c r="L886" s="0" t="n">
        <v>15.55</v>
      </c>
      <c r="M886" s="11" t="s">
        <v>1332</v>
      </c>
      <c r="N886" s="12" t="n">
        <f aca="false">INT(E886)</f>
        <v>45756</v>
      </c>
      <c r="O886" s="12" t="n">
        <f aca="false">IF(F886="","",INT(F886))</f>
        <v>45757</v>
      </c>
    </row>
    <row r="887" customFormat="false" ht="15" hidden="false" customHeight="false" outlineLevel="0" collapsed="false">
      <c r="A887" s="0" t="s">
        <v>1815</v>
      </c>
      <c r="B887" s="0" t="s">
        <v>1816</v>
      </c>
      <c r="C887" s="0" t="s">
        <v>23</v>
      </c>
      <c r="D887" s="0" t="s">
        <v>42</v>
      </c>
      <c r="E887" s="10" t="n">
        <v>45756.6326388889</v>
      </c>
      <c r="F887" s="10" t="n">
        <v>45756.9507060185</v>
      </c>
      <c r="G887" s="0" t="n">
        <v>517.57</v>
      </c>
      <c r="H887" s="0" t="n">
        <v>514.23</v>
      </c>
      <c r="I887" s="11" t="n">
        <f aca="false">H887-G887</f>
        <v>-3.34000000000003</v>
      </c>
      <c r="J887" s="5" t="n">
        <f aca="false">IF(G887=0,"",I887/G887)</f>
        <v>-0.0064532333790599</v>
      </c>
      <c r="K887" s="0" t="n">
        <v>186.8</v>
      </c>
      <c r="L887" s="0" t="n">
        <v>7.63</v>
      </c>
      <c r="M887" s="11" t="s">
        <v>1332</v>
      </c>
      <c r="N887" s="12" t="n">
        <f aca="false">INT(E887)</f>
        <v>45756</v>
      </c>
      <c r="O887" s="12" t="n">
        <f aca="false">IF(F887="","",INT(F887))</f>
        <v>45756</v>
      </c>
    </row>
    <row r="888" customFormat="false" ht="15" hidden="false" customHeight="false" outlineLevel="0" collapsed="false">
      <c r="A888" s="0" t="s">
        <v>1817</v>
      </c>
      <c r="B888" s="0" t="s">
        <v>1818</v>
      </c>
      <c r="C888" s="0" t="s">
        <v>19</v>
      </c>
      <c r="D888" s="0" t="s">
        <v>42</v>
      </c>
      <c r="E888" s="10" t="n">
        <v>45756.6416666667</v>
      </c>
      <c r="F888" s="10" t="n">
        <v>45757.15625</v>
      </c>
      <c r="G888" s="0" t="n">
        <v>810.6</v>
      </c>
      <c r="H888" s="0" t="n">
        <v>832.97</v>
      </c>
      <c r="I888" s="11" t="n">
        <f aca="false">H888-G888</f>
        <v>22.37</v>
      </c>
      <c r="J888" s="5" t="n">
        <f aca="false">IF(G888=0,"",I888/G888)</f>
        <v>0.0275968418455465</v>
      </c>
      <c r="K888" s="0" t="n">
        <v>72.7</v>
      </c>
      <c r="L888" s="0" t="n">
        <v>12.35</v>
      </c>
      <c r="M888" s="11" t="s">
        <v>1332</v>
      </c>
      <c r="N888" s="12" t="n">
        <f aca="false">INT(E888)</f>
        <v>45756</v>
      </c>
      <c r="O888" s="12" t="n">
        <f aca="false">IF(F888="","",INT(F888))</f>
        <v>45757</v>
      </c>
    </row>
    <row r="889" customFormat="false" ht="15" hidden="false" customHeight="false" outlineLevel="0" collapsed="false">
      <c r="A889" s="0" t="s">
        <v>1819</v>
      </c>
      <c r="B889" s="0" t="s">
        <v>1820</v>
      </c>
      <c r="C889" s="0" t="s">
        <v>21</v>
      </c>
      <c r="D889" s="0" t="s">
        <v>42</v>
      </c>
      <c r="E889" s="10" t="n">
        <v>45756.6555555556</v>
      </c>
      <c r="F889" s="10" t="n">
        <v>45757.4326388889</v>
      </c>
      <c r="G889" s="0" t="n">
        <v>185.91</v>
      </c>
      <c r="H889" s="0" t="n">
        <v>213.66</v>
      </c>
      <c r="I889" s="11" t="n">
        <f aca="false">H889-G889</f>
        <v>27.75</v>
      </c>
      <c r="J889" s="5" t="n">
        <f aca="false">IF(G889=0,"",I889/G889)</f>
        <v>0.149265773761498</v>
      </c>
      <c r="K889" s="0" t="n">
        <v>33.5</v>
      </c>
      <c r="L889" s="0" t="n">
        <v>18.65</v>
      </c>
      <c r="M889" s="11" t="s">
        <v>1332</v>
      </c>
      <c r="N889" s="12" t="n">
        <f aca="false">INT(E889)</f>
        <v>45756</v>
      </c>
      <c r="O889" s="12" t="n">
        <f aca="false">IF(F889="","",INT(F889))</f>
        <v>45757</v>
      </c>
    </row>
    <row r="890" customFormat="false" ht="15" hidden="false" customHeight="false" outlineLevel="0" collapsed="false">
      <c r="A890" s="0" t="s">
        <v>1821</v>
      </c>
      <c r="B890" s="0" t="s">
        <v>1822</v>
      </c>
      <c r="C890" s="0" t="s">
        <v>20</v>
      </c>
      <c r="D890" s="0" t="s">
        <v>42</v>
      </c>
      <c r="E890" s="10" t="n">
        <v>45756.6722222222</v>
      </c>
      <c r="F890" s="10" t="n">
        <v>45761.3505555556</v>
      </c>
      <c r="G890" s="0" t="n">
        <v>2739.52</v>
      </c>
      <c r="H890" s="0" t="n">
        <v>2743.21</v>
      </c>
      <c r="I890" s="11" t="n">
        <f aca="false">H890-G890</f>
        <v>3.69000000000005</v>
      </c>
      <c r="J890" s="5" t="n">
        <f aca="false">IF(G890=0,"",I890/G890)</f>
        <v>0.00134695129073708</v>
      </c>
      <c r="K890" s="0" t="n">
        <v>338.8</v>
      </c>
      <c r="L890" s="0" t="n">
        <v>64.28</v>
      </c>
      <c r="M890" s="11" t="s">
        <v>1332</v>
      </c>
      <c r="N890" s="12" t="n">
        <f aca="false">INT(E890)</f>
        <v>45756</v>
      </c>
      <c r="O890" s="12" t="n">
        <f aca="false">IF(F890="","",INT(F890))</f>
        <v>45761</v>
      </c>
    </row>
    <row r="891" customFormat="false" ht="15" hidden="false" customHeight="false" outlineLevel="0" collapsed="false">
      <c r="A891" s="0" t="s">
        <v>1823</v>
      </c>
      <c r="B891" s="0" t="s">
        <v>1824</v>
      </c>
      <c r="C891" s="0" t="s">
        <v>20</v>
      </c>
      <c r="D891" s="0" t="s">
        <v>42</v>
      </c>
      <c r="E891" s="10" t="n">
        <v>45756.6895833333</v>
      </c>
      <c r="F891" s="10" t="n">
        <v>45758.0995833333</v>
      </c>
      <c r="G891" s="0" t="n">
        <v>962.04</v>
      </c>
      <c r="H891" s="0" t="n">
        <v>940.82</v>
      </c>
      <c r="I891" s="11" t="n">
        <f aca="false">H891-G891</f>
        <v>-21.2199999999999</v>
      </c>
      <c r="J891" s="5" t="n">
        <f aca="false">IF(G891=0,"",I891/G891)</f>
        <v>-0.0220572949149723</v>
      </c>
      <c r="K891" s="0" t="n">
        <v>192.9</v>
      </c>
      <c r="L891" s="0" t="n">
        <v>33.84</v>
      </c>
      <c r="M891" s="11" t="s">
        <v>1332</v>
      </c>
      <c r="N891" s="12" t="n">
        <f aca="false">INT(E891)</f>
        <v>45756</v>
      </c>
      <c r="O891" s="12" t="n">
        <f aca="false">IF(F891="","",INT(F891))</f>
        <v>45758</v>
      </c>
    </row>
    <row r="892" customFormat="false" ht="15" hidden="false" customHeight="false" outlineLevel="0" collapsed="false">
      <c r="A892" s="0" t="s">
        <v>1825</v>
      </c>
      <c r="B892" s="0" t="s">
        <v>1826</v>
      </c>
      <c r="C892" s="0" t="s">
        <v>21</v>
      </c>
      <c r="D892" s="0" t="s">
        <v>42</v>
      </c>
      <c r="E892" s="10" t="n">
        <v>45756.7083333333</v>
      </c>
      <c r="F892" s="10" t="n">
        <v>45757.1568865741</v>
      </c>
      <c r="G892" s="0" t="n">
        <v>190.96</v>
      </c>
      <c r="H892" s="0" t="n">
        <v>196.28</v>
      </c>
      <c r="I892" s="11" t="n">
        <f aca="false">H892-G892</f>
        <v>5.31999999999999</v>
      </c>
      <c r="J892" s="5" t="n">
        <f aca="false">IF(G892=0,"",I892/G892)</f>
        <v>0.0278592375366569</v>
      </c>
      <c r="K892" s="0" t="n">
        <v>24.9</v>
      </c>
      <c r="L892" s="0" t="n">
        <v>10.77</v>
      </c>
      <c r="M892" s="11" t="s">
        <v>1332</v>
      </c>
      <c r="N892" s="12" t="n">
        <f aca="false">INT(E892)</f>
        <v>45756</v>
      </c>
      <c r="O892" s="12" t="n">
        <f aca="false">IF(F892="","",INT(F892))</f>
        <v>45757</v>
      </c>
    </row>
    <row r="893" customFormat="false" ht="15" hidden="false" customHeight="false" outlineLevel="0" collapsed="false">
      <c r="A893" s="0" t="s">
        <v>1827</v>
      </c>
      <c r="B893" s="0" t="s">
        <v>1828</v>
      </c>
      <c r="C893" s="0" t="s">
        <v>23</v>
      </c>
      <c r="D893" s="0" t="s">
        <v>42</v>
      </c>
      <c r="E893" s="10" t="n">
        <v>45756.7229166667</v>
      </c>
      <c r="F893" s="10" t="n">
        <v>45757.4507638889</v>
      </c>
      <c r="G893" s="0" t="n">
        <v>329.05</v>
      </c>
      <c r="H893" s="0" t="n">
        <v>250.38</v>
      </c>
      <c r="I893" s="11" t="n">
        <f aca="false">H893-G893</f>
        <v>-78.67</v>
      </c>
      <c r="J893" s="5" t="n">
        <f aca="false">IF(G893=0,"",I893/G893)</f>
        <v>-0.239082206351618</v>
      </c>
      <c r="K893" s="0" t="n">
        <v>128.5</v>
      </c>
      <c r="L893" s="0" t="n">
        <v>17.47</v>
      </c>
      <c r="M893" s="11" t="s">
        <v>1332</v>
      </c>
      <c r="N893" s="12" t="n">
        <f aca="false">INT(E893)</f>
        <v>45756</v>
      </c>
      <c r="O893" s="12" t="n">
        <f aca="false">IF(F893="","",INT(F893))</f>
        <v>45757</v>
      </c>
    </row>
    <row r="894" customFormat="false" ht="15" hidden="false" customHeight="false" outlineLevel="0" collapsed="false">
      <c r="A894" s="0" t="s">
        <v>1829</v>
      </c>
      <c r="B894" s="0" t="s">
        <v>1830</v>
      </c>
      <c r="C894" s="0" t="s">
        <v>23</v>
      </c>
      <c r="D894" s="0" t="s">
        <v>42</v>
      </c>
      <c r="E894" s="10" t="n">
        <v>45756.7333333333</v>
      </c>
      <c r="F894" s="10" t="n">
        <v>45757.7166666667</v>
      </c>
      <c r="G894" s="0" t="n">
        <v>410.77</v>
      </c>
      <c r="H894" s="0" t="n">
        <v>401.33</v>
      </c>
      <c r="I894" s="11" t="n">
        <f aca="false">H894-G894</f>
        <v>-9.44</v>
      </c>
      <c r="J894" s="5" t="n">
        <f aca="false">IF(G894=0,"",I894/G894)</f>
        <v>-0.0229812303722278</v>
      </c>
      <c r="K894" s="0" t="n">
        <v>181.5</v>
      </c>
      <c r="L894" s="0" t="n">
        <v>23.6</v>
      </c>
      <c r="M894" s="11" t="s">
        <v>1332</v>
      </c>
      <c r="N894" s="12" t="n">
        <f aca="false">INT(E894)</f>
        <v>45756</v>
      </c>
      <c r="O894" s="12" t="n">
        <f aca="false">IF(F894="","",INT(F894))</f>
        <v>45757</v>
      </c>
    </row>
    <row r="895" customFormat="false" ht="15" hidden="false" customHeight="false" outlineLevel="0" collapsed="false">
      <c r="A895" s="0" t="s">
        <v>1831</v>
      </c>
      <c r="B895" s="0" t="s">
        <v>1832</v>
      </c>
      <c r="C895" s="0" t="s">
        <v>21</v>
      </c>
      <c r="D895" s="0" t="s">
        <v>42</v>
      </c>
      <c r="E895" s="10" t="n">
        <v>45756.7368055556</v>
      </c>
      <c r="F895" s="10" t="n">
        <v>45757.2298611111</v>
      </c>
      <c r="G895" s="0" t="n">
        <v>381.15</v>
      </c>
      <c r="H895" s="0" t="n">
        <v>387.55</v>
      </c>
      <c r="I895" s="11" t="n">
        <f aca="false">H895-G895</f>
        <v>6.40000000000003</v>
      </c>
      <c r="J895" s="5" t="n">
        <f aca="false">IF(G895=0,"",I895/G895)</f>
        <v>0.0167912895185623</v>
      </c>
      <c r="K895" s="0" t="n">
        <v>82</v>
      </c>
      <c r="L895" s="0" t="n">
        <v>11.83</v>
      </c>
      <c r="M895" s="11" t="s">
        <v>1332</v>
      </c>
      <c r="N895" s="12" t="n">
        <f aca="false">INT(E895)</f>
        <v>45756</v>
      </c>
      <c r="O895" s="12" t="n">
        <f aca="false">IF(F895="","",INT(F895))</f>
        <v>45757</v>
      </c>
    </row>
    <row r="896" customFormat="false" ht="15" hidden="false" customHeight="false" outlineLevel="0" collapsed="false">
      <c r="A896" s="0" t="s">
        <v>1833</v>
      </c>
      <c r="B896" s="0" t="s">
        <v>1834</v>
      </c>
      <c r="C896" s="0" t="s">
        <v>23</v>
      </c>
      <c r="D896" s="0" t="s">
        <v>42</v>
      </c>
      <c r="E896" s="10" t="n">
        <v>45756.7680555556</v>
      </c>
      <c r="F896" s="10" t="n">
        <v>45757.6201388889</v>
      </c>
      <c r="G896" s="0" t="n">
        <v>498.8</v>
      </c>
      <c r="H896" s="0" t="n">
        <v>481.22</v>
      </c>
      <c r="I896" s="11" t="n">
        <f aca="false">H896-G896</f>
        <v>-17.58</v>
      </c>
      <c r="J896" s="5" t="n">
        <f aca="false">IF(G896=0,"",I896/G896)</f>
        <v>-0.0352445870088211</v>
      </c>
      <c r="K896" s="0" t="n">
        <v>215.5</v>
      </c>
      <c r="L896" s="0" t="n">
        <v>20.45</v>
      </c>
      <c r="M896" s="11" t="s">
        <v>1332</v>
      </c>
      <c r="N896" s="12" t="n">
        <f aca="false">INT(E896)</f>
        <v>45756</v>
      </c>
      <c r="O896" s="12" t="n">
        <f aca="false">IF(F896="","",INT(F896))</f>
        <v>45757</v>
      </c>
    </row>
    <row r="897" customFormat="false" ht="15" hidden="false" customHeight="false" outlineLevel="0" collapsed="false">
      <c r="A897" s="0" t="s">
        <v>1835</v>
      </c>
      <c r="B897" s="0" t="s">
        <v>1836</v>
      </c>
      <c r="C897" s="0" t="s">
        <v>20</v>
      </c>
      <c r="D897" s="0" t="s">
        <v>42</v>
      </c>
      <c r="E897" s="10" t="n">
        <v>45756.7854166667</v>
      </c>
      <c r="F897" s="10" t="n">
        <v>45757.0658217593</v>
      </c>
      <c r="G897" s="0" t="n">
        <v>1591.52</v>
      </c>
      <c r="H897" s="0" t="n">
        <v>1606.16</v>
      </c>
      <c r="I897" s="11" t="n">
        <f aca="false">H897-G897</f>
        <v>14.6400000000001</v>
      </c>
      <c r="J897" s="5" t="n">
        <f aca="false">IF(G897=0,"",I897/G897)</f>
        <v>0.00919875339298287</v>
      </c>
      <c r="K897" s="0" t="n">
        <v>215.5</v>
      </c>
      <c r="L897" s="0" t="n">
        <v>6.73</v>
      </c>
      <c r="M897" s="11" t="s">
        <v>1332</v>
      </c>
      <c r="N897" s="12" t="n">
        <f aca="false">INT(E897)</f>
        <v>45756</v>
      </c>
      <c r="O897" s="12" t="n">
        <f aca="false">IF(F897="","",INT(F897))</f>
        <v>45757</v>
      </c>
    </row>
    <row r="898" customFormat="false" ht="15" hidden="false" customHeight="false" outlineLevel="0" collapsed="false">
      <c r="A898" s="0" t="s">
        <v>1837</v>
      </c>
      <c r="B898" s="0" t="s">
        <v>1838</v>
      </c>
      <c r="C898" s="0" t="s">
        <v>19</v>
      </c>
      <c r="D898" s="0" t="s">
        <v>303</v>
      </c>
      <c r="E898" s="10" t="n">
        <v>45757.3173611111</v>
      </c>
      <c r="F898" s="10"/>
      <c r="G898" s="0" t="n">
        <v>389.45</v>
      </c>
      <c r="H898" s="0" t="n">
        <v>403.38</v>
      </c>
      <c r="I898" s="11" t="n">
        <f aca="false">H898-G898</f>
        <v>13.93</v>
      </c>
      <c r="J898" s="5" t="n">
        <f aca="false">IF(G898=0,"",I898/G898)</f>
        <v>0.0357683913210939</v>
      </c>
      <c r="K898" s="0" t="n">
        <v>45.5</v>
      </c>
      <c r="M898" s="11" t="s">
        <v>1332</v>
      </c>
      <c r="N898" s="12" t="n">
        <f aca="false">INT(E898)</f>
        <v>45757</v>
      </c>
      <c r="O898" s="12" t="str">
        <f aca="false">IF(F898="","",INT(F898))</f>
        <v/>
      </c>
    </row>
    <row r="899" customFormat="false" ht="15" hidden="false" customHeight="false" outlineLevel="0" collapsed="false">
      <c r="A899" s="0" t="s">
        <v>1839</v>
      </c>
      <c r="B899" s="0" t="s">
        <v>1840</v>
      </c>
      <c r="C899" s="0" t="s">
        <v>19</v>
      </c>
      <c r="D899" s="0" t="s">
        <v>42</v>
      </c>
      <c r="E899" s="10" t="n">
        <v>45757.3347222222</v>
      </c>
      <c r="F899" s="10" t="n">
        <v>45757.8228703704</v>
      </c>
      <c r="G899" s="0" t="n">
        <v>480.29</v>
      </c>
      <c r="H899" s="0" t="n">
        <v>485.75</v>
      </c>
      <c r="I899" s="11" t="n">
        <f aca="false">H899-G899</f>
        <v>5.45999999999998</v>
      </c>
      <c r="J899" s="5" t="n">
        <f aca="false">IF(G899=0,"",I899/G899)</f>
        <v>0.0113681317537321</v>
      </c>
      <c r="K899" s="0" t="n">
        <v>43.5</v>
      </c>
      <c r="L899" s="0" t="n">
        <v>11.72</v>
      </c>
      <c r="M899" s="11" t="s">
        <v>1332</v>
      </c>
      <c r="N899" s="12" t="n">
        <f aca="false">INT(E899)</f>
        <v>45757</v>
      </c>
      <c r="O899" s="12" t="n">
        <f aca="false">IF(F899="","",INT(F899))</f>
        <v>45757</v>
      </c>
    </row>
    <row r="900" customFormat="false" ht="15" hidden="false" customHeight="false" outlineLevel="0" collapsed="false">
      <c r="A900" s="0" t="s">
        <v>1841</v>
      </c>
      <c r="B900" s="0" t="s">
        <v>1842</v>
      </c>
      <c r="C900" s="0" t="s">
        <v>21</v>
      </c>
      <c r="D900" s="0" t="s">
        <v>42</v>
      </c>
      <c r="E900" s="10" t="n">
        <v>45757.3430555556</v>
      </c>
      <c r="F900" s="10" t="n">
        <v>45758.7756944444</v>
      </c>
      <c r="G900" s="0" t="n">
        <v>614.59</v>
      </c>
      <c r="H900" s="0" t="n">
        <v>613.06</v>
      </c>
      <c r="I900" s="11" t="n">
        <f aca="false">H900-G900</f>
        <v>-1.53000000000009</v>
      </c>
      <c r="J900" s="5" t="n">
        <f aca="false">IF(G900=0,"",I900/G900)</f>
        <v>-0.00248946452106296</v>
      </c>
      <c r="K900" s="0" t="n">
        <v>121.3</v>
      </c>
      <c r="L900" s="0" t="n">
        <v>34.38</v>
      </c>
      <c r="M900" s="11" t="s">
        <v>1332</v>
      </c>
      <c r="N900" s="12" t="n">
        <f aca="false">INT(E900)</f>
        <v>45757</v>
      </c>
      <c r="O900" s="12" t="n">
        <f aca="false">IF(F900="","",INT(F900))</f>
        <v>45758</v>
      </c>
    </row>
    <row r="901" customFormat="false" ht="15" hidden="false" customHeight="false" outlineLevel="0" collapsed="false">
      <c r="A901" s="0" t="s">
        <v>1843</v>
      </c>
      <c r="B901" s="0" t="s">
        <v>1844</v>
      </c>
      <c r="C901" s="0" t="s">
        <v>23</v>
      </c>
      <c r="D901" s="0" t="s">
        <v>42</v>
      </c>
      <c r="E901" s="10" t="n">
        <v>45757.3444444445</v>
      </c>
      <c r="F901" s="10" t="n">
        <v>45761.8861111111</v>
      </c>
      <c r="G901" s="0" t="n">
        <v>453.23</v>
      </c>
      <c r="H901" s="0" t="n">
        <v>440.59</v>
      </c>
      <c r="I901" s="11" t="n">
        <f aca="false">H901-G901</f>
        <v>-12.64</v>
      </c>
      <c r="J901" s="5" t="n">
        <f aca="false">IF(G901=0,"",I901/G901)</f>
        <v>-0.0278887099265275</v>
      </c>
      <c r="K901" s="0" t="n">
        <v>94.7</v>
      </c>
      <c r="L901" s="0" t="n">
        <v>61</v>
      </c>
      <c r="M901" s="11" t="s">
        <v>1332</v>
      </c>
      <c r="N901" s="12" t="n">
        <f aca="false">INT(E901)</f>
        <v>45757</v>
      </c>
      <c r="O901" s="12" t="n">
        <f aca="false">IF(F901="","",INT(F901))</f>
        <v>45761</v>
      </c>
    </row>
    <row r="902" customFormat="false" ht="15" hidden="false" customHeight="false" outlineLevel="0" collapsed="false">
      <c r="A902" s="0" t="s">
        <v>1845</v>
      </c>
      <c r="B902" s="0" t="s">
        <v>1846</v>
      </c>
      <c r="C902" s="0" t="s">
        <v>19</v>
      </c>
      <c r="D902" s="0" t="s">
        <v>42</v>
      </c>
      <c r="E902" s="10" t="n">
        <v>45757.3583333333</v>
      </c>
      <c r="F902" s="10" t="n">
        <v>45757.7697685185</v>
      </c>
      <c r="G902" s="0" t="n">
        <v>769.02</v>
      </c>
      <c r="H902" s="0" t="n">
        <v>771.73</v>
      </c>
      <c r="I902" s="11" t="n">
        <f aca="false">H902-G902</f>
        <v>2.71000000000004</v>
      </c>
      <c r="J902" s="5" t="n">
        <f aca="false">IF(G902=0,"",I902/G902)</f>
        <v>0.00352396556656529</v>
      </c>
      <c r="K902" s="0" t="n">
        <v>134.2</v>
      </c>
      <c r="L902" s="0" t="n">
        <v>9.87</v>
      </c>
      <c r="M902" s="11" t="s">
        <v>1332</v>
      </c>
      <c r="N902" s="12" t="n">
        <f aca="false">INT(E902)</f>
        <v>45757</v>
      </c>
      <c r="O902" s="12" t="n">
        <f aca="false">IF(F902="","",INT(F902))</f>
        <v>45757</v>
      </c>
    </row>
    <row r="903" customFormat="false" ht="15" hidden="false" customHeight="false" outlineLevel="0" collapsed="false">
      <c r="A903" s="0" t="s">
        <v>1847</v>
      </c>
      <c r="B903" s="0" t="s">
        <v>1848</v>
      </c>
      <c r="C903" s="0" t="s">
        <v>22</v>
      </c>
      <c r="D903" s="0" t="s">
        <v>42</v>
      </c>
      <c r="E903" s="10" t="n">
        <v>45757.3777777778</v>
      </c>
      <c r="F903" s="10" t="n">
        <v>45758.4791666667</v>
      </c>
      <c r="G903" s="0" t="n">
        <v>128.64</v>
      </c>
      <c r="H903" s="0" t="n">
        <v>126.73</v>
      </c>
      <c r="I903" s="11" t="n">
        <f aca="false">H903-G903</f>
        <v>-1.90999999999998</v>
      </c>
      <c r="J903" s="5" t="n">
        <f aca="false">IF(G903=0,"",I903/G903)</f>
        <v>-0.0148476368159203</v>
      </c>
      <c r="K903" s="0" t="n">
        <v>18.2</v>
      </c>
      <c r="L903" s="0" t="n">
        <v>26.43</v>
      </c>
      <c r="M903" s="11" t="s">
        <v>1332</v>
      </c>
      <c r="N903" s="12" t="n">
        <f aca="false">INT(E903)</f>
        <v>45757</v>
      </c>
      <c r="O903" s="12" t="n">
        <f aca="false">IF(F903="","",INT(F903))</f>
        <v>45758</v>
      </c>
    </row>
    <row r="904" customFormat="false" ht="15" hidden="false" customHeight="false" outlineLevel="0" collapsed="false">
      <c r="A904" s="0" t="s">
        <v>1849</v>
      </c>
      <c r="B904" s="0" t="s">
        <v>1850</v>
      </c>
      <c r="C904" s="0" t="s">
        <v>20</v>
      </c>
      <c r="D904" s="0" t="s">
        <v>42</v>
      </c>
      <c r="E904" s="10" t="n">
        <v>45757.4034722222</v>
      </c>
      <c r="F904" s="10" t="n">
        <v>45757.9430555556</v>
      </c>
      <c r="G904" s="0" t="n">
        <v>257.07</v>
      </c>
      <c r="H904" s="0" t="n">
        <v>257.22</v>
      </c>
      <c r="I904" s="11" t="n">
        <f aca="false">H904-G904</f>
        <v>0.150000000000034</v>
      </c>
      <c r="J904" s="5" t="n">
        <f aca="false">IF(G904=0,"",I904/G904)</f>
        <v>0.000583498657953219</v>
      </c>
      <c r="K904" s="0" t="n">
        <v>54.2</v>
      </c>
      <c r="L904" s="0" t="n">
        <v>12.95</v>
      </c>
      <c r="M904" s="11" t="s">
        <v>1332</v>
      </c>
      <c r="N904" s="12" t="n">
        <f aca="false">INT(E904)</f>
        <v>45757</v>
      </c>
      <c r="O904" s="12" t="n">
        <f aca="false">IF(F904="","",INT(F904))</f>
        <v>45757</v>
      </c>
    </row>
    <row r="905" customFormat="false" ht="15" hidden="false" customHeight="false" outlineLevel="0" collapsed="false">
      <c r="A905" s="0" t="s">
        <v>1851</v>
      </c>
      <c r="B905" s="0" t="s">
        <v>1852</v>
      </c>
      <c r="C905" s="0" t="s">
        <v>23</v>
      </c>
      <c r="D905" s="0" t="s">
        <v>42</v>
      </c>
      <c r="E905" s="10" t="n">
        <v>45757.4041666667</v>
      </c>
      <c r="F905" s="10" t="n">
        <v>45758.6333333333</v>
      </c>
      <c r="G905" s="0" t="n">
        <v>522</v>
      </c>
      <c r="H905" s="0" t="n">
        <v>521.29</v>
      </c>
      <c r="I905" s="11" t="n">
        <f aca="false">H905-G905</f>
        <v>-0.710000000000036</v>
      </c>
      <c r="J905" s="5" t="n">
        <f aca="false">IF(G905=0,"",I905/G905)</f>
        <v>-0.00136015325670505</v>
      </c>
      <c r="K905" s="0" t="n">
        <v>108.1</v>
      </c>
      <c r="L905" s="0" t="n">
        <v>29.5</v>
      </c>
      <c r="M905" s="11" t="s">
        <v>1332</v>
      </c>
      <c r="N905" s="12" t="n">
        <f aca="false">INT(E905)</f>
        <v>45757</v>
      </c>
      <c r="O905" s="12" t="n">
        <f aca="false">IF(F905="","",INT(F905))</f>
        <v>45758</v>
      </c>
    </row>
    <row r="906" customFormat="false" ht="15" hidden="false" customHeight="false" outlineLevel="0" collapsed="false">
      <c r="A906" s="0" t="s">
        <v>1853</v>
      </c>
      <c r="B906" s="0" t="s">
        <v>1854</v>
      </c>
      <c r="C906" s="0" t="s">
        <v>23</v>
      </c>
      <c r="D906" s="0" t="s">
        <v>48</v>
      </c>
      <c r="E906" s="10" t="n">
        <v>45757.4208333333</v>
      </c>
      <c r="F906" s="10"/>
      <c r="G906" s="0" t="n">
        <v>172.36</v>
      </c>
      <c r="H906" s="0" t="n">
        <v>155.62</v>
      </c>
      <c r="I906" s="11" t="n">
        <f aca="false">H906-G906</f>
        <v>-16.74</v>
      </c>
      <c r="J906" s="5" t="n">
        <f aca="false">IF(G906=0,"",I906/G906)</f>
        <v>-0.0971223021582734</v>
      </c>
      <c r="K906" s="0" t="n">
        <v>40.5</v>
      </c>
      <c r="M906" s="11" t="s">
        <v>1332</v>
      </c>
      <c r="N906" s="12" t="n">
        <f aca="false">INT(E906)</f>
        <v>45757</v>
      </c>
      <c r="O906" s="12" t="str">
        <f aca="false">IF(F906="","",INT(F906))</f>
        <v/>
      </c>
    </row>
    <row r="907" customFormat="false" ht="15" hidden="false" customHeight="false" outlineLevel="0" collapsed="false">
      <c r="A907" s="0" t="s">
        <v>1855</v>
      </c>
      <c r="B907" s="0" t="s">
        <v>1856</v>
      </c>
      <c r="C907" s="0" t="s">
        <v>23</v>
      </c>
      <c r="D907" s="0" t="s">
        <v>42</v>
      </c>
      <c r="E907" s="10" t="n">
        <v>45757.4256944444</v>
      </c>
      <c r="F907" s="10" t="n">
        <v>45758.1759490741</v>
      </c>
      <c r="G907" s="0" t="n">
        <v>238.01</v>
      </c>
      <c r="H907" s="0" t="n">
        <v>231.6</v>
      </c>
      <c r="I907" s="11" t="n">
        <f aca="false">H907-G907</f>
        <v>-6.41</v>
      </c>
      <c r="J907" s="5" t="n">
        <f aca="false">IF(G907=0,"",I907/G907)</f>
        <v>-0.0269316415276669</v>
      </c>
      <c r="K907" s="0" t="n">
        <v>57.1</v>
      </c>
      <c r="L907" s="0" t="n">
        <v>18.01</v>
      </c>
      <c r="M907" s="11" t="s">
        <v>1332</v>
      </c>
      <c r="N907" s="12" t="n">
        <f aca="false">INT(E907)</f>
        <v>45757</v>
      </c>
      <c r="O907" s="12" t="n">
        <f aca="false">IF(F907="","",INT(F907))</f>
        <v>45758</v>
      </c>
    </row>
    <row r="908" customFormat="false" ht="15" hidden="false" customHeight="false" outlineLevel="0" collapsed="false">
      <c r="A908" s="0" t="s">
        <v>1857</v>
      </c>
      <c r="B908" s="0" t="s">
        <v>1858</v>
      </c>
      <c r="C908" s="0" t="s">
        <v>23</v>
      </c>
      <c r="D908" s="0" t="s">
        <v>42</v>
      </c>
      <c r="E908" s="10" t="n">
        <v>45757.4409722222</v>
      </c>
      <c r="F908" s="10" t="n">
        <v>45758.6208333333</v>
      </c>
      <c r="G908" s="0" t="n">
        <v>201.19</v>
      </c>
      <c r="H908" s="0" t="n">
        <v>200.81</v>
      </c>
      <c r="I908" s="11" t="n">
        <f aca="false">H908-G908</f>
        <v>-0.379999999999995</v>
      </c>
      <c r="J908" s="5" t="n">
        <f aca="false">IF(G908=0,"",I908/G908)</f>
        <v>-0.00188876186689197</v>
      </c>
      <c r="K908" s="0" t="n">
        <v>52.4</v>
      </c>
      <c r="L908" s="0" t="n">
        <v>28.32</v>
      </c>
      <c r="M908" s="11" t="s">
        <v>1332</v>
      </c>
      <c r="N908" s="12" t="n">
        <f aca="false">INT(E908)</f>
        <v>45757</v>
      </c>
      <c r="O908" s="12" t="n">
        <f aca="false">IF(F908="","",INT(F908))</f>
        <v>45758</v>
      </c>
    </row>
    <row r="909" customFormat="false" ht="15" hidden="false" customHeight="false" outlineLevel="0" collapsed="false">
      <c r="A909" s="0" t="s">
        <v>1859</v>
      </c>
      <c r="B909" s="0" t="s">
        <v>1860</v>
      </c>
      <c r="C909" s="0" t="s">
        <v>23</v>
      </c>
      <c r="D909" s="0" t="s">
        <v>42</v>
      </c>
      <c r="E909" s="10" t="n">
        <v>45757.4666666667</v>
      </c>
      <c r="F909" s="10" t="n">
        <v>45758.9951388889</v>
      </c>
      <c r="G909" s="0" t="n">
        <v>186.54</v>
      </c>
      <c r="H909" s="0" t="n">
        <v>183.79</v>
      </c>
      <c r="I909" s="11" t="n">
        <f aca="false">H909-G909</f>
        <v>-2.75</v>
      </c>
      <c r="J909" s="5" t="n">
        <f aca="false">IF(G909=0,"",I909/G909)</f>
        <v>-0.0147421464565241</v>
      </c>
      <c r="K909" s="0" t="n">
        <v>82.8</v>
      </c>
      <c r="L909" s="0" t="n">
        <v>36.68</v>
      </c>
      <c r="M909" s="11" t="s">
        <v>1332</v>
      </c>
      <c r="N909" s="12" t="n">
        <f aca="false">INT(E909)</f>
        <v>45757</v>
      </c>
      <c r="O909" s="12" t="n">
        <f aca="false">IF(F909="","",INT(F909))</f>
        <v>45758</v>
      </c>
    </row>
    <row r="910" customFormat="false" ht="15" hidden="false" customHeight="false" outlineLevel="0" collapsed="false">
      <c r="A910" s="0" t="s">
        <v>1861</v>
      </c>
      <c r="B910" s="0" t="s">
        <v>1862</v>
      </c>
      <c r="C910" s="0" t="s">
        <v>23</v>
      </c>
      <c r="D910" s="0" t="s">
        <v>42</v>
      </c>
      <c r="E910" s="10" t="n">
        <v>45757.4736111111</v>
      </c>
      <c r="F910" s="10" t="n">
        <v>45758.3388888889</v>
      </c>
      <c r="G910" s="0" t="n">
        <v>1705.1</v>
      </c>
      <c r="H910" s="0" t="n">
        <v>1864.05</v>
      </c>
      <c r="I910" s="11" t="n">
        <f aca="false">H910-G910</f>
        <v>158.95</v>
      </c>
      <c r="J910" s="5" t="n">
        <f aca="false">IF(G910=0,"",I910/G910)</f>
        <v>0.0932203389830509</v>
      </c>
      <c r="K910" s="0" t="n">
        <v>445.9</v>
      </c>
      <c r="L910" s="0" t="n">
        <v>20.77</v>
      </c>
      <c r="M910" s="11" t="s">
        <v>1332</v>
      </c>
      <c r="N910" s="12" t="n">
        <f aca="false">INT(E910)</f>
        <v>45757</v>
      </c>
      <c r="O910" s="12" t="n">
        <f aca="false">IF(F910="","",INT(F910))</f>
        <v>45758</v>
      </c>
    </row>
    <row r="911" customFormat="false" ht="15" hidden="false" customHeight="false" outlineLevel="0" collapsed="false">
      <c r="A911" s="0" t="s">
        <v>1863</v>
      </c>
      <c r="B911" s="0" t="s">
        <v>1864</v>
      </c>
      <c r="C911" s="0" t="s">
        <v>19</v>
      </c>
      <c r="D911" s="0" t="s">
        <v>42</v>
      </c>
      <c r="E911" s="10" t="n">
        <v>45757.4930555556</v>
      </c>
      <c r="F911" s="10" t="n">
        <v>45758.1777777778</v>
      </c>
      <c r="G911" s="0" t="n">
        <v>606.94</v>
      </c>
      <c r="H911" s="0" t="n">
        <v>599.84</v>
      </c>
      <c r="I911" s="11" t="n">
        <f aca="false">H911-G911</f>
        <v>-7.10000000000002</v>
      </c>
      <c r="J911" s="5" t="n">
        <f aca="false">IF(G911=0,"",I911/G911)</f>
        <v>-0.011698026164036</v>
      </c>
      <c r="K911" s="0" t="n">
        <v>70.1</v>
      </c>
      <c r="L911" s="0" t="n">
        <v>16.43</v>
      </c>
      <c r="M911" s="11" t="s">
        <v>1332</v>
      </c>
      <c r="N911" s="12" t="n">
        <f aca="false">INT(E911)</f>
        <v>45757</v>
      </c>
      <c r="O911" s="12" t="n">
        <f aca="false">IF(F911="","",INT(F911))</f>
        <v>45758</v>
      </c>
    </row>
    <row r="912" customFormat="false" ht="15" hidden="false" customHeight="false" outlineLevel="0" collapsed="false">
      <c r="A912" s="0" t="s">
        <v>1865</v>
      </c>
      <c r="B912" s="0" t="s">
        <v>1866</v>
      </c>
      <c r="C912" s="0" t="s">
        <v>19</v>
      </c>
      <c r="D912" s="0" t="s">
        <v>42</v>
      </c>
      <c r="E912" s="10" t="n">
        <v>45757.5333333333</v>
      </c>
      <c r="F912" s="10" t="n">
        <v>45758.6803356482</v>
      </c>
      <c r="G912" s="0" t="n">
        <v>996.93</v>
      </c>
      <c r="H912" s="0" t="n">
        <v>1172.4</v>
      </c>
      <c r="I912" s="11" t="n">
        <f aca="false">H912-G912</f>
        <v>175.47</v>
      </c>
      <c r="J912" s="5" t="n">
        <f aca="false">IF(G912=0,"",I912/G912)</f>
        <v>0.176010351779965</v>
      </c>
      <c r="K912" s="0" t="n">
        <v>158.4</v>
      </c>
      <c r="L912" s="0" t="n">
        <v>27.53</v>
      </c>
      <c r="M912" s="11" t="s">
        <v>1332</v>
      </c>
      <c r="N912" s="12" t="n">
        <f aca="false">INT(E912)</f>
        <v>45757</v>
      </c>
      <c r="O912" s="12" t="n">
        <f aca="false">IF(F912="","",INT(F912))</f>
        <v>45758</v>
      </c>
    </row>
    <row r="913" customFormat="false" ht="15" hidden="false" customHeight="false" outlineLevel="0" collapsed="false">
      <c r="A913" s="0" t="s">
        <v>1867</v>
      </c>
      <c r="B913" s="0" t="s">
        <v>1868</v>
      </c>
      <c r="C913" s="0" t="s">
        <v>22</v>
      </c>
      <c r="D913" s="0" t="s">
        <v>42</v>
      </c>
      <c r="E913" s="10" t="n">
        <v>45757.5423611111</v>
      </c>
      <c r="F913" s="10" t="n">
        <v>45758.9583333333</v>
      </c>
      <c r="G913" s="0" t="n">
        <v>169.06</v>
      </c>
      <c r="H913" s="0" t="n">
        <v>171.13</v>
      </c>
      <c r="I913" s="11" t="n">
        <f aca="false">H913-G913</f>
        <v>2.06999999999999</v>
      </c>
      <c r="J913" s="5" t="n">
        <f aca="false">IF(G913=0,"",I913/G913)</f>
        <v>0.012244173666154</v>
      </c>
      <c r="K913" s="0" t="n">
        <v>17.5</v>
      </c>
      <c r="L913" s="0" t="n">
        <v>33.98</v>
      </c>
      <c r="M913" s="11" t="s">
        <v>1332</v>
      </c>
      <c r="N913" s="12" t="n">
        <f aca="false">INT(E913)</f>
        <v>45757</v>
      </c>
      <c r="O913" s="12" t="n">
        <f aca="false">IF(F913="","",INT(F913))</f>
        <v>45758</v>
      </c>
    </row>
    <row r="914" customFormat="false" ht="15" hidden="false" customHeight="false" outlineLevel="0" collapsed="false">
      <c r="A914" s="0" t="s">
        <v>1869</v>
      </c>
      <c r="B914" s="0" t="s">
        <v>1870</v>
      </c>
      <c r="C914" s="0" t="s">
        <v>21</v>
      </c>
      <c r="D914" s="0" t="s">
        <v>42</v>
      </c>
      <c r="E914" s="10" t="n">
        <v>45757.5909722222</v>
      </c>
      <c r="F914" s="10" t="n">
        <v>45758.3544907407</v>
      </c>
      <c r="G914" s="0" t="n">
        <v>525.59</v>
      </c>
      <c r="H914" s="0" t="n">
        <v>524.55</v>
      </c>
      <c r="I914" s="11" t="n">
        <f aca="false">H914-G914</f>
        <v>-1.04000000000008</v>
      </c>
      <c r="J914" s="5" t="n">
        <f aca="false">IF(G914=0,"",I914/G914)</f>
        <v>-0.00197872866683171</v>
      </c>
      <c r="K914" s="0" t="n">
        <v>145.4</v>
      </c>
      <c r="L914" s="0" t="n">
        <v>18.32</v>
      </c>
      <c r="M914" s="11" t="s">
        <v>1332</v>
      </c>
      <c r="N914" s="12" t="n">
        <f aca="false">INT(E914)</f>
        <v>45757</v>
      </c>
      <c r="O914" s="12" t="n">
        <f aca="false">IF(F914="","",INT(F914))</f>
        <v>45758</v>
      </c>
    </row>
    <row r="915" customFormat="false" ht="15" hidden="false" customHeight="false" outlineLevel="0" collapsed="false">
      <c r="A915" s="0" t="s">
        <v>1871</v>
      </c>
      <c r="B915" s="0" t="s">
        <v>1872</v>
      </c>
      <c r="C915" s="0" t="s">
        <v>23</v>
      </c>
      <c r="D915" s="0" t="s">
        <v>42</v>
      </c>
      <c r="E915" s="10" t="n">
        <v>45757.6138888889</v>
      </c>
      <c r="F915" s="10" t="n">
        <v>45757.9577199074</v>
      </c>
      <c r="G915" s="0" t="n">
        <v>291.66</v>
      </c>
      <c r="H915" s="0" t="n">
        <v>292.26</v>
      </c>
      <c r="I915" s="11" t="n">
        <f aca="false">H915-G915</f>
        <v>0.599999999999966</v>
      </c>
      <c r="J915" s="5" t="n">
        <f aca="false">IF(G915=0,"",I915/G915)</f>
        <v>0.00205718987862568</v>
      </c>
      <c r="K915" s="0" t="n">
        <v>57.1</v>
      </c>
      <c r="L915" s="0" t="n">
        <v>8.25</v>
      </c>
      <c r="M915" s="11" t="s">
        <v>1332</v>
      </c>
      <c r="N915" s="12" t="n">
        <f aca="false">INT(E915)</f>
        <v>45757</v>
      </c>
      <c r="O915" s="12" t="n">
        <f aca="false">IF(F915="","",INT(F915))</f>
        <v>45757</v>
      </c>
    </row>
    <row r="916" customFormat="false" ht="15" hidden="false" customHeight="false" outlineLevel="0" collapsed="false">
      <c r="A916" s="0" t="s">
        <v>1873</v>
      </c>
      <c r="B916" s="0" t="s">
        <v>1874</v>
      </c>
      <c r="C916" s="0" t="s">
        <v>23</v>
      </c>
      <c r="D916" s="0" t="s">
        <v>42</v>
      </c>
      <c r="E916" s="10" t="n">
        <v>45757.6201388889</v>
      </c>
      <c r="F916" s="10" t="n">
        <v>45758.1757175926</v>
      </c>
      <c r="G916" s="0" t="n">
        <v>134.26</v>
      </c>
      <c r="H916" s="0" t="n">
        <v>133.84</v>
      </c>
      <c r="I916" s="11" t="n">
        <f aca="false">H916-G916</f>
        <v>-0.419999999999988</v>
      </c>
      <c r="J916" s="5" t="n">
        <f aca="false">IF(G916=0,"",I916/G916)</f>
        <v>-0.00312825860271106</v>
      </c>
      <c r="K916" s="0" t="n">
        <v>48.6</v>
      </c>
      <c r="L916" s="0" t="n">
        <v>13.33</v>
      </c>
      <c r="M916" s="11" t="s">
        <v>1332</v>
      </c>
      <c r="N916" s="12" t="n">
        <f aca="false">INT(E916)</f>
        <v>45757</v>
      </c>
      <c r="O916" s="12" t="n">
        <f aca="false">IF(F916="","",INT(F916))</f>
        <v>45758</v>
      </c>
    </row>
    <row r="917" customFormat="false" ht="15" hidden="false" customHeight="false" outlineLevel="0" collapsed="false">
      <c r="A917" s="0" t="s">
        <v>1875</v>
      </c>
      <c r="B917" s="0" t="s">
        <v>1876</v>
      </c>
      <c r="C917" s="0" t="s">
        <v>22</v>
      </c>
      <c r="D917" s="0" t="s">
        <v>42</v>
      </c>
      <c r="E917" s="10" t="n">
        <v>45757.6201388889</v>
      </c>
      <c r="F917" s="10" t="n">
        <v>45758.5369328704</v>
      </c>
      <c r="G917" s="0" t="n">
        <v>1271.04</v>
      </c>
      <c r="H917" s="0" t="n">
        <v>1280.06</v>
      </c>
      <c r="I917" s="11" t="n">
        <f aca="false">H917-G917</f>
        <v>9.01999999999998</v>
      </c>
      <c r="J917" s="5" t="n">
        <f aca="false">IF(G917=0,"",I917/G917)</f>
        <v>0.00709655085599193</v>
      </c>
      <c r="K917" s="0" t="n">
        <v>124.6</v>
      </c>
      <c r="L917" s="0" t="n">
        <v>22</v>
      </c>
      <c r="M917" s="11" t="s">
        <v>1332</v>
      </c>
      <c r="N917" s="12" t="n">
        <f aca="false">INT(E917)</f>
        <v>45757</v>
      </c>
      <c r="O917" s="12" t="n">
        <f aca="false">IF(F917="","",INT(F917))</f>
        <v>45758</v>
      </c>
    </row>
    <row r="918" customFormat="false" ht="15" hidden="false" customHeight="false" outlineLevel="0" collapsed="false">
      <c r="A918" s="0" t="s">
        <v>1877</v>
      </c>
      <c r="B918" s="0" t="s">
        <v>1878</v>
      </c>
      <c r="C918" s="0" t="s">
        <v>19</v>
      </c>
      <c r="D918" s="0" t="s">
        <v>42</v>
      </c>
      <c r="E918" s="10" t="n">
        <v>45757.6229166667</v>
      </c>
      <c r="F918" s="10" t="n">
        <v>45758.7791666667</v>
      </c>
      <c r="G918" s="0" t="n">
        <v>451.06</v>
      </c>
      <c r="H918" s="0" t="n">
        <v>473.16</v>
      </c>
      <c r="I918" s="11" t="n">
        <f aca="false">H918-G918</f>
        <v>22.1</v>
      </c>
      <c r="J918" s="5" t="n">
        <f aca="false">IF(G918=0,"",I918/G918)</f>
        <v>0.0489956990200861</v>
      </c>
      <c r="K918" s="0" t="n">
        <v>84.6</v>
      </c>
      <c r="L918" s="0" t="n">
        <v>27.75</v>
      </c>
      <c r="M918" s="11" t="s">
        <v>1332</v>
      </c>
      <c r="N918" s="12" t="n">
        <f aca="false">INT(E918)</f>
        <v>45757</v>
      </c>
      <c r="O918" s="12" t="n">
        <f aca="false">IF(F918="","",INT(F918))</f>
        <v>45758</v>
      </c>
    </row>
    <row r="919" customFormat="false" ht="15" hidden="false" customHeight="false" outlineLevel="0" collapsed="false">
      <c r="A919" s="0" t="s">
        <v>1879</v>
      </c>
      <c r="B919" s="0" t="s">
        <v>1880</v>
      </c>
      <c r="C919" s="0" t="s">
        <v>23</v>
      </c>
      <c r="D919" s="0" t="s">
        <v>303</v>
      </c>
      <c r="E919" s="10" t="n">
        <v>45757.6263888889</v>
      </c>
      <c r="F919" s="10"/>
      <c r="G919" s="0" t="n">
        <v>571.37</v>
      </c>
      <c r="H919" s="0" t="n">
        <v>646.78</v>
      </c>
      <c r="I919" s="11" t="n">
        <f aca="false">H919-G919</f>
        <v>75.41</v>
      </c>
      <c r="J919" s="5" t="n">
        <f aca="false">IF(G919=0,"",I919/G919)</f>
        <v>0.131981028055376</v>
      </c>
      <c r="K919" s="0" t="n">
        <v>153.5</v>
      </c>
      <c r="M919" s="11" t="s">
        <v>1332</v>
      </c>
      <c r="N919" s="12" t="n">
        <f aca="false">INT(E919)</f>
        <v>45757</v>
      </c>
      <c r="O919" s="12" t="str">
        <f aca="false">IF(F919="","",INT(F919))</f>
        <v/>
      </c>
    </row>
    <row r="920" customFormat="false" ht="15" hidden="false" customHeight="false" outlineLevel="0" collapsed="false">
      <c r="A920" s="0" t="s">
        <v>1881</v>
      </c>
      <c r="B920" s="0" t="s">
        <v>1882</v>
      </c>
      <c r="C920" s="0" t="s">
        <v>23</v>
      </c>
      <c r="D920" s="0" t="s">
        <v>42</v>
      </c>
      <c r="E920" s="10" t="n">
        <v>45757.6298611111</v>
      </c>
      <c r="F920" s="10" t="n">
        <v>45758.3909722222</v>
      </c>
      <c r="G920" s="0" t="n">
        <v>144.19</v>
      </c>
      <c r="H920" s="0" t="n">
        <v>143.97</v>
      </c>
      <c r="I920" s="11" t="n">
        <f aca="false">H920-G920</f>
        <v>-0.219999999999999</v>
      </c>
      <c r="J920" s="5" t="n">
        <f aca="false">IF(G920=0,"",I920/G920)</f>
        <v>-0.00152576461613149</v>
      </c>
      <c r="K920" s="0" t="n">
        <v>52</v>
      </c>
      <c r="L920" s="0" t="n">
        <v>18.27</v>
      </c>
      <c r="M920" s="11" t="s">
        <v>1332</v>
      </c>
      <c r="N920" s="12" t="n">
        <f aca="false">INT(E920)</f>
        <v>45757</v>
      </c>
      <c r="O920" s="12" t="n">
        <f aca="false">IF(F920="","",INT(F920))</f>
        <v>45758</v>
      </c>
    </row>
    <row r="921" customFormat="false" ht="15" hidden="false" customHeight="false" outlineLevel="0" collapsed="false">
      <c r="A921" s="0" t="s">
        <v>1883</v>
      </c>
      <c r="B921" s="0" t="s">
        <v>1884</v>
      </c>
      <c r="C921" s="0" t="s">
        <v>23</v>
      </c>
      <c r="D921" s="0" t="s">
        <v>42</v>
      </c>
      <c r="E921" s="10" t="n">
        <v>45757.6381944444</v>
      </c>
      <c r="F921" s="10" t="n">
        <v>45758.64375</v>
      </c>
      <c r="G921" s="0" t="n">
        <v>323.18</v>
      </c>
      <c r="H921" s="0" t="n">
        <v>339.25</v>
      </c>
      <c r="I921" s="11" t="n">
        <f aca="false">H921-G921</f>
        <v>16.07</v>
      </c>
      <c r="J921" s="5" t="n">
        <f aca="false">IF(G921=0,"",I921/G921)</f>
        <v>0.0497246116715143</v>
      </c>
      <c r="K921" s="0" t="n">
        <v>104.5</v>
      </c>
      <c r="L921" s="0" t="n">
        <v>24.13</v>
      </c>
      <c r="M921" s="11" t="s">
        <v>1332</v>
      </c>
      <c r="N921" s="12" t="n">
        <f aca="false">INT(E921)</f>
        <v>45757</v>
      </c>
      <c r="O921" s="12" t="n">
        <f aca="false">IF(F921="","",INT(F921))</f>
        <v>45758</v>
      </c>
    </row>
    <row r="922" customFormat="false" ht="15" hidden="false" customHeight="false" outlineLevel="0" collapsed="false">
      <c r="A922" s="0" t="s">
        <v>1885</v>
      </c>
      <c r="B922" s="0" t="s">
        <v>1886</v>
      </c>
      <c r="C922" s="0" t="s">
        <v>23</v>
      </c>
      <c r="D922" s="0" t="s">
        <v>42</v>
      </c>
      <c r="E922" s="10" t="n">
        <v>45757.6555555556</v>
      </c>
      <c r="F922" s="10" t="n">
        <v>45758.41875</v>
      </c>
      <c r="G922" s="0" t="n">
        <v>541.1</v>
      </c>
      <c r="H922" s="0" t="n">
        <v>552.47</v>
      </c>
      <c r="I922" s="11" t="n">
        <f aca="false">H922-G922</f>
        <v>11.37</v>
      </c>
      <c r="J922" s="5" t="n">
        <f aca="false">IF(G922=0,"",I922/G922)</f>
        <v>0.0210127518018851</v>
      </c>
      <c r="K922" s="0" t="n">
        <v>151.8</v>
      </c>
      <c r="L922" s="0" t="n">
        <v>18.32</v>
      </c>
      <c r="M922" s="11" t="s">
        <v>1332</v>
      </c>
      <c r="N922" s="12" t="n">
        <f aca="false">INT(E922)</f>
        <v>45757</v>
      </c>
      <c r="O922" s="12" t="n">
        <f aca="false">IF(F922="","",INT(F922))</f>
        <v>45758</v>
      </c>
    </row>
    <row r="923" customFormat="false" ht="15" hidden="false" customHeight="false" outlineLevel="0" collapsed="false">
      <c r="A923" s="0" t="s">
        <v>1887</v>
      </c>
      <c r="B923" s="0" t="s">
        <v>1888</v>
      </c>
      <c r="C923" s="0" t="s">
        <v>19</v>
      </c>
      <c r="D923" s="0" t="s">
        <v>42</v>
      </c>
      <c r="E923" s="10" t="n">
        <v>45757.6951388889</v>
      </c>
      <c r="F923" s="10" t="n">
        <v>45758.1368055556</v>
      </c>
      <c r="G923" s="0" t="n">
        <v>227.41</v>
      </c>
      <c r="H923" s="0" t="n">
        <v>220.04</v>
      </c>
      <c r="I923" s="11" t="n">
        <f aca="false">H923-G923</f>
        <v>-7.37</v>
      </c>
      <c r="J923" s="5" t="n">
        <f aca="false">IF(G923=0,"",I923/G923)</f>
        <v>-0.0324084253111121</v>
      </c>
      <c r="K923" s="0" t="n">
        <v>26.6</v>
      </c>
      <c r="L923" s="0" t="n">
        <v>10.6</v>
      </c>
      <c r="M923" s="11" t="s">
        <v>1332</v>
      </c>
      <c r="N923" s="12" t="n">
        <f aca="false">INT(E923)</f>
        <v>45757</v>
      </c>
      <c r="O923" s="12" t="n">
        <f aca="false">IF(F923="","",INT(F923))</f>
        <v>45758</v>
      </c>
    </row>
    <row r="924" customFormat="false" ht="15" hidden="false" customHeight="false" outlineLevel="0" collapsed="false">
      <c r="A924" s="0" t="s">
        <v>1889</v>
      </c>
      <c r="B924" s="0" t="s">
        <v>1890</v>
      </c>
      <c r="C924" s="0" t="s">
        <v>23</v>
      </c>
      <c r="D924" s="0" t="s">
        <v>42</v>
      </c>
      <c r="E924" s="10" t="n">
        <v>45757.7194444445</v>
      </c>
      <c r="F924" s="10" t="n">
        <v>45758.7265162037</v>
      </c>
      <c r="G924" s="0" t="n">
        <v>533.09</v>
      </c>
      <c r="H924" s="0" t="n">
        <v>535.1</v>
      </c>
      <c r="I924" s="11" t="n">
        <f aca="false">H924-G924</f>
        <v>2.00999999999999</v>
      </c>
      <c r="J924" s="5" t="n">
        <f aca="false">IF(G924=0,"",I924/G924)</f>
        <v>0.00377047027706389</v>
      </c>
      <c r="K924" s="0" t="n">
        <v>188.2</v>
      </c>
      <c r="L924" s="0" t="n">
        <v>24.17</v>
      </c>
      <c r="M924" s="11" t="s">
        <v>1332</v>
      </c>
      <c r="N924" s="12" t="n">
        <f aca="false">INT(E924)</f>
        <v>45757</v>
      </c>
      <c r="O924" s="12" t="n">
        <f aca="false">IF(F924="","",INT(F924))</f>
        <v>45758</v>
      </c>
    </row>
    <row r="925" customFormat="false" ht="15" hidden="false" customHeight="false" outlineLevel="0" collapsed="false">
      <c r="A925" s="0" t="s">
        <v>1891</v>
      </c>
      <c r="B925" s="0" t="s">
        <v>1892</v>
      </c>
      <c r="C925" s="0" t="s">
        <v>20</v>
      </c>
      <c r="D925" s="0" t="s">
        <v>42</v>
      </c>
      <c r="E925" s="10" t="n">
        <v>45757.7243055556</v>
      </c>
      <c r="F925" s="10" t="n">
        <v>45758.9833333333</v>
      </c>
      <c r="G925" s="0" t="n">
        <v>396.84</v>
      </c>
      <c r="H925" s="0" t="n">
        <v>400.27</v>
      </c>
      <c r="I925" s="11" t="n">
        <f aca="false">H925-G925</f>
        <v>3.43000000000001</v>
      </c>
      <c r="J925" s="5" t="n">
        <f aca="false">IF(G925=0,"",I925/G925)</f>
        <v>0.0086432819272251</v>
      </c>
      <c r="K925" s="0" t="n">
        <v>68.6</v>
      </c>
      <c r="L925" s="0" t="n">
        <v>30.22</v>
      </c>
      <c r="M925" s="11" t="s">
        <v>1332</v>
      </c>
      <c r="N925" s="12" t="n">
        <f aca="false">INT(E925)</f>
        <v>45757</v>
      </c>
      <c r="O925" s="12" t="n">
        <f aca="false">IF(F925="","",INT(F925))</f>
        <v>45758</v>
      </c>
    </row>
    <row r="926" customFormat="false" ht="15" hidden="false" customHeight="false" outlineLevel="0" collapsed="false">
      <c r="A926" s="0" t="s">
        <v>1893</v>
      </c>
      <c r="B926" s="0" t="s">
        <v>1894</v>
      </c>
      <c r="C926" s="0" t="s">
        <v>21</v>
      </c>
      <c r="D926" s="0" t="s">
        <v>42</v>
      </c>
      <c r="E926" s="10" t="n">
        <v>45757.73125</v>
      </c>
      <c r="F926" s="10" t="n">
        <v>45758.00625</v>
      </c>
      <c r="G926" s="0" t="n">
        <v>211.68</v>
      </c>
      <c r="H926" s="0" t="n">
        <v>213.3</v>
      </c>
      <c r="I926" s="11" t="n">
        <f aca="false">H926-G926</f>
        <v>1.62</v>
      </c>
      <c r="J926" s="5" t="n">
        <f aca="false">IF(G926=0,"",I926/G926)</f>
        <v>0.00765306122448982</v>
      </c>
      <c r="K926" s="0" t="n">
        <v>25.8</v>
      </c>
      <c r="L926" s="0" t="n">
        <v>6.6</v>
      </c>
      <c r="M926" s="11" t="s">
        <v>1332</v>
      </c>
      <c r="N926" s="12" t="n">
        <f aca="false">INT(E926)</f>
        <v>45757</v>
      </c>
      <c r="O926" s="12" t="n">
        <f aca="false">IF(F926="","",INT(F926))</f>
        <v>45758</v>
      </c>
    </row>
    <row r="927" customFormat="false" ht="15" hidden="false" customHeight="false" outlineLevel="0" collapsed="false">
      <c r="A927" s="0" t="s">
        <v>1895</v>
      </c>
      <c r="B927" s="0" t="s">
        <v>1896</v>
      </c>
      <c r="C927" s="0" t="s">
        <v>19</v>
      </c>
      <c r="D927" s="0" t="s">
        <v>42</v>
      </c>
      <c r="E927" s="10" t="n">
        <v>45757.7444444444</v>
      </c>
      <c r="F927" s="10" t="n">
        <v>45759.3507175926</v>
      </c>
      <c r="G927" s="0" t="n">
        <v>1224.72</v>
      </c>
      <c r="H927" s="0" t="n">
        <v>1257.86</v>
      </c>
      <c r="I927" s="11" t="n">
        <f aca="false">H927-G927</f>
        <v>33.1399999999999</v>
      </c>
      <c r="J927" s="5" t="n">
        <f aca="false">IF(G927=0,"",I927/G927)</f>
        <v>0.0270592461950486</v>
      </c>
      <c r="K927" s="0" t="n">
        <v>221.3</v>
      </c>
      <c r="L927" s="0" t="n">
        <v>30.13</v>
      </c>
      <c r="M927" s="11" t="s">
        <v>1332</v>
      </c>
      <c r="N927" s="12" t="n">
        <f aca="false">INT(E927)</f>
        <v>45757</v>
      </c>
      <c r="O927" s="12" t="n">
        <f aca="false">IF(F927="","",INT(F927))</f>
        <v>45759</v>
      </c>
    </row>
    <row r="928" customFormat="false" ht="15" hidden="false" customHeight="false" outlineLevel="0" collapsed="false">
      <c r="A928" s="0" t="s">
        <v>1897</v>
      </c>
      <c r="B928" s="0" t="s">
        <v>1898</v>
      </c>
      <c r="C928" s="0" t="s">
        <v>24</v>
      </c>
      <c r="D928" s="0" t="s">
        <v>42</v>
      </c>
      <c r="E928" s="10" t="n">
        <v>45757.7520833333</v>
      </c>
      <c r="F928" s="10" t="n">
        <v>45760.504212963</v>
      </c>
      <c r="G928" s="0" t="n">
        <v>545.84</v>
      </c>
      <c r="H928" s="0" t="n">
        <v>545.12</v>
      </c>
      <c r="I928" s="11" t="n">
        <f aca="false">H928-G928</f>
        <v>-0.720000000000027</v>
      </c>
      <c r="J928" s="5" t="n">
        <f aca="false">IF(G928=0,"",I928/G928)</f>
        <v>-0.00131906785871323</v>
      </c>
      <c r="K928" s="0" t="n">
        <v>153.8</v>
      </c>
      <c r="L928" s="0" t="n">
        <v>29.95</v>
      </c>
      <c r="M928" s="11" t="s">
        <v>1332</v>
      </c>
      <c r="N928" s="12" t="n">
        <f aca="false">INT(E928)</f>
        <v>45757</v>
      </c>
      <c r="O928" s="12" t="n">
        <f aca="false">IF(F928="","",INT(F928))</f>
        <v>45760</v>
      </c>
    </row>
    <row r="929" customFormat="false" ht="15" hidden="false" customHeight="false" outlineLevel="0" collapsed="false">
      <c r="A929" s="0" t="s">
        <v>1899</v>
      </c>
      <c r="B929" s="0" t="s">
        <v>1900</v>
      </c>
      <c r="C929" s="0" t="s">
        <v>21</v>
      </c>
      <c r="D929" s="0" t="s">
        <v>42</v>
      </c>
      <c r="E929" s="10" t="n">
        <v>45758.33125</v>
      </c>
      <c r="F929" s="10" t="n">
        <v>45758.6528240741</v>
      </c>
      <c r="G929" s="0" t="n">
        <v>520.98</v>
      </c>
      <c r="H929" s="0" t="n">
        <v>503.67</v>
      </c>
      <c r="I929" s="11" t="n">
        <f aca="false">H929-G929</f>
        <v>-17.31</v>
      </c>
      <c r="J929" s="5" t="n">
        <f aca="false">IF(G929=0,"",I929/G929)</f>
        <v>-0.0332258436024416</v>
      </c>
      <c r="K929" s="0" t="n">
        <v>139.7</v>
      </c>
      <c r="L929" s="0" t="n">
        <v>7.72</v>
      </c>
      <c r="M929" s="11" t="s">
        <v>1332</v>
      </c>
      <c r="N929" s="12" t="n">
        <f aca="false">INT(E929)</f>
        <v>45758</v>
      </c>
      <c r="O929" s="12" t="n">
        <f aca="false">IF(F929="","",INT(F929))</f>
        <v>45758</v>
      </c>
    </row>
    <row r="930" customFormat="false" ht="15" hidden="false" customHeight="false" outlineLevel="0" collapsed="false">
      <c r="A930" s="0" t="s">
        <v>1901</v>
      </c>
      <c r="B930" s="0" t="s">
        <v>1902</v>
      </c>
      <c r="C930" s="0" t="s">
        <v>19</v>
      </c>
      <c r="D930" s="0" t="s">
        <v>42</v>
      </c>
      <c r="E930" s="10" t="n">
        <v>45758.3444444445</v>
      </c>
      <c r="F930" s="10" t="n">
        <v>45759.0270833333</v>
      </c>
      <c r="G930" s="0" t="n">
        <v>2019.14</v>
      </c>
      <c r="H930" s="0" t="n">
        <v>2007.51</v>
      </c>
      <c r="I930" s="11" t="n">
        <f aca="false">H930-G930</f>
        <v>-11.6300000000001</v>
      </c>
      <c r="J930" s="5" t="n">
        <f aca="false">IF(G930=0,"",I930/G930)</f>
        <v>-0.00575987796784775</v>
      </c>
      <c r="K930" s="0" t="n">
        <v>336.4</v>
      </c>
      <c r="L930" s="0" t="n">
        <v>15.73</v>
      </c>
      <c r="M930" s="11" t="s">
        <v>1332</v>
      </c>
      <c r="N930" s="12" t="n">
        <f aca="false">INT(E930)</f>
        <v>45758</v>
      </c>
      <c r="O930" s="12" t="n">
        <f aca="false">IF(F930="","",INT(F930))</f>
        <v>45759</v>
      </c>
    </row>
    <row r="931" customFormat="false" ht="15" hidden="false" customHeight="false" outlineLevel="0" collapsed="false">
      <c r="A931" s="0" t="s">
        <v>1903</v>
      </c>
      <c r="B931" s="0" t="s">
        <v>1904</v>
      </c>
      <c r="C931" s="0" t="s">
        <v>21</v>
      </c>
      <c r="D931" s="0" t="s">
        <v>42</v>
      </c>
      <c r="E931" s="10" t="n">
        <v>45758.3458333333</v>
      </c>
      <c r="F931" s="10" t="n">
        <v>45759.3541666667</v>
      </c>
      <c r="G931" s="0" t="n">
        <v>1097.43</v>
      </c>
      <c r="H931" s="0" t="n">
        <v>1114.87</v>
      </c>
      <c r="I931" s="11" t="n">
        <f aca="false">H931-G931</f>
        <v>17.4399999999998</v>
      </c>
      <c r="J931" s="5" t="n">
        <f aca="false">IF(G931=0,"",I931/G931)</f>
        <v>0.0158916741842303</v>
      </c>
      <c r="K931" s="0" t="n">
        <v>178.9</v>
      </c>
      <c r="L931" s="0" t="n">
        <v>15.7</v>
      </c>
      <c r="M931" s="11" t="s">
        <v>1332</v>
      </c>
      <c r="N931" s="12" t="n">
        <f aca="false">INT(E931)</f>
        <v>45758</v>
      </c>
      <c r="O931" s="12" t="n">
        <f aca="false">IF(F931="","",INT(F931))</f>
        <v>45759</v>
      </c>
    </row>
    <row r="932" customFormat="false" ht="15" hidden="false" customHeight="false" outlineLevel="0" collapsed="false">
      <c r="A932" s="0" t="s">
        <v>1905</v>
      </c>
      <c r="B932" s="0" t="s">
        <v>1906</v>
      </c>
      <c r="C932" s="0" t="s">
        <v>22</v>
      </c>
      <c r="D932" s="0" t="s">
        <v>48</v>
      </c>
      <c r="E932" s="10" t="n">
        <v>45758.3791666667</v>
      </c>
      <c r="F932" s="10"/>
      <c r="G932" s="0" t="n">
        <v>431.8</v>
      </c>
      <c r="H932" s="0" t="n">
        <v>429.82</v>
      </c>
      <c r="I932" s="11" t="n">
        <f aca="false">H932-G932</f>
        <v>-1.98000000000002</v>
      </c>
      <c r="J932" s="5" t="n">
        <f aca="false">IF(G932=0,"",I932/G932)</f>
        <v>-0.00458545622973603</v>
      </c>
      <c r="K932" s="0" t="n">
        <v>51.5</v>
      </c>
      <c r="M932" s="11" t="s">
        <v>1332</v>
      </c>
      <c r="N932" s="12" t="n">
        <f aca="false">INT(E932)</f>
        <v>45758</v>
      </c>
      <c r="O932" s="12" t="str">
        <f aca="false">IF(F932="","",INT(F932))</f>
        <v/>
      </c>
    </row>
    <row r="933" customFormat="false" ht="15" hidden="false" customHeight="false" outlineLevel="0" collapsed="false">
      <c r="A933" s="0" t="s">
        <v>1907</v>
      </c>
      <c r="B933" s="0" t="s">
        <v>1908</v>
      </c>
      <c r="C933" s="0" t="s">
        <v>20</v>
      </c>
      <c r="D933" s="0" t="s">
        <v>42</v>
      </c>
      <c r="E933" s="10" t="n">
        <v>45758.3840277778</v>
      </c>
      <c r="F933" s="10" t="n">
        <v>45759.0590277778</v>
      </c>
      <c r="G933" s="0" t="n">
        <v>345.63</v>
      </c>
      <c r="H933" s="0" t="n">
        <v>352.49</v>
      </c>
      <c r="I933" s="11" t="n">
        <f aca="false">H933-G933</f>
        <v>6.86000000000001</v>
      </c>
      <c r="J933" s="5" t="n">
        <f aca="false">IF(G933=0,"",I933/G933)</f>
        <v>0.0198478141365044</v>
      </c>
      <c r="K933" s="0" t="n">
        <v>50</v>
      </c>
      <c r="L933" s="0" t="n">
        <v>14.78</v>
      </c>
      <c r="M933" s="11" t="s">
        <v>1332</v>
      </c>
      <c r="N933" s="12" t="n">
        <f aca="false">INT(E933)</f>
        <v>45758</v>
      </c>
      <c r="O933" s="12" t="n">
        <f aca="false">IF(F933="","",INT(F933))</f>
        <v>45759</v>
      </c>
    </row>
    <row r="934" customFormat="false" ht="15" hidden="false" customHeight="false" outlineLevel="0" collapsed="false">
      <c r="A934" s="0" t="s">
        <v>1909</v>
      </c>
      <c r="B934" s="0" t="s">
        <v>1910</v>
      </c>
      <c r="C934" s="0" t="s">
        <v>23</v>
      </c>
      <c r="D934" s="0" t="s">
        <v>42</v>
      </c>
      <c r="E934" s="10" t="n">
        <v>45758.4055555556</v>
      </c>
      <c r="F934" s="10" t="n">
        <v>45759.4513888889</v>
      </c>
      <c r="G934" s="0" t="n">
        <v>360.24</v>
      </c>
      <c r="H934" s="0" t="n">
        <v>355.42</v>
      </c>
      <c r="I934" s="11" t="n">
        <f aca="false">H934-G934</f>
        <v>-4.81999999999999</v>
      </c>
      <c r="J934" s="5" t="n">
        <f aca="false">IF(G934=0,"",I934/G934)</f>
        <v>-0.0133799689096158</v>
      </c>
      <c r="K934" s="0" t="n">
        <v>123.1</v>
      </c>
      <c r="L934" s="0" t="n">
        <v>14.27</v>
      </c>
      <c r="M934" s="11" t="s">
        <v>1332</v>
      </c>
      <c r="N934" s="12" t="n">
        <f aca="false">INT(E934)</f>
        <v>45758</v>
      </c>
      <c r="O934" s="12" t="n">
        <f aca="false">IF(F934="","",INT(F934))</f>
        <v>45759</v>
      </c>
    </row>
    <row r="935" customFormat="false" ht="15" hidden="false" customHeight="false" outlineLevel="0" collapsed="false">
      <c r="A935" s="0" t="s">
        <v>1911</v>
      </c>
      <c r="B935" s="0" t="s">
        <v>1912</v>
      </c>
      <c r="C935" s="0" t="s">
        <v>21</v>
      </c>
      <c r="D935" s="0" t="s">
        <v>42</v>
      </c>
      <c r="E935" s="10" t="n">
        <v>45758.425</v>
      </c>
      <c r="F935" s="10" t="n">
        <v>45759.1909722222</v>
      </c>
      <c r="G935" s="0" t="n">
        <v>2198.05</v>
      </c>
      <c r="H935" s="0" t="n">
        <v>2368.41</v>
      </c>
      <c r="I935" s="11" t="n">
        <f aca="false">H935-G935</f>
        <v>170.36</v>
      </c>
      <c r="J935" s="5" t="n">
        <f aca="false">IF(G935=0,"",I935/G935)</f>
        <v>0.0775050613043378</v>
      </c>
      <c r="K935" s="0" t="n">
        <v>574.7</v>
      </c>
      <c r="L935" s="0" t="n">
        <v>13.8</v>
      </c>
      <c r="M935" s="11" t="s">
        <v>1332</v>
      </c>
      <c r="N935" s="12" t="n">
        <f aca="false">INT(E935)</f>
        <v>45758</v>
      </c>
      <c r="O935" s="12" t="n">
        <f aca="false">IF(F935="","",INT(F935))</f>
        <v>45759</v>
      </c>
    </row>
    <row r="936" customFormat="false" ht="15" hidden="false" customHeight="false" outlineLevel="0" collapsed="false">
      <c r="A936" s="0" t="s">
        <v>1913</v>
      </c>
      <c r="B936" s="0" t="s">
        <v>1914</v>
      </c>
      <c r="C936" s="0" t="s">
        <v>23</v>
      </c>
      <c r="D936" s="0" t="s">
        <v>42</v>
      </c>
      <c r="E936" s="10" t="n">
        <v>45758.4291666667</v>
      </c>
      <c r="F936" s="10" t="n">
        <v>45760.2730902778</v>
      </c>
      <c r="G936" s="0" t="n">
        <v>388.78</v>
      </c>
      <c r="H936" s="0" t="n">
        <v>390.83</v>
      </c>
      <c r="I936" s="11" t="n">
        <f aca="false">H936-G936</f>
        <v>2.05000000000001</v>
      </c>
      <c r="J936" s="5" t="n">
        <f aca="false">IF(G936=0,"",I936/G936)</f>
        <v>0.00527290498482435</v>
      </c>
      <c r="K936" s="0" t="n">
        <v>112.3</v>
      </c>
      <c r="L936" s="0" t="n">
        <v>13.7</v>
      </c>
      <c r="M936" s="11" t="s">
        <v>1332</v>
      </c>
      <c r="N936" s="12" t="n">
        <f aca="false">INT(E936)</f>
        <v>45758</v>
      </c>
      <c r="O936" s="12" t="n">
        <f aca="false">IF(F936="","",INT(F936))</f>
        <v>45760</v>
      </c>
    </row>
    <row r="937" customFormat="false" ht="15" hidden="false" customHeight="false" outlineLevel="0" collapsed="false">
      <c r="A937" s="0" t="s">
        <v>1915</v>
      </c>
      <c r="B937" s="0" t="s">
        <v>1916</v>
      </c>
      <c r="C937" s="0" t="s">
        <v>19</v>
      </c>
      <c r="D937" s="0" t="s">
        <v>42</v>
      </c>
      <c r="E937" s="10" t="n">
        <v>45758.4465277778</v>
      </c>
      <c r="F937" s="10" t="n">
        <v>45759.4881944444</v>
      </c>
      <c r="G937" s="0" t="n">
        <v>867.93</v>
      </c>
      <c r="H937" s="0" t="n">
        <v>849.44</v>
      </c>
      <c r="I937" s="11" t="n">
        <f aca="false">H937-G937</f>
        <v>-18.4899999999999</v>
      </c>
      <c r="J937" s="5" t="n">
        <f aca="false">IF(G937=0,"",I937/G937)</f>
        <v>-0.0213035613471131</v>
      </c>
      <c r="K937" s="0" t="n">
        <v>127.3</v>
      </c>
      <c r="L937" s="0" t="n">
        <v>13.28</v>
      </c>
      <c r="M937" s="11" t="s">
        <v>1332</v>
      </c>
      <c r="N937" s="12" t="n">
        <f aca="false">INT(E937)</f>
        <v>45758</v>
      </c>
      <c r="O937" s="12" t="n">
        <f aca="false">IF(F937="","",INT(F937))</f>
        <v>45759</v>
      </c>
    </row>
    <row r="938" customFormat="false" ht="15" hidden="false" customHeight="false" outlineLevel="0" collapsed="false">
      <c r="A938" s="0" t="s">
        <v>1917</v>
      </c>
      <c r="B938" s="0" t="s">
        <v>1918</v>
      </c>
      <c r="C938" s="0" t="s">
        <v>24</v>
      </c>
      <c r="D938" s="0" t="s">
        <v>42</v>
      </c>
      <c r="E938" s="10" t="n">
        <v>45758.4506944444</v>
      </c>
      <c r="F938" s="10" t="n">
        <v>45760.2965277778</v>
      </c>
      <c r="G938" s="0" t="n">
        <v>499.1</v>
      </c>
      <c r="H938" s="0" t="n">
        <v>508.05</v>
      </c>
      <c r="I938" s="11" t="n">
        <f aca="false">H938-G938</f>
        <v>8.94999999999999</v>
      </c>
      <c r="J938" s="5" t="n">
        <f aca="false">IF(G938=0,"",I938/G938)</f>
        <v>0.017932278100581</v>
      </c>
      <c r="K938" s="0" t="n">
        <v>139.4</v>
      </c>
      <c r="L938" s="0" t="n">
        <v>13.18</v>
      </c>
      <c r="M938" s="11" t="s">
        <v>1332</v>
      </c>
      <c r="N938" s="12" t="n">
        <f aca="false">INT(E938)</f>
        <v>45758</v>
      </c>
      <c r="O938" s="12" t="n">
        <f aca="false">IF(F938="","",INT(F938))</f>
        <v>45760</v>
      </c>
    </row>
    <row r="939" customFormat="false" ht="15" hidden="false" customHeight="false" outlineLevel="0" collapsed="false">
      <c r="A939" s="0" t="s">
        <v>1919</v>
      </c>
      <c r="B939" s="0" t="s">
        <v>1920</v>
      </c>
      <c r="C939" s="0" t="s">
        <v>23</v>
      </c>
      <c r="D939" s="0" t="s">
        <v>42</v>
      </c>
      <c r="E939" s="10" t="n">
        <v>45758.4631944444</v>
      </c>
      <c r="F939" s="10" t="n">
        <v>45759.5322569445</v>
      </c>
      <c r="G939" s="0" t="n">
        <v>986.51</v>
      </c>
      <c r="H939" s="0" t="n">
        <v>1030.53</v>
      </c>
      <c r="I939" s="11" t="n">
        <f aca="false">H939-G939</f>
        <v>44.02</v>
      </c>
      <c r="J939" s="5" t="n">
        <f aca="false">IF(G939=0,"",I939/G939)</f>
        <v>0.0446219501069426</v>
      </c>
      <c r="K939" s="0" t="n">
        <v>357.2</v>
      </c>
      <c r="L939" s="0" t="n">
        <v>12.88</v>
      </c>
      <c r="M939" s="11" t="s">
        <v>1332</v>
      </c>
      <c r="N939" s="12" t="n">
        <f aca="false">INT(E939)</f>
        <v>45758</v>
      </c>
      <c r="O939" s="12" t="n">
        <f aca="false">IF(F939="","",INT(F939))</f>
        <v>45759</v>
      </c>
    </row>
    <row r="940" customFormat="false" ht="15" hidden="false" customHeight="false" outlineLevel="0" collapsed="false">
      <c r="A940" s="0" t="s">
        <v>1921</v>
      </c>
      <c r="B940" s="0" t="s">
        <v>1922</v>
      </c>
      <c r="C940" s="0" t="s">
        <v>23</v>
      </c>
      <c r="D940" s="0" t="s">
        <v>42</v>
      </c>
      <c r="E940" s="10" t="n">
        <v>45758.4875</v>
      </c>
      <c r="F940" s="10" t="n">
        <v>45760.594837963</v>
      </c>
      <c r="G940" s="0" t="n">
        <v>280.77</v>
      </c>
      <c r="H940" s="0" t="n">
        <v>276.65</v>
      </c>
      <c r="I940" s="11" t="n">
        <f aca="false">H940-G940</f>
        <v>-4.12</v>
      </c>
      <c r="J940" s="5" t="n">
        <f aca="false">IF(G940=0,"",I940/G940)</f>
        <v>-0.0146739324001852</v>
      </c>
      <c r="K940" s="0" t="n">
        <v>82.6</v>
      </c>
      <c r="L940" s="0" t="n">
        <v>12.3</v>
      </c>
      <c r="M940" s="11" t="s">
        <v>1332</v>
      </c>
      <c r="N940" s="12" t="n">
        <f aca="false">INT(E940)</f>
        <v>45758</v>
      </c>
      <c r="O940" s="12" t="n">
        <f aca="false">IF(F940="","",INT(F940))</f>
        <v>45760</v>
      </c>
    </row>
    <row r="941" customFormat="false" ht="15" hidden="false" customHeight="false" outlineLevel="0" collapsed="false">
      <c r="A941" s="0" t="s">
        <v>1923</v>
      </c>
      <c r="B941" s="0" t="s">
        <v>1924</v>
      </c>
      <c r="C941" s="0" t="s">
        <v>22</v>
      </c>
      <c r="D941" s="0" t="s">
        <v>42</v>
      </c>
      <c r="E941" s="10" t="n">
        <v>45758.5055555556</v>
      </c>
      <c r="F941" s="10" t="n">
        <v>45759.3388888889</v>
      </c>
      <c r="G941" s="0" t="n">
        <v>516.7</v>
      </c>
      <c r="H941" s="0" t="n">
        <v>525.77</v>
      </c>
      <c r="I941" s="11" t="n">
        <f aca="false">H941-G941</f>
        <v>9.06999999999994</v>
      </c>
      <c r="J941" s="5" t="n">
        <f aca="false">IF(G941=0,"",I941/G941)</f>
        <v>0.0175537062125023</v>
      </c>
      <c r="K941" s="0" t="n">
        <v>56.1</v>
      </c>
      <c r="L941" s="0" t="n">
        <v>11.87</v>
      </c>
      <c r="M941" s="11" t="s">
        <v>1332</v>
      </c>
      <c r="N941" s="12" t="n">
        <f aca="false">INT(E941)</f>
        <v>45758</v>
      </c>
      <c r="O941" s="12" t="n">
        <f aca="false">IF(F941="","",INT(F941))</f>
        <v>45759</v>
      </c>
    </row>
    <row r="942" customFormat="false" ht="15" hidden="false" customHeight="false" outlineLevel="0" collapsed="false">
      <c r="A942" s="0" t="s">
        <v>1925</v>
      </c>
      <c r="B942" s="0" t="s">
        <v>1926</v>
      </c>
      <c r="C942" s="0" t="s">
        <v>23</v>
      </c>
      <c r="D942" s="0" t="s">
        <v>42</v>
      </c>
      <c r="E942" s="10" t="n">
        <v>45758.5145833333</v>
      </c>
      <c r="F942" s="10" t="n">
        <v>45758.9465277778</v>
      </c>
      <c r="G942" s="0" t="n">
        <v>793.56</v>
      </c>
      <c r="H942" s="0" t="n">
        <v>778.78</v>
      </c>
      <c r="I942" s="11" t="n">
        <f aca="false">H942-G942</f>
        <v>-14.78</v>
      </c>
      <c r="J942" s="5" t="n">
        <f aca="false">IF(G942=0,"",I942/G942)</f>
        <v>-0.0186249306920711</v>
      </c>
      <c r="K942" s="0" t="n">
        <v>324.2</v>
      </c>
      <c r="L942" s="0" t="n">
        <v>10.37</v>
      </c>
      <c r="M942" s="11" t="s">
        <v>1332</v>
      </c>
      <c r="N942" s="12" t="n">
        <f aca="false">INT(E942)</f>
        <v>45758</v>
      </c>
      <c r="O942" s="12" t="n">
        <f aca="false">IF(F942="","",INT(F942))</f>
        <v>45758</v>
      </c>
    </row>
    <row r="943" customFormat="false" ht="15" hidden="false" customHeight="false" outlineLevel="0" collapsed="false">
      <c r="A943" s="0" t="s">
        <v>1927</v>
      </c>
      <c r="B943" s="0" t="s">
        <v>1928</v>
      </c>
      <c r="C943" s="0" t="s">
        <v>24</v>
      </c>
      <c r="D943" s="0" t="s">
        <v>42</v>
      </c>
      <c r="E943" s="10" t="n">
        <v>45758.5291666667</v>
      </c>
      <c r="F943" s="10" t="n">
        <v>45759.3965277778</v>
      </c>
      <c r="G943" s="0" t="n">
        <v>1592.25</v>
      </c>
      <c r="H943" s="0" t="n">
        <v>1625.19</v>
      </c>
      <c r="I943" s="11" t="n">
        <f aca="false">H943-G943</f>
        <v>32.9400000000001</v>
      </c>
      <c r="J943" s="5" t="n">
        <f aca="false">IF(G943=0,"",I943/G943)</f>
        <v>0.0206877060763071</v>
      </c>
      <c r="K943" s="0" t="n">
        <v>298.7</v>
      </c>
      <c r="L943" s="0" t="n">
        <v>11.3</v>
      </c>
      <c r="M943" s="11" t="s">
        <v>1332</v>
      </c>
      <c r="N943" s="12" t="n">
        <f aca="false">INT(E943)</f>
        <v>45758</v>
      </c>
      <c r="O943" s="12" t="n">
        <f aca="false">IF(F943="","",INT(F943))</f>
        <v>45759</v>
      </c>
    </row>
    <row r="944" customFormat="false" ht="15" hidden="false" customHeight="false" outlineLevel="0" collapsed="false">
      <c r="A944" s="0" t="s">
        <v>1929</v>
      </c>
      <c r="B944" s="0" t="s">
        <v>1930</v>
      </c>
      <c r="C944" s="0" t="s">
        <v>22</v>
      </c>
      <c r="D944" s="0" t="s">
        <v>42</v>
      </c>
      <c r="E944" s="10" t="n">
        <v>45758.5402777778</v>
      </c>
      <c r="F944" s="10" t="n">
        <v>45760.279837963</v>
      </c>
      <c r="G944" s="0" t="n">
        <v>191.78</v>
      </c>
      <c r="H944" s="0" t="n">
        <v>197.25</v>
      </c>
      <c r="I944" s="11" t="n">
        <f aca="false">H944-G944</f>
        <v>5.47</v>
      </c>
      <c r="J944" s="5" t="n">
        <f aca="false">IF(G944=0,"",I944/G944)</f>
        <v>0.0285222650954218</v>
      </c>
      <c r="K944" s="0" t="n">
        <v>24.6</v>
      </c>
      <c r="L944" s="0" t="n">
        <v>11.03</v>
      </c>
      <c r="M944" s="11" t="s">
        <v>1332</v>
      </c>
      <c r="N944" s="12" t="n">
        <f aca="false">INT(E944)</f>
        <v>45758</v>
      </c>
      <c r="O944" s="12" t="n">
        <f aca="false">IF(F944="","",INT(F944))</f>
        <v>45760</v>
      </c>
    </row>
    <row r="945" customFormat="false" ht="15" hidden="false" customHeight="false" outlineLevel="0" collapsed="false">
      <c r="A945" s="0" t="s">
        <v>1931</v>
      </c>
      <c r="B945" s="0" t="s">
        <v>1932</v>
      </c>
      <c r="C945" s="0" t="s">
        <v>20</v>
      </c>
      <c r="D945" s="0" t="s">
        <v>42</v>
      </c>
      <c r="E945" s="10" t="n">
        <v>45758.575</v>
      </c>
      <c r="F945" s="10" t="n">
        <v>45759.6277777778</v>
      </c>
      <c r="G945" s="0" t="n">
        <v>536.1</v>
      </c>
      <c r="H945" s="0" t="n">
        <v>552.7</v>
      </c>
      <c r="I945" s="11" t="n">
        <f aca="false">H945-G945</f>
        <v>16.6</v>
      </c>
      <c r="J945" s="5" t="n">
        <f aca="false">IF(G945=0,"",I945/G945)</f>
        <v>0.0309643723185973</v>
      </c>
      <c r="K945" s="0" t="n">
        <v>97.6</v>
      </c>
      <c r="L945" s="0" t="n">
        <v>10.2</v>
      </c>
      <c r="M945" s="11" t="s">
        <v>1332</v>
      </c>
      <c r="N945" s="12" t="n">
        <f aca="false">INT(E945)</f>
        <v>45758</v>
      </c>
      <c r="O945" s="12" t="n">
        <f aca="false">IF(F945="","",INT(F945))</f>
        <v>45759</v>
      </c>
    </row>
    <row r="946" customFormat="false" ht="15" hidden="false" customHeight="false" outlineLevel="0" collapsed="false">
      <c r="A946" s="0" t="s">
        <v>1933</v>
      </c>
      <c r="B946" s="0" t="s">
        <v>1934</v>
      </c>
      <c r="C946" s="0" t="s">
        <v>21</v>
      </c>
      <c r="D946" s="0" t="s">
        <v>42</v>
      </c>
      <c r="E946" s="10" t="n">
        <v>45758.5763888889</v>
      </c>
      <c r="F946" s="10" t="n">
        <v>45758.8831828704</v>
      </c>
      <c r="G946" s="0" t="n">
        <v>41.7</v>
      </c>
      <c r="H946" s="0" t="n">
        <v>45.24</v>
      </c>
      <c r="I946" s="11" t="n">
        <f aca="false">H946-G946</f>
        <v>3.54</v>
      </c>
      <c r="J946" s="5" t="n">
        <f aca="false">IF(G946=0,"",I946/G946)</f>
        <v>0.0848920863309352</v>
      </c>
      <c r="K946" s="0" t="n">
        <v>10.3</v>
      </c>
      <c r="L946" s="0" t="n">
        <v>7.36</v>
      </c>
      <c r="M946" s="11" t="s">
        <v>1332</v>
      </c>
      <c r="N946" s="12" t="n">
        <f aca="false">INT(E946)</f>
        <v>45758</v>
      </c>
      <c r="O946" s="12" t="n">
        <f aca="false">IF(F946="","",INT(F946))</f>
        <v>45758</v>
      </c>
    </row>
    <row r="947" customFormat="false" ht="15" hidden="false" customHeight="false" outlineLevel="0" collapsed="false">
      <c r="A947" s="0" t="s">
        <v>1935</v>
      </c>
      <c r="B947" s="0" t="s">
        <v>1936</v>
      </c>
      <c r="C947" s="0" t="s">
        <v>21</v>
      </c>
      <c r="D947" s="0" t="s">
        <v>42</v>
      </c>
      <c r="E947" s="10" t="n">
        <v>45758.6034722222</v>
      </c>
      <c r="F947" s="10" t="n">
        <v>45759.3102314815</v>
      </c>
      <c r="G947" s="0" t="n">
        <v>460.48</v>
      </c>
      <c r="H947" s="0" t="n">
        <v>476.41</v>
      </c>
      <c r="I947" s="11" t="n">
        <f aca="false">H947-G947</f>
        <v>15.93</v>
      </c>
      <c r="J947" s="5" t="n">
        <f aca="false">IF(G947=0,"",I947/G947)</f>
        <v>0.0345943363446838</v>
      </c>
      <c r="K947" s="0" t="n">
        <v>105.7</v>
      </c>
      <c r="L947" s="0" t="n">
        <v>9.52</v>
      </c>
      <c r="M947" s="11" t="s">
        <v>1332</v>
      </c>
      <c r="N947" s="12" t="n">
        <f aca="false">INT(E947)</f>
        <v>45758</v>
      </c>
      <c r="O947" s="12" t="n">
        <f aca="false">IF(F947="","",INT(F947))</f>
        <v>45759</v>
      </c>
    </row>
    <row r="948" customFormat="false" ht="15" hidden="false" customHeight="false" outlineLevel="0" collapsed="false">
      <c r="A948" s="0" t="s">
        <v>1937</v>
      </c>
      <c r="B948" s="0" t="s">
        <v>1938</v>
      </c>
      <c r="C948" s="0" t="s">
        <v>23</v>
      </c>
      <c r="D948" s="0" t="s">
        <v>42</v>
      </c>
      <c r="E948" s="10" t="n">
        <v>45758.6152777778</v>
      </c>
      <c r="F948" s="10" t="n">
        <v>45758.9636458333</v>
      </c>
      <c r="G948" s="0" t="n">
        <v>509.47</v>
      </c>
      <c r="H948" s="0" t="n">
        <v>493.27</v>
      </c>
      <c r="I948" s="11" t="n">
        <f aca="false">H948-G948</f>
        <v>-16.2</v>
      </c>
      <c r="J948" s="5" t="n">
        <f aca="false">IF(G948=0,"",I948/G948)</f>
        <v>-0.0317977506035685</v>
      </c>
      <c r="K948" s="0" t="n">
        <v>184.9</v>
      </c>
      <c r="L948" s="0" t="n">
        <v>8.36</v>
      </c>
      <c r="M948" s="11" t="s">
        <v>1332</v>
      </c>
      <c r="N948" s="12" t="n">
        <f aca="false">INT(E948)</f>
        <v>45758</v>
      </c>
      <c r="O948" s="12" t="n">
        <f aca="false">IF(F948="","",INT(F948))</f>
        <v>45758</v>
      </c>
    </row>
    <row r="949" customFormat="false" ht="15" hidden="false" customHeight="false" outlineLevel="0" collapsed="false">
      <c r="A949" s="0" t="s">
        <v>1939</v>
      </c>
      <c r="B949" s="0" t="s">
        <v>1940</v>
      </c>
      <c r="C949" s="0" t="s">
        <v>23</v>
      </c>
      <c r="D949" s="0" t="s">
        <v>42</v>
      </c>
      <c r="E949" s="10" t="n">
        <v>45758.6201388889</v>
      </c>
      <c r="F949" s="10" t="n">
        <v>45759.8319444444</v>
      </c>
      <c r="G949" s="0" t="n">
        <v>161.49</v>
      </c>
      <c r="H949" s="0" t="n">
        <v>164.38</v>
      </c>
      <c r="I949" s="11" t="n">
        <f aca="false">H949-G949</f>
        <v>2.88999999999999</v>
      </c>
      <c r="J949" s="5" t="n">
        <f aca="false">IF(G949=0,"",I949/G949)</f>
        <v>0.0178958449439593</v>
      </c>
      <c r="K949" s="0" t="n">
        <v>40.7</v>
      </c>
      <c r="L949" s="0" t="n">
        <v>9.12</v>
      </c>
      <c r="M949" s="11" t="s">
        <v>1332</v>
      </c>
      <c r="N949" s="12" t="n">
        <f aca="false">INT(E949)</f>
        <v>45758</v>
      </c>
      <c r="O949" s="12" t="n">
        <f aca="false">IF(F949="","",INT(F949))</f>
        <v>45759</v>
      </c>
    </row>
    <row r="950" customFormat="false" ht="15" hidden="false" customHeight="false" outlineLevel="0" collapsed="false">
      <c r="A950" s="0" t="s">
        <v>1941</v>
      </c>
      <c r="B950" s="0" t="s">
        <v>1942</v>
      </c>
      <c r="C950" s="0" t="s">
        <v>20</v>
      </c>
      <c r="D950" s="0" t="s">
        <v>42</v>
      </c>
      <c r="E950" s="10" t="n">
        <v>45758.6486111111</v>
      </c>
      <c r="F950" s="10" t="n">
        <v>45760.7791666667</v>
      </c>
      <c r="G950" s="0" t="n">
        <v>510.74</v>
      </c>
      <c r="H950" s="0" t="n">
        <v>521.92</v>
      </c>
      <c r="I950" s="11" t="n">
        <f aca="false">H950-G950</f>
        <v>11.18</v>
      </c>
      <c r="J950" s="5" t="n">
        <f aca="false">IF(G950=0,"",I950/G950)</f>
        <v>0.021889806946783</v>
      </c>
      <c r="K950" s="0" t="n">
        <v>103.8</v>
      </c>
      <c r="L950" s="0" t="n">
        <v>8.43</v>
      </c>
      <c r="M950" s="11" t="s">
        <v>1332</v>
      </c>
      <c r="N950" s="12" t="n">
        <f aca="false">INT(E950)</f>
        <v>45758</v>
      </c>
      <c r="O950" s="12" t="n">
        <f aca="false">IF(F950="","",INT(F950))</f>
        <v>45760</v>
      </c>
    </row>
    <row r="951" customFormat="false" ht="15" hidden="false" customHeight="false" outlineLevel="0" collapsed="false">
      <c r="A951" s="0" t="s">
        <v>1943</v>
      </c>
      <c r="B951" s="0" t="s">
        <v>1944</v>
      </c>
      <c r="C951" s="0" t="s">
        <v>24</v>
      </c>
      <c r="D951" s="0" t="s">
        <v>42</v>
      </c>
      <c r="E951" s="10" t="n">
        <v>45758.6666666667</v>
      </c>
      <c r="F951" s="10" t="n">
        <v>45760.7227083333</v>
      </c>
      <c r="G951" s="0" t="n">
        <v>172.2</v>
      </c>
      <c r="H951" s="0" t="n">
        <v>169.7</v>
      </c>
      <c r="I951" s="11" t="n">
        <f aca="false">H951-G951</f>
        <v>-2.5</v>
      </c>
      <c r="J951" s="5" t="n">
        <f aca="false">IF(G951=0,"",I951/G951)</f>
        <v>-0.0145180023228804</v>
      </c>
      <c r="K951" s="0" t="n">
        <v>33.4</v>
      </c>
      <c r="L951" s="0" t="n">
        <v>8</v>
      </c>
      <c r="M951" s="11" t="s">
        <v>1332</v>
      </c>
      <c r="N951" s="12" t="n">
        <f aca="false">INT(E951)</f>
        <v>45758</v>
      </c>
      <c r="O951" s="12" t="n">
        <f aca="false">IF(F951="","",INT(F951))</f>
        <v>45760</v>
      </c>
    </row>
    <row r="952" customFormat="false" ht="15" hidden="false" customHeight="false" outlineLevel="0" collapsed="false">
      <c r="A952" s="0" t="s">
        <v>1945</v>
      </c>
      <c r="B952" s="0" t="s">
        <v>1946</v>
      </c>
      <c r="C952" s="0" t="s">
        <v>20</v>
      </c>
      <c r="D952" s="0" t="s">
        <v>42</v>
      </c>
      <c r="E952" s="10" t="n">
        <v>45758.66875</v>
      </c>
      <c r="F952" s="10" t="n">
        <v>45760.9048611111</v>
      </c>
      <c r="G952" s="0" t="n">
        <v>1021.67</v>
      </c>
      <c r="H952" s="0" t="n">
        <v>1022.91</v>
      </c>
      <c r="I952" s="11" t="n">
        <f aca="false">H952-G952</f>
        <v>1.24000000000001</v>
      </c>
      <c r="J952" s="5" t="n">
        <f aca="false">IF(G952=0,"",I952/G952)</f>
        <v>0.00121369913964393</v>
      </c>
      <c r="K952" s="0" t="n">
        <v>168.7</v>
      </c>
      <c r="L952" s="0" t="n">
        <v>7.95</v>
      </c>
      <c r="M952" s="11" t="s">
        <v>1332</v>
      </c>
      <c r="N952" s="12" t="n">
        <f aca="false">INT(E952)</f>
        <v>45758</v>
      </c>
      <c r="O952" s="12" t="n">
        <f aca="false">IF(F952="","",INT(F952))</f>
        <v>45760</v>
      </c>
    </row>
    <row r="953" customFormat="false" ht="15" hidden="false" customHeight="false" outlineLevel="0" collapsed="false">
      <c r="A953" s="0" t="s">
        <v>1947</v>
      </c>
      <c r="B953" s="0" t="s">
        <v>1948</v>
      </c>
      <c r="C953" s="0" t="s">
        <v>20</v>
      </c>
      <c r="D953" s="0" t="s">
        <v>42</v>
      </c>
      <c r="E953" s="10" t="n">
        <v>45758.6847222222</v>
      </c>
      <c r="F953" s="10" t="n">
        <v>45759.9118055556</v>
      </c>
      <c r="G953" s="0" t="n">
        <v>161.37</v>
      </c>
      <c r="H953" s="0" t="n">
        <v>161.8</v>
      </c>
      <c r="I953" s="11" t="n">
        <f aca="false">H953-G953</f>
        <v>0.430000000000007</v>
      </c>
      <c r="J953" s="5" t="n">
        <f aca="false">IF(G953=0,"",I953/G953)</f>
        <v>0.00266468364627878</v>
      </c>
      <c r="K953" s="0" t="n">
        <v>21.8</v>
      </c>
      <c r="L953" s="0" t="n">
        <v>7.57</v>
      </c>
      <c r="M953" s="11" t="s">
        <v>1332</v>
      </c>
      <c r="N953" s="12" t="n">
        <f aca="false">INT(E953)</f>
        <v>45758</v>
      </c>
      <c r="O953" s="12" t="n">
        <f aca="false">IF(F953="","",INT(F953))</f>
        <v>45759</v>
      </c>
    </row>
    <row r="954" customFormat="false" ht="15" hidden="false" customHeight="false" outlineLevel="0" collapsed="false">
      <c r="A954" s="0" t="s">
        <v>1949</v>
      </c>
      <c r="B954" s="0" t="s">
        <v>1950</v>
      </c>
      <c r="C954" s="0" t="s">
        <v>22</v>
      </c>
      <c r="D954" s="0" t="s">
        <v>42</v>
      </c>
      <c r="E954" s="10" t="n">
        <v>45758.7083333333</v>
      </c>
      <c r="F954" s="10" t="n">
        <v>45759.1805555556</v>
      </c>
      <c r="G954" s="0" t="n">
        <v>86.24</v>
      </c>
      <c r="H954" s="0" t="n">
        <v>86.33</v>
      </c>
      <c r="I954" s="11" t="n">
        <f aca="false">H954-G954</f>
        <v>0.0900000000000034</v>
      </c>
      <c r="J954" s="5" t="n">
        <f aca="false">IF(G954=0,"",I954/G954)</f>
        <v>0.00104359925788501</v>
      </c>
      <c r="K954" s="0" t="n">
        <v>17.8</v>
      </c>
      <c r="L954" s="0" t="n">
        <v>7</v>
      </c>
      <c r="M954" s="11" t="s">
        <v>1332</v>
      </c>
      <c r="N954" s="12" t="n">
        <f aca="false">INT(E954)</f>
        <v>45758</v>
      </c>
      <c r="O954" s="12" t="n">
        <f aca="false">IF(F954="","",INT(F954))</f>
        <v>45759</v>
      </c>
    </row>
    <row r="955" customFormat="false" ht="15" hidden="false" customHeight="false" outlineLevel="0" collapsed="false">
      <c r="A955" s="0" t="s">
        <v>1951</v>
      </c>
      <c r="B955" s="0" t="s">
        <v>1952</v>
      </c>
      <c r="C955" s="0" t="s">
        <v>21</v>
      </c>
      <c r="D955" s="0" t="s">
        <v>42</v>
      </c>
      <c r="E955" s="10" t="n">
        <v>45758.7243055556</v>
      </c>
      <c r="F955" s="10" t="n">
        <v>45758.9409722222</v>
      </c>
      <c r="G955" s="0" t="n">
        <v>416.51</v>
      </c>
      <c r="H955" s="0" t="n">
        <v>418.58</v>
      </c>
      <c r="I955" s="11" t="n">
        <f aca="false">H955-G955</f>
        <v>2.06999999999999</v>
      </c>
      <c r="J955" s="5" t="n">
        <f aca="false">IF(G955=0,"",I955/G955)</f>
        <v>0.00496986867062014</v>
      </c>
      <c r="K955" s="0" t="n">
        <v>102.8</v>
      </c>
      <c r="L955" s="0" t="n">
        <v>5.2</v>
      </c>
      <c r="M955" s="11" t="s">
        <v>1332</v>
      </c>
      <c r="N955" s="12" t="n">
        <f aca="false">INT(E955)</f>
        <v>45758</v>
      </c>
      <c r="O955" s="12" t="n">
        <f aca="false">IF(F955="","",INT(F955))</f>
        <v>45758</v>
      </c>
    </row>
    <row r="956" customFormat="false" ht="15" hidden="false" customHeight="false" outlineLevel="0" collapsed="false">
      <c r="A956" s="0" t="s">
        <v>1953</v>
      </c>
      <c r="B956" s="0" t="s">
        <v>1954</v>
      </c>
      <c r="C956" s="0" t="s">
        <v>22</v>
      </c>
      <c r="D956" s="0" t="s">
        <v>42</v>
      </c>
      <c r="E956" s="10" t="n">
        <v>45758.7340277778</v>
      </c>
      <c r="F956" s="10" t="n">
        <v>45759.1090277778</v>
      </c>
      <c r="G956" s="0" t="n">
        <v>300.01</v>
      </c>
      <c r="H956" s="0" t="n">
        <v>292.56</v>
      </c>
      <c r="I956" s="11" t="n">
        <f aca="false">H956-G956</f>
        <v>-7.44999999999999</v>
      </c>
      <c r="J956" s="5" t="n">
        <f aca="false">IF(G956=0,"",I956/G956)</f>
        <v>-0.0248325055831472</v>
      </c>
      <c r="K956" s="0" t="n">
        <v>28.4</v>
      </c>
      <c r="L956" s="0" t="n">
        <v>6.38</v>
      </c>
      <c r="M956" s="11" t="s">
        <v>1332</v>
      </c>
      <c r="N956" s="12" t="n">
        <f aca="false">INT(E956)</f>
        <v>45758</v>
      </c>
      <c r="O956" s="12" t="n">
        <f aca="false">IF(F956="","",INT(F956))</f>
        <v>45759</v>
      </c>
    </row>
    <row r="957" customFormat="false" ht="15" hidden="false" customHeight="false" outlineLevel="0" collapsed="false">
      <c r="A957" s="0" t="s">
        <v>1955</v>
      </c>
      <c r="B957" s="0" t="s">
        <v>1956</v>
      </c>
      <c r="C957" s="0" t="s">
        <v>21</v>
      </c>
      <c r="D957" s="0" t="s">
        <v>42</v>
      </c>
      <c r="E957" s="10" t="n">
        <v>45758.7513888889</v>
      </c>
      <c r="F957" s="10" t="n">
        <v>45759.7427662037</v>
      </c>
      <c r="G957" s="0" t="n">
        <v>244.27</v>
      </c>
      <c r="H957" s="0" t="n">
        <v>247.07</v>
      </c>
      <c r="I957" s="11" t="n">
        <f aca="false">H957-G957</f>
        <v>2.79999999999998</v>
      </c>
      <c r="J957" s="5" t="n">
        <f aca="false">IF(G957=0,"",I957/G957)</f>
        <v>0.0114627256724116</v>
      </c>
      <c r="K957" s="0" t="n">
        <v>60.2</v>
      </c>
      <c r="L957" s="0" t="n">
        <v>5.97</v>
      </c>
      <c r="M957" s="11" t="s">
        <v>1332</v>
      </c>
      <c r="N957" s="12" t="n">
        <f aca="false">INT(E957)</f>
        <v>45758</v>
      </c>
      <c r="O957" s="12" t="n">
        <f aca="false">IF(F957="","",INT(F957))</f>
        <v>45759</v>
      </c>
    </row>
    <row r="958" customFormat="false" ht="15" hidden="false" customHeight="false" outlineLevel="0" collapsed="false">
      <c r="A958" s="0" t="s">
        <v>1957</v>
      </c>
      <c r="B958" s="0" t="s">
        <v>1958</v>
      </c>
      <c r="C958" s="0" t="s">
        <v>21</v>
      </c>
      <c r="D958" s="0" t="s">
        <v>42</v>
      </c>
      <c r="E958" s="10" t="n">
        <v>45758.7715277778</v>
      </c>
      <c r="F958" s="10" t="n">
        <v>45758.9569444444</v>
      </c>
      <c r="G958" s="0" t="n">
        <v>478.7</v>
      </c>
      <c r="H958" s="0" t="n">
        <v>485.81</v>
      </c>
      <c r="I958" s="11" t="n">
        <f aca="false">H958-G958</f>
        <v>7.11000000000001</v>
      </c>
      <c r="J958" s="5" t="n">
        <f aca="false">IF(G958=0,"",I958/G958)</f>
        <v>0.0148527261332777</v>
      </c>
      <c r="K958" s="0" t="n">
        <v>60</v>
      </c>
      <c r="L958" s="0" t="n">
        <v>4.45</v>
      </c>
      <c r="M958" s="11" t="s">
        <v>1332</v>
      </c>
      <c r="N958" s="12" t="n">
        <f aca="false">INT(E958)</f>
        <v>45758</v>
      </c>
      <c r="O958" s="12" t="n">
        <f aca="false">IF(F958="","",INT(F958))</f>
        <v>45758</v>
      </c>
    </row>
    <row r="959" customFormat="false" ht="15" hidden="false" customHeight="false" outlineLevel="0" collapsed="false">
      <c r="A959" s="0" t="s">
        <v>1959</v>
      </c>
      <c r="B959" s="0" t="s">
        <v>1960</v>
      </c>
      <c r="C959" s="0" t="s">
        <v>23</v>
      </c>
      <c r="D959" s="0" t="s">
        <v>42</v>
      </c>
      <c r="E959" s="10" t="n">
        <v>45761.3104166667</v>
      </c>
      <c r="F959" s="10" t="n">
        <v>45763.9263888889</v>
      </c>
      <c r="G959" s="0" t="n">
        <v>1116.66</v>
      </c>
      <c r="H959" s="0" t="n">
        <v>1152.61</v>
      </c>
      <c r="I959" s="11" t="n">
        <f aca="false">H959-G959</f>
        <v>35.9499999999998</v>
      </c>
      <c r="J959" s="5" t="n">
        <f aca="false">IF(G959=0,"",I959/G959)</f>
        <v>0.0321942220550569</v>
      </c>
      <c r="K959" s="0" t="n">
        <v>361.2</v>
      </c>
      <c r="L959" s="0" t="n">
        <v>62.78</v>
      </c>
      <c r="M959" s="11" t="s">
        <v>1332</v>
      </c>
      <c r="N959" s="12" t="n">
        <f aca="false">INT(E959)</f>
        <v>45761</v>
      </c>
      <c r="O959" s="12" t="n">
        <f aca="false">IF(F959="","",INT(F959))</f>
        <v>45763</v>
      </c>
    </row>
    <row r="960" customFormat="false" ht="15" hidden="false" customHeight="false" outlineLevel="0" collapsed="false">
      <c r="A960" s="0" t="s">
        <v>1961</v>
      </c>
      <c r="B960" s="0" t="s">
        <v>1962</v>
      </c>
      <c r="C960" s="0" t="s">
        <v>21</v>
      </c>
      <c r="D960" s="0" t="s">
        <v>42</v>
      </c>
      <c r="E960" s="10" t="n">
        <v>45761.3180555556</v>
      </c>
      <c r="F960" s="10" t="n">
        <v>45761.8412847222</v>
      </c>
      <c r="G960" s="0" t="n">
        <v>184.66</v>
      </c>
      <c r="H960" s="0" t="n">
        <v>182.07</v>
      </c>
      <c r="I960" s="11" t="n">
        <f aca="false">H960-G960</f>
        <v>-2.59</v>
      </c>
      <c r="J960" s="5" t="n">
        <f aca="false">IF(G960=0,"",I960/G960)</f>
        <v>-0.0140257771038666</v>
      </c>
      <c r="K960" s="0" t="n">
        <v>43.4</v>
      </c>
      <c r="L960" s="0" t="n">
        <v>12.56</v>
      </c>
      <c r="M960" s="11" t="s">
        <v>1332</v>
      </c>
      <c r="N960" s="12" t="n">
        <f aca="false">INT(E960)</f>
        <v>45761</v>
      </c>
      <c r="O960" s="12" t="n">
        <f aca="false">IF(F960="","",INT(F960))</f>
        <v>45761</v>
      </c>
    </row>
    <row r="961" customFormat="false" ht="15" hidden="false" customHeight="false" outlineLevel="0" collapsed="false">
      <c r="A961" s="0" t="s">
        <v>1963</v>
      </c>
      <c r="B961" s="0" t="s">
        <v>1964</v>
      </c>
      <c r="C961" s="0" t="s">
        <v>23</v>
      </c>
      <c r="D961" s="0" t="s">
        <v>42</v>
      </c>
      <c r="E961" s="10" t="n">
        <v>45761.3430555556</v>
      </c>
      <c r="F961" s="10" t="n">
        <v>45765.6256712963</v>
      </c>
      <c r="G961" s="0" t="n">
        <v>683.45</v>
      </c>
      <c r="H961" s="0" t="n">
        <v>683.84</v>
      </c>
      <c r="I961" s="11" t="n">
        <f aca="false">H961-G961</f>
        <v>0.389999999999986</v>
      </c>
      <c r="J961" s="5" t="n">
        <f aca="false">IF(G961=0,"",I961/G961)</f>
        <v>0.000570634281951842</v>
      </c>
      <c r="K961" s="0" t="n">
        <v>182.9</v>
      </c>
      <c r="L961" s="0" t="n">
        <v>102.78</v>
      </c>
      <c r="M961" s="11" t="s">
        <v>1332</v>
      </c>
      <c r="N961" s="12" t="n">
        <f aca="false">INT(E961)</f>
        <v>45761</v>
      </c>
      <c r="O961" s="12" t="n">
        <f aca="false">IF(F961="","",INT(F961))</f>
        <v>45765</v>
      </c>
    </row>
    <row r="962" customFormat="false" ht="15" hidden="false" customHeight="false" outlineLevel="0" collapsed="false">
      <c r="A962" s="0" t="s">
        <v>1965</v>
      </c>
      <c r="B962" s="0" t="s">
        <v>1966</v>
      </c>
      <c r="C962" s="0" t="s">
        <v>21</v>
      </c>
      <c r="D962" s="0" t="s">
        <v>42</v>
      </c>
      <c r="E962" s="10" t="n">
        <v>45761.3513888889</v>
      </c>
      <c r="F962" s="10" t="n">
        <v>45761.7754050926</v>
      </c>
      <c r="G962" s="0" t="n">
        <v>156.63</v>
      </c>
      <c r="H962" s="0" t="n">
        <v>159.67</v>
      </c>
      <c r="I962" s="11" t="n">
        <f aca="false">H962-G962</f>
        <v>3.03999999999999</v>
      </c>
      <c r="J962" s="5" t="n">
        <f aca="false">IF(G962=0,"",I962/G962)</f>
        <v>0.0194087978037413</v>
      </c>
      <c r="K962" s="0" t="n">
        <v>22.5</v>
      </c>
      <c r="L962" s="0" t="n">
        <v>10.18</v>
      </c>
      <c r="M962" s="11" t="s">
        <v>1332</v>
      </c>
      <c r="N962" s="12" t="n">
        <f aca="false">INT(E962)</f>
        <v>45761</v>
      </c>
      <c r="O962" s="12" t="n">
        <f aca="false">IF(F962="","",INT(F962))</f>
        <v>45761</v>
      </c>
    </row>
    <row r="963" customFormat="false" ht="15" hidden="false" customHeight="false" outlineLevel="0" collapsed="false">
      <c r="A963" s="0" t="s">
        <v>1967</v>
      </c>
      <c r="B963" s="0" t="s">
        <v>1968</v>
      </c>
      <c r="C963" s="0" t="s">
        <v>21</v>
      </c>
      <c r="D963" s="0" t="s">
        <v>42</v>
      </c>
      <c r="E963" s="10" t="n">
        <v>45761.3756944445</v>
      </c>
      <c r="F963" s="10" t="n">
        <v>45763.3465277778</v>
      </c>
      <c r="G963" s="0" t="n">
        <v>623.34</v>
      </c>
      <c r="H963" s="0" t="n">
        <v>633.36</v>
      </c>
      <c r="I963" s="11" t="n">
        <f aca="false">H963-G963</f>
        <v>10.02</v>
      </c>
      <c r="J963" s="5" t="n">
        <f aca="false">IF(G963=0,"",I963/G963)</f>
        <v>0.0160746943882953</v>
      </c>
      <c r="K963" s="0" t="n">
        <v>160.6</v>
      </c>
      <c r="L963" s="0" t="n">
        <v>47.3</v>
      </c>
      <c r="M963" s="11" t="s">
        <v>1332</v>
      </c>
      <c r="N963" s="12" t="n">
        <f aca="false">INT(E963)</f>
        <v>45761</v>
      </c>
      <c r="O963" s="12" t="n">
        <f aca="false">IF(F963="","",INT(F963))</f>
        <v>45763</v>
      </c>
    </row>
    <row r="964" customFormat="false" ht="15" hidden="false" customHeight="false" outlineLevel="0" collapsed="false">
      <c r="A964" s="0" t="s">
        <v>1969</v>
      </c>
      <c r="B964" s="0" t="s">
        <v>1970</v>
      </c>
      <c r="C964" s="0" t="s">
        <v>21</v>
      </c>
      <c r="D964" s="0" t="s">
        <v>42</v>
      </c>
      <c r="E964" s="10" t="n">
        <v>45761.3854166667</v>
      </c>
      <c r="F964" s="10" t="n">
        <v>45762.4520833333</v>
      </c>
      <c r="G964" s="0" t="n">
        <v>520.3</v>
      </c>
      <c r="H964" s="0" t="n">
        <v>514.33</v>
      </c>
      <c r="I964" s="11" t="n">
        <f aca="false">H964-G964</f>
        <v>-5.96999999999991</v>
      </c>
      <c r="J964" s="5" t="n">
        <f aca="false">IF(G964=0,"",I964/G964)</f>
        <v>-0.0114741495291177</v>
      </c>
      <c r="K964" s="0" t="n">
        <v>71.7</v>
      </c>
      <c r="L964" s="0" t="n">
        <v>25.6</v>
      </c>
      <c r="M964" s="11" t="s">
        <v>1332</v>
      </c>
      <c r="N964" s="12" t="n">
        <f aca="false">INT(E964)</f>
        <v>45761</v>
      </c>
      <c r="O964" s="12" t="n">
        <f aca="false">IF(F964="","",INT(F964))</f>
        <v>45762</v>
      </c>
    </row>
    <row r="965" customFormat="false" ht="15" hidden="false" customHeight="false" outlineLevel="0" collapsed="false">
      <c r="A965" s="0" t="s">
        <v>1971</v>
      </c>
      <c r="B965" s="0" t="s">
        <v>1972</v>
      </c>
      <c r="C965" s="0" t="s">
        <v>21</v>
      </c>
      <c r="D965" s="0" t="s">
        <v>42</v>
      </c>
      <c r="E965" s="10" t="n">
        <v>45761.3868055556</v>
      </c>
      <c r="F965" s="10" t="n">
        <v>45762.5256944444</v>
      </c>
      <c r="G965" s="0" t="n">
        <v>397.01</v>
      </c>
      <c r="H965" s="0" t="n">
        <v>362.65</v>
      </c>
      <c r="I965" s="11" t="n">
        <f aca="false">H965-G965</f>
        <v>-34.36</v>
      </c>
      <c r="J965" s="5" t="n">
        <f aca="false">IF(G965=0,"",I965/G965)</f>
        <v>-0.086546938364273</v>
      </c>
      <c r="K965" s="0" t="n">
        <v>49.6</v>
      </c>
      <c r="L965" s="0" t="n">
        <v>27.33</v>
      </c>
      <c r="M965" s="11" t="s">
        <v>1332</v>
      </c>
      <c r="N965" s="12" t="n">
        <f aca="false">INT(E965)</f>
        <v>45761</v>
      </c>
      <c r="O965" s="12" t="n">
        <f aca="false">IF(F965="","",INT(F965))</f>
        <v>45762</v>
      </c>
    </row>
    <row r="966" customFormat="false" ht="15" hidden="false" customHeight="false" outlineLevel="0" collapsed="false">
      <c r="A966" s="0" t="s">
        <v>1973</v>
      </c>
      <c r="B966" s="0" t="s">
        <v>1974</v>
      </c>
      <c r="C966" s="0" t="s">
        <v>21</v>
      </c>
      <c r="D966" s="0" t="s">
        <v>42</v>
      </c>
      <c r="E966" s="10" t="n">
        <v>45761.3881944444</v>
      </c>
      <c r="F966" s="10" t="n">
        <v>45762.3309143519</v>
      </c>
      <c r="G966" s="0" t="n">
        <v>163.86</v>
      </c>
      <c r="H966" s="0" t="n">
        <v>167.3</v>
      </c>
      <c r="I966" s="11" t="n">
        <f aca="false">H966-G966</f>
        <v>3.44</v>
      </c>
      <c r="J966" s="5" t="n">
        <f aca="false">IF(G966=0,"",I966/G966)</f>
        <v>0.0209935310631026</v>
      </c>
      <c r="K966" s="0" t="n">
        <v>29</v>
      </c>
      <c r="L966" s="0" t="n">
        <v>22.63</v>
      </c>
      <c r="M966" s="11" t="s">
        <v>1332</v>
      </c>
      <c r="N966" s="12" t="n">
        <f aca="false">INT(E966)</f>
        <v>45761</v>
      </c>
      <c r="O966" s="12" t="n">
        <f aca="false">IF(F966="","",INT(F966))</f>
        <v>45762</v>
      </c>
    </row>
    <row r="967" customFormat="false" ht="15" hidden="false" customHeight="false" outlineLevel="0" collapsed="false">
      <c r="A967" s="0" t="s">
        <v>1975</v>
      </c>
      <c r="B967" s="0" t="s">
        <v>1976</v>
      </c>
      <c r="C967" s="0" t="s">
        <v>23</v>
      </c>
      <c r="D967" s="0" t="s">
        <v>42</v>
      </c>
      <c r="E967" s="10" t="n">
        <v>45761.3993055556</v>
      </c>
      <c r="F967" s="10" t="n">
        <v>45762.9685416667</v>
      </c>
      <c r="G967" s="0" t="n">
        <v>1544.16</v>
      </c>
      <c r="H967" s="0" t="n">
        <v>1643.26</v>
      </c>
      <c r="I967" s="11" t="n">
        <f aca="false">H967-G967</f>
        <v>99.0999999999999</v>
      </c>
      <c r="J967" s="5" t="n">
        <f aca="false">IF(G967=0,"",I967/G967)</f>
        <v>0.064177287327738</v>
      </c>
      <c r="K967" s="0" t="n">
        <v>400</v>
      </c>
      <c r="L967" s="0" t="n">
        <v>37.66</v>
      </c>
      <c r="M967" s="11" t="s">
        <v>1332</v>
      </c>
      <c r="N967" s="12" t="n">
        <f aca="false">INT(E967)</f>
        <v>45761</v>
      </c>
      <c r="O967" s="12" t="n">
        <f aca="false">IF(F967="","",INT(F967))</f>
        <v>45762</v>
      </c>
    </row>
    <row r="968" customFormat="false" ht="15" hidden="false" customHeight="false" outlineLevel="0" collapsed="false">
      <c r="A968" s="0" t="s">
        <v>1977</v>
      </c>
      <c r="B968" s="0" t="s">
        <v>1978</v>
      </c>
      <c r="C968" s="0" t="s">
        <v>21</v>
      </c>
      <c r="D968" s="0" t="s">
        <v>42</v>
      </c>
      <c r="E968" s="10" t="n">
        <v>45761.4</v>
      </c>
      <c r="F968" s="10" t="n">
        <v>45763.0915509259</v>
      </c>
      <c r="G968" s="0" t="n">
        <v>128.1</v>
      </c>
      <c r="H968" s="0" t="n">
        <v>129.6</v>
      </c>
      <c r="I968" s="11" t="n">
        <f aca="false">H968-G968</f>
        <v>1.5</v>
      </c>
      <c r="J968" s="5" t="n">
        <f aca="false">IF(G968=0,"",I968/G968)</f>
        <v>0.0117096018735363</v>
      </c>
      <c r="K968" s="0" t="n">
        <v>30.1</v>
      </c>
      <c r="L968" s="0" t="n">
        <v>40.6</v>
      </c>
      <c r="M968" s="11" t="s">
        <v>1332</v>
      </c>
      <c r="N968" s="12" t="n">
        <f aca="false">INT(E968)</f>
        <v>45761</v>
      </c>
      <c r="O968" s="12" t="n">
        <f aca="false">IF(F968="","",INT(F968))</f>
        <v>45763</v>
      </c>
    </row>
    <row r="969" customFormat="false" ht="15" hidden="false" customHeight="false" outlineLevel="0" collapsed="false">
      <c r="A969" s="0" t="s">
        <v>1979</v>
      </c>
      <c r="B969" s="0" t="s">
        <v>1980</v>
      </c>
      <c r="C969" s="0" t="s">
        <v>22</v>
      </c>
      <c r="D969" s="0" t="s">
        <v>303</v>
      </c>
      <c r="E969" s="10" t="n">
        <v>45761.4152777778</v>
      </c>
      <c r="F969" s="10"/>
      <c r="G969" s="0" t="n">
        <v>334.51</v>
      </c>
      <c r="H969" s="0" t="n">
        <v>341.02</v>
      </c>
      <c r="I969" s="11" t="n">
        <f aca="false">H969-G969</f>
        <v>6.50999999999999</v>
      </c>
      <c r="J969" s="5" t="n">
        <f aca="false">IF(G969=0,"",I969/G969)</f>
        <v>0.0194613016053332</v>
      </c>
      <c r="K969" s="0" t="n">
        <v>46.9</v>
      </c>
      <c r="M969" s="11" t="s">
        <v>1332</v>
      </c>
      <c r="N969" s="12" t="n">
        <f aca="false">INT(E969)</f>
        <v>45761</v>
      </c>
      <c r="O969" s="12" t="str">
        <f aca="false">IF(F969="","",INT(F969))</f>
        <v/>
      </c>
    </row>
    <row r="970" customFormat="false" ht="15" hidden="false" customHeight="false" outlineLevel="0" collapsed="false">
      <c r="A970" s="0" t="s">
        <v>1981</v>
      </c>
      <c r="B970" s="0" t="s">
        <v>1982</v>
      </c>
      <c r="C970" s="0" t="s">
        <v>20</v>
      </c>
      <c r="D970" s="0" t="s">
        <v>42</v>
      </c>
      <c r="E970" s="10" t="n">
        <v>45761.4347222222</v>
      </c>
      <c r="F970" s="10" t="n">
        <v>45762.9034722222</v>
      </c>
      <c r="G970" s="0" t="n">
        <v>1149.42</v>
      </c>
      <c r="H970" s="0" t="n">
        <v>1145.9</v>
      </c>
      <c r="I970" s="11" t="n">
        <f aca="false">H970-G970</f>
        <v>-3.51999999999998</v>
      </c>
      <c r="J970" s="5" t="n">
        <f aca="false">IF(G970=0,"",I970/G970)</f>
        <v>-0.00306241408710478</v>
      </c>
      <c r="K970" s="0" t="n">
        <v>229.1</v>
      </c>
      <c r="L970" s="0" t="n">
        <v>35.25</v>
      </c>
      <c r="M970" s="11" t="s">
        <v>1332</v>
      </c>
      <c r="N970" s="12" t="n">
        <f aca="false">INT(E970)</f>
        <v>45761</v>
      </c>
      <c r="O970" s="12" t="n">
        <f aca="false">IF(F970="","",INT(F970))</f>
        <v>45762</v>
      </c>
    </row>
    <row r="971" customFormat="false" ht="15" hidden="false" customHeight="false" outlineLevel="0" collapsed="false">
      <c r="A971" s="0" t="s">
        <v>1983</v>
      </c>
      <c r="B971" s="0" t="s">
        <v>1984</v>
      </c>
      <c r="C971" s="0" t="s">
        <v>22</v>
      </c>
      <c r="D971" s="0" t="s">
        <v>42</v>
      </c>
      <c r="E971" s="10" t="n">
        <v>45761.4368055556</v>
      </c>
      <c r="F971" s="10" t="n">
        <v>45761.9495833333</v>
      </c>
      <c r="G971" s="0" t="n">
        <v>488.86</v>
      </c>
      <c r="H971" s="0" t="n">
        <v>480.55</v>
      </c>
      <c r="I971" s="11" t="n">
        <f aca="false">H971-G971</f>
        <v>-8.31</v>
      </c>
      <c r="J971" s="5" t="n">
        <f aca="false">IF(G971=0,"",I971/G971)</f>
        <v>-0.0169987317432394</v>
      </c>
      <c r="K971" s="0" t="n">
        <v>52.4</v>
      </c>
      <c r="L971" s="0" t="n">
        <v>12.31</v>
      </c>
      <c r="M971" s="11" t="s">
        <v>1332</v>
      </c>
      <c r="N971" s="12" t="n">
        <f aca="false">INT(E971)</f>
        <v>45761</v>
      </c>
      <c r="O971" s="12" t="n">
        <f aca="false">IF(F971="","",INT(F971))</f>
        <v>45761</v>
      </c>
    </row>
    <row r="972" customFormat="false" ht="15" hidden="false" customHeight="false" outlineLevel="0" collapsed="false">
      <c r="A972" s="0" t="s">
        <v>1985</v>
      </c>
      <c r="B972" s="0" t="s">
        <v>1986</v>
      </c>
      <c r="C972" s="0" t="s">
        <v>23</v>
      </c>
      <c r="D972" s="0" t="s">
        <v>42</v>
      </c>
      <c r="E972" s="10" t="n">
        <v>45761.44375</v>
      </c>
      <c r="F972" s="10" t="n">
        <v>45762.825</v>
      </c>
      <c r="G972" s="0" t="n">
        <v>825.22</v>
      </c>
      <c r="H972" s="0" t="n">
        <v>839.21</v>
      </c>
      <c r="I972" s="11" t="n">
        <f aca="false">H972-G972</f>
        <v>13.99</v>
      </c>
      <c r="J972" s="5" t="n">
        <f aca="false">IF(G972=0,"",I972/G972)</f>
        <v>0.0169530549429243</v>
      </c>
      <c r="K972" s="0" t="n">
        <v>189.1</v>
      </c>
      <c r="L972" s="0" t="n">
        <v>33.15</v>
      </c>
      <c r="M972" s="11" t="s">
        <v>1332</v>
      </c>
      <c r="N972" s="12" t="n">
        <f aca="false">INT(E972)</f>
        <v>45761</v>
      </c>
      <c r="O972" s="12" t="n">
        <f aca="false">IF(F972="","",INT(F972))</f>
        <v>45762</v>
      </c>
    </row>
    <row r="973" customFormat="false" ht="15" hidden="false" customHeight="false" outlineLevel="0" collapsed="false">
      <c r="A973" s="0" t="s">
        <v>1987</v>
      </c>
      <c r="B973" s="0" t="s">
        <v>1988</v>
      </c>
      <c r="C973" s="0" t="s">
        <v>23</v>
      </c>
      <c r="D973" s="0" t="s">
        <v>48</v>
      </c>
      <c r="E973" s="10" t="n">
        <v>45761.4493055556</v>
      </c>
      <c r="F973" s="10"/>
      <c r="G973" s="0" t="n">
        <v>418.17</v>
      </c>
      <c r="H973" s="0" t="n">
        <v>406.15</v>
      </c>
      <c r="I973" s="11" t="n">
        <f aca="false">H973-G973</f>
        <v>-12.02</v>
      </c>
      <c r="J973" s="5" t="n">
        <f aca="false">IF(G973=0,"",I973/G973)</f>
        <v>-0.028744290599517</v>
      </c>
      <c r="K973" s="0" t="n">
        <v>93</v>
      </c>
      <c r="M973" s="11" t="s">
        <v>1332</v>
      </c>
      <c r="N973" s="12" t="n">
        <f aca="false">INT(E973)</f>
        <v>45761</v>
      </c>
      <c r="O973" s="12" t="str">
        <f aca="false">IF(F973="","",INT(F973))</f>
        <v/>
      </c>
    </row>
    <row r="974" customFormat="false" ht="15" hidden="false" customHeight="false" outlineLevel="0" collapsed="false">
      <c r="A974" s="0" t="s">
        <v>1989</v>
      </c>
      <c r="B974" s="0" t="s">
        <v>1990</v>
      </c>
      <c r="C974" s="0" t="s">
        <v>20</v>
      </c>
      <c r="D974" s="0" t="s">
        <v>48</v>
      </c>
      <c r="E974" s="10" t="n">
        <v>45761.4541666667</v>
      </c>
      <c r="F974" s="10"/>
      <c r="G974" s="0" t="n">
        <v>249.76</v>
      </c>
      <c r="H974" s="0" t="n">
        <v>244.83</v>
      </c>
      <c r="I974" s="11" t="n">
        <f aca="false">H974-G974</f>
        <v>-4.92999999999998</v>
      </c>
      <c r="J974" s="5" t="n">
        <f aca="false">IF(G974=0,"",I974/G974)</f>
        <v>-0.0197389493914157</v>
      </c>
      <c r="K974" s="0" t="n">
        <v>49.8</v>
      </c>
      <c r="M974" s="11" t="s">
        <v>1332</v>
      </c>
      <c r="N974" s="12" t="n">
        <f aca="false">INT(E974)</f>
        <v>45761</v>
      </c>
      <c r="O974" s="12" t="str">
        <f aca="false">IF(F974="","",INT(F974))</f>
        <v/>
      </c>
    </row>
    <row r="975" customFormat="false" ht="15" hidden="false" customHeight="false" outlineLevel="0" collapsed="false">
      <c r="A975" s="0" t="s">
        <v>1991</v>
      </c>
      <c r="B975" s="0" t="s">
        <v>1992</v>
      </c>
      <c r="C975" s="0" t="s">
        <v>20</v>
      </c>
      <c r="D975" s="0" t="s">
        <v>42</v>
      </c>
      <c r="E975" s="10" t="n">
        <v>45761.4680555556</v>
      </c>
      <c r="F975" s="10" t="n">
        <v>45763.1319444445</v>
      </c>
      <c r="G975" s="0" t="n">
        <v>911.66</v>
      </c>
      <c r="H975" s="0" t="n">
        <v>910.55</v>
      </c>
      <c r="I975" s="11" t="n">
        <f aca="false">H975-G975</f>
        <v>-1.11000000000001</v>
      </c>
      <c r="J975" s="5" t="n">
        <f aca="false">IF(G975=0,"",I975/G975)</f>
        <v>-0.00121755917776366</v>
      </c>
      <c r="K975" s="0" t="n">
        <v>122.6</v>
      </c>
      <c r="L975" s="0" t="n">
        <v>39.93</v>
      </c>
      <c r="M975" s="11" t="s">
        <v>1332</v>
      </c>
      <c r="N975" s="12" t="n">
        <f aca="false">INT(E975)</f>
        <v>45761</v>
      </c>
      <c r="O975" s="12" t="n">
        <f aca="false">IF(F975="","",INT(F975))</f>
        <v>45763</v>
      </c>
    </row>
    <row r="976" customFormat="false" ht="15" hidden="false" customHeight="false" outlineLevel="0" collapsed="false">
      <c r="A976" s="0" t="s">
        <v>1993</v>
      </c>
      <c r="B976" s="0" t="s">
        <v>1994</v>
      </c>
      <c r="C976" s="0" t="s">
        <v>23</v>
      </c>
      <c r="D976" s="0" t="s">
        <v>42</v>
      </c>
      <c r="E976" s="10" t="n">
        <v>45761.4756944445</v>
      </c>
      <c r="F976" s="10" t="n">
        <v>45762.1670601852</v>
      </c>
      <c r="G976" s="0" t="n">
        <v>152.22</v>
      </c>
      <c r="H976" s="0" t="n">
        <v>153.4</v>
      </c>
      <c r="I976" s="11" t="n">
        <f aca="false">H976-G976</f>
        <v>1.18000000000001</v>
      </c>
      <c r="J976" s="5" t="n">
        <f aca="false">IF(G976=0,"",I976/G976)</f>
        <v>0.00775193798449617</v>
      </c>
      <c r="K976" s="0" t="n">
        <v>35.6</v>
      </c>
      <c r="L976" s="0" t="n">
        <v>16.59</v>
      </c>
      <c r="M976" s="11" t="s">
        <v>1332</v>
      </c>
      <c r="N976" s="12" t="n">
        <f aca="false">INT(E976)</f>
        <v>45761</v>
      </c>
      <c r="O976" s="12" t="n">
        <f aca="false">IF(F976="","",INT(F976))</f>
        <v>45762</v>
      </c>
    </row>
    <row r="977" customFormat="false" ht="15" hidden="false" customHeight="false" outlineLevel="0" collapsed="false">
      <c r="A977" s="0" t="s">
        <v>1995</v>
      </c>
      <c r="B977" s="0" t="s">
        <v>1996</v>
      </c>
      <c r="C977" s="0" t="s">
        <v>21</v>
      </c>
      <c r="D977" s="0" t="s">
        <v>42</v>
      </c>
      <c r="E977" s="10" t="n">
        <v>45761.4868055556</v>
      </c>
      <c r="F977" s="10" t="n">
        <v>45762.2169212963</v>
      </c>
      <c r="G977" s="0" t="n">
        <v>264.22</v>
      </c>
      <c r="H977" s="0" t="n">
        <v>263.59</v>
      </c>
      <c r="I977" s="11" t="n">
        <f aca="false">H977-G977</f>
        <v>-0.630000000000052</v>
      </c>
      <c r="J977" s="5" t="n">
        <f aca="false">IF(G977=0,"",I977/G977)</f>
        <v>-0.00238437665581732</v>
      </c>
      <c r="K977" s="0" t="n">
        <v>56.7</v>
      </c>
      <c r="L977" s="0" t="n">
        <v>17.52</v>
      </c>
      <c r="M977" s="11" t="s">
        <v>1332</v>
      </c>
      <c r="N977" s="12" t="n">
        <f aca="false">INT(E977)</f>
        <v>45761</v>
      </c>
      <c r="O977" s="12" t="n">
        <f aca="false">IF(F977="","",INT(F977))</f>
        <v>45762</v>
      </c>
    </row>
    <row r="978" customFormat="false" ht="15" hidden="false" customHeight="false" outlineLevel="0" collapsed="false">
      <c r="A978" s="0" t="s">
        <v>1997</v>
      </c>
      <c r="B978" s="0" t="s">
        <v>1998</v>
      </c>
      <c r="C978" s="0" t="s">
        <v>19</v>
      </c>
      <c r="D978" s="0" t="s">
        <v>42</v>
      </c>
      <c r="E978" s="10" t="n">
        <v>45761.5048611111</v>
      </c>
      <c r="F978" s="10" t="n">
        <v>45762.1842708333</v>
      </c>
      <c r="G978" s="0" t="n">
        <v>363.7</v>
      </c>
      <c r="H978" s="0" t="n">
        <v>364.01</v>
      </c>
      <c r="I978" s="11" t="n">
        <f aca="false">H978-G978</f>
        <v>0.310000000000002</v>
      </c>
      <c r="J978" s="5" t="n">
        <f aca="false">IF(G978=0,"",I978/G978)</f>
        <v>0.000852350838603251</v>
      </c>
      <c r="K978" s="0" t="n">
        <v>59.5</v>
      </c>
      <c r="L978" s="0" t="n">
        <v>16.31</v>
      </c>
      <c r="M978" s="11" t="s">
        <v>1332</v>
      </c>
      <c r="N978" s="12" t="n">
        <f aca="false">INT(E978)</f>
        <v>45761</v>
      </c>
      <c r="O978" s="12" t="n">
        <f aca="false">IF(F978="","",INT(F978))</f>
        <v>45762</v>
      </c>
    </row>
    <row r="979" customFormat="false" ht="15" hidden="false" customHeight="false" outlineLevel="0" collapsed="false">
      <c r="A979" s="0" t="s">
        <v>1999</v>
      </c>
      <c r="B979" s="0" t="s">
        <v>2000</v>
      </c>
      <c r="C979" s="0" t="s">
        <v>23</v>
      </c>
      <c r="D979" s="0" t="s">
        <v>42</v>
      </c>
      <c r="E979" s="10" t="n">
        <v>45761.5145833333</v>
      </c>
      <c r="F979" s="10" t="n">
        <v>45762.3354166667</v>
      </c>
      <c r="G979" s="0" t="n">
        <v>917.45</v>
      </c>
      <c r="H979" s="0" t="n">
        <v>930.72</v>
      </c>
      <c r="I979" s="11" t="n">
        <f aca="false">H979-G979</f>
        <v>13.27</v>
      </c>
      <c r="J979" s="5" t="n">
        <f aca="false">IF(G979=0,"",I979/G979)</f>
        <v>0.0144640034879285</v>
      </c>
      <c r="K979" s="0" t="n">
        <v>372.2</v>
      </c>
      <c r="L979" s="0" t="n">
        <v>19.7</v>
      </c>
      <c r="M979" s="11" t="s">
        <v>1332</v>
      </c>
      <c r="N979" s="12" t="n">
        <f aca="false">INT(E979)</f>
        <v>45761</v>
      </c>
      <c r="O979" s="12" t="n">
        <f aca="false">IF(F979="","",INT(F979))</f>
        <v>45762</v>
      </c>
    </row>
    <row r="980" customFormat="false" ht="15" hidden="false" customHeight="false" outlineLevel="0" collapsed="false">
      <c r="A980" s="0" t="s">
        <v>2001</v>
      </c>
      <c r="B980" s="0" t="s">
        <v>2002</v>
      </c>
      <c r="C980" s="0" t="s">
        <v>23</v>
      </c>
      <c r="D980" s="0" t="s">
        <v>42</v>
      </c>
      <c r="E980" s="10" t="n">
        <v>45761.5375</v>
      </c>
      <c r="F980" s="10" t="n">
        <v>45765.3750347222</v>
      </c>
      <c r="G980" s="0" t="n">
        <v>552.08</v>
      </c>
      <c r="H980" s="0" t="n">
        <v>537.91</v>
      </c>
      <c r="I980" s="11" t="n">
        <f aca="false">H980-G980</f>
        <v>-14.1700000000001</v>
      </c>
      <c r="J980" s="5" t="n">
        <f aca="false">IF(G980=0,"",I980/G980)</f>
        <v>-0.0256665700623099</v>
      </c>
      <c r="K980" s="0" t="n">
        <v>143.1</v>
      </c>
      <c r="L980" s="0" t="n">
        <v>92.1</v>
      </c>
      <c r="M980" s="11" t="s">
        <v>1332</v>
      </c>
      <c r="N980" s="12" t="n">
        <f aca="false">INT(E980)</f>
        <v>45761</v>
      </c>
      <c r="O980" s="12" t="n">
        <f aca="false">IF(F980="","",INT(F980))</f>
        <v>45765</v>
      </c>
    </row>
    <row r="981" customFormat="false" ht="15" hidden="false" customHeight="false" outlineLevel="0" collapsed="false">
      <c r="A981" s="0" t="s">
        <v>2003</v>
      </c>
      <c r="B981" s="0" t="s">
        <v>2004</v>
      </c>
      <c r="C981" s="0" t="s">
        <v>23</v>
      </c>
      <c r="D981" s="0" t="s">
        <v>42</v>
      </c>
      <c r="E981" s="10" t="n">
        <v>45761.5583333333</v>
      </c>
      <c r="F981" s="10" t="n">
        <v>45763.7979166667</v>
      </c>
      <c r="G981" s="0" t="n">
        <v>258.41</v>
      </c>
      <c r="H981" s="0" t="n">
        <v>256.78</v>
      </c>
      <c r="I981" s="11" t="n">
        <f aca="false">H981-G981</f>
        <v>-1.63000000000005</v>
      </c>
      <c r="J981" s="5" t="n">
        <f aca="false">IF(G981=0,"",I981/G981)</f>
        <v>-0.00630780542548683</v>
      </c>
      <c r="K981" s="0" t="n">
        <v>59.5</v>
      </c>
      <c r="L981" s="0" t="n">
        <v>53.75</v>
      </c>
      <c r="M981" s="11" t="s">
        <v>1332</v>
      </c>
      <c r="N981" s="12" t="n">
        <f aca="false">INT(E981)</f>
        <v>45761</v>
      </c>
      <c r="O981" s="12" t="n">
        <f aca="false">IF(F981="","",INT(F981))</f>
        <v>45763</v>
      </c>
    </row>
    <row r="982" customFormat="false" ht="15" hidden="false" customHeight="false" outlineLevel="0" collapsed="false">
      <c r="A982" s="0" t="s">
        <v>2005</v>
      </c>
      <c r="B982" s="0" t="s">
        <v>2006</v>
      </c>
      <c r="C982" s="0" t="s">
        <v>22</v>
      </c>
      <c r="D982" s="0" t="s">
        <v>42</v>
      </c>
      <c r="E982" s="10" t="n">
        <v>45761.5590277778</v>
      </c>
      <c r="F982" s="10" t="n">
        <v>45762.2526851852</v>
      </c>
      <c r="G982" s="0" t="n">
        <v>666.95</v>
      </c>
      <c r="H982" s="0" t="n">
        <v>669.11</v>
      </c>
      <c r="I982" s="11" t="n">
        <f aca="false">H982-G982</f>
        <v>2.15999999999997</v>
      </c>
      <c r="J982" s="5" t="n">
        <f aca="false">IF(G982=0,"",I982/G982)</f>
        <v>0.00323862358497634</v>
      </c>
      <c r="K982" s="0" t="n">
        <v>133.7</v>
      </c>
      <c r="L982" s="0" t="n">
        <v>16.65</v>
      </c>
      <c r="M982" s="11" t="s">
        <v>1332</v>
      </c>
      <c r="N982" s="12" t="n">
        <f aca="false">INT(E982)</f>
        <v>45761</v>
      </c>
      <c r="O982" s="12" t="n">
        <f aca="false">IF(F982="","",INT(F982))</f>
        <v>45762</v>
      </c>
    </row>
    <row r="983" customFormat="false" ht="15" hidden="false" customHeight="false" outlineLevel="0" collapsed="false">
      <c r="A983" s="0" t="s">
        <v>2007</v>
      </c>
      <c r="B983" s="0" t="s">
        <v>2008</v>
      </c>
      <c r="C983" s="0" t="s">
        <v>21</v>
      </c>
      <c r="D983" s="0" t="s">
        <v>42</v>
      </c>
      <c r="E983" s="10" t="n">
        <v>45761.5597222222</v>
      </c>
      <c r="F983" s="10" t="n">
        <v>45762.4514930556</v>
      </c>
      <c r="G983" s="0" t="n">
        <v>1259.75</v>
      </c>
      <c r="H983" s="0" t="n">
        <v>1264.17</v>
      </c>
      <c r="I983" s="11" t="n">
        <f aca="false">H983-G983</f>
        <v>4.42000000000007</v>
      </c>
      <c r="J983" s="5" t="n">
        <f aca="false">IF(G983=0,"",I983/G983)</f>
        <v>0.00350863266521141</v>
      </c>
      <c r="K983" s="0" t="n">
        <v>151.2</v>
      </c>
      <c r="L983" s="0" t="n">
        <v>21.4</v>
      </c>
      <c r="M983" s="11" t="s">
        <v>1332</v>
      </c>
      <c r="N983" s="12" t="n">
        <f aca="false">INT(E983)</f>
        <v>45761</v>
      </c>
      <c r="O983" s="12" t="n">
        <f aca="false">IF(F983="","",INT(F983))</f>
        <v>45762</v>
      </c>
    </row>
    <row r="984" customFormat="false" ht="15" hidden="false" customHeight="false" outlineLevel="0" collapsed="false">
      <c r="A984" s="0" t="s">
        <v>2009</v>
      </c>
      <c r="B984" s="0" t="s">
        <v>2010</v>
      </c>
      <c r="C984" s="0" t="s">
        <v>21</v>
      </c>
      <c r="D984" s="0" t="s">
        <v>42</v>
      </c>
      <c r="E984" s="10" t="n">
        <v>45761.5645833333</v>
      </c>
      <c r="F984" s="10" t="n">
        <v>45762.5798611111</v>
      </c>
      <c r="G984" s="0" t="n">
        <v>820.31</v>
      </c>
      <c r="H984" s="0" t="n">
        <v>836.95</v>
      </c>
      <c r="I984" s="11" t="n">
        <f aca="false">H984-G984</f>
        <v>16.6400000000001</v>
      </c>
      <c r="J984" s="5" t="n">
        <f aca="false">IF(G984=0,"",I984/G984)</f>
        <v>0.0202850142019482</v>
      </c>
      <c r="K984" s="0" t="n">
        <v>162.3</v>
      </c>
      <c r="L984" s="0" t="n">
        <v>24.37</v>
      </c>
      <c r="M984" s="11" t="s">
        <v>1332</v>
      </c>
      <c r="N984" s="12" t="n">
        <f aca="false">INT(E984)</f>
        <v>45761</v>
      </c>
      <c r="O984" s="12" t="n">
        <f aca="false">IF(F984="","",INT(F984))</f>
        <v>45762</v>
      </c>
    </row>
    <row r="985" customFormat="false" ht="15" hidden="false" customHeight="false" outlineLevel="0" collapsed="false">
      <c r="A985" s="0" t="s">
        <v>2011</v>
      </c>
      <c r="B985" s="0" t="s">
        <v>2012</v>
      </c>
      <c r="C985" s="0" t="s">
        <v>19</v>
      </c>
      <c r="D985" s="0" t="s">
        <v>42</v>
      </c>
      <c r="E985" s="10" t="n">
        <v>45761.6034722222</v>
      </c>
      <c r="F985" s="10" t="n">
        <v>45762.1545601852</v>
      </c>
      <c r="G985" s="0" t="n">
        <v>235.56</v>
      </c>
      <c r="H985" s="0" t="n">
        <v>236.2</v>
      </c>
      <c r="I985" s="11" t="n">
        <f aca="false">H985-G985</f>
        <v>0.639999999999986</v>
      </c>
      <c r="J985" s="5" t="n">
        <f aca="false">IF(G985=0,"",I985/G985)</f>
        <v>0.00271692986924769</v>
      </c>
      <c r="K985" s="0" t="n">
        <v>41.8</v>
      </c>
      <c r="L985" s="0" t="n">
        <v>13.23</v>
      </c>
      <c r="M985" s="11" t="s">
        <v>1332</v>
      </c>
      <c r="N985" s="12" t="n">
        <f aca="false">INT(E985)</f>
        <v>45761</v>
      </c>
      <c r="O985" s="12" t="n">
        <f aca="false">IF(F985="","",INT(F985))</f>
        <v>45762</v>
      </c>
    </row>
    <row r="986" customFormat="false" ht="15" hidden="false" customHeight="false" outlineLevel="0" collapsed="false">
      <c r="A986" s="0" t="s">
        <v>2013</v>
      </c>
      <c r="B986" s="0" t="s">
        <v>2014</v>
      </c>
      <c r="C986" s="0" t="s">
        <v>21</v>
      </c>
      <c r="D986" s="0" t="s">
        <v>48</v>
      </c>
      <c r="E986" s="10" t="n">
        <v>45761.6138888889</v>
      </c>
      <c r="F986" s="10"/>
      <c r="G986" s="0" t="n">
        <v>307.69</v>
      </c>
      <c r="H986" s="0" t="n">
        <v>309.03</v>
      </c>
      <c r="I986" s="11" t="n">
        <f aca="false">H986-G986</f>
        <v>1.33999999999998</v>
      </c>
      <c r="J986" s="5" t="n">
        <f aca="false">IF(G986=0,"",I986/G986)</f>
        <v>0.00435503266274489</v>
      </c>
      <c r="K986" s="0" t="n">
        <v>52.6</v>
      </c>
      <c r="M986" s="11" t="s">
        <v>1332</v>
      </c>
      <c r="N986" s="12" t="n">
        <f aca="false">INT(E986)</f>
        <v>45761</v>
      </c>
      <c r="O986" s="12" t="str">
        <f aca="false">IF(F986="","",INT(F986))</f>
        <v/>
      </c>
    </row>
    <row r="987" customFormat="false" ht="15" hidden="false" customHeight="false" outlineLevel="0" collapsed="false">
      <c r="A987" s="0" t="s">
        <v>2015</v>
      </c>
      <c r="B987" s="0" t="s">
        <v>2016</v>
      </c>
      <c r="C987" s="0" t="s">
        <v>23</v>
      </c>
      <c r="D987" s="0" t="s">
        <v>42</v>
      </c>
      <c r="E987" s="10" t="n">
        <v>45761.6423611111</v>
      </c>
      <c r="F987" s="10" t="n">
        <v>45761.9472222222</v>
      </c>
      <c r="G987" s="0" t="n">
        <v>113.27</v>
      </c>
      <c r="H987" s="0" t="n">
        <v>106.09</v>
      </c>
      <c r="I987" s="11" t="n">
        <f aca="false">H987-G987</f>
        <v>-7.17999999999999</v>
      </c>
      <c r="J987" s="5" t="n">
        <f aca="false">IF(G987=0,"",I987/G987)</f>
        <v>-0.0633883640858126</v>
      </c>
      <c r="K987" s="0" t="n">
        <v>39.7</v>
      </c>
      <c r="L987" s="0" t="n">
        <v>7.32</v>
      </c>
      <c r="M987" s="11" t="s">
        <v>1332</v>
      </c>
      <c r="N987" s="12" t="n">
        <f aca="false">INT(E987)</f>
        <v>45761</v>
      </c>
      <c r="O987" s="12" t="n">
        <f aca="false">IF(F987="","",INT(F987))</f>
        <v>45761</v>
      </c>
    </row>
    <row r="988" customFormat="false" ht="15" hidden="false" customHeight="false" outlineLevel="0" collapsed="false">
      <c r="A988" s="0" t="s">
        <v>2017</v>
      </c>
      <c r="B988" s="0" t="s">
        <v>2018</v>
      </c>
      <c r="C988" s="0" t="s">
        <v>21</v>
      </c>
      <c r="D988" s="0" t="s">
        <v>42</v>
      </c>
      <c r="E988" s="10" t="n">
        <v>45761.7</v>
      </c>
      <c r="F988" s="10" t="n">
        <v>45763.2884143519</v>
      </c>
      <c r="G988" s="0" t="n">
        <v>1417.55</v>
      </c>
      <c r="H988" s="0" t="n">
        <v>1394.3</v>
      </c>
      <c r="I988" s="11" t="n">
        <f aca="false">H988-G988</f>
        <v>-23.25</v>
      </c>
      <c r="J988" s="5" t="n">
        <f aca="false">IF(G988=0,"",I988/G988)</f>
        <v>-0.0164015378646256</v>
      </c>
      <c r="K988" s="0" t="n">
        <v>262</v>
      </c>
      <c r="L988" s="0" t="n">
        <v>38.12</v>
      </c>
      <c r="M988" s="11" t="s">
        <v>1332</v>
      </c>
      <c r="N988" s="12" t="n">
        <f aca="false">INT(E988)</f>
        <v>45761</v>
      </c>
      <c r="O988" s="12" t="n">
        <f aca="false">IF(F988="","",INT(F988))</f>
        <v>45763</v>
      </c>
    </row>
    <row r="989" customFormat="false" ht="15" hidden="false" customHeight="false" outlineLevel="0" collapsed="false">
      <c r="A989" s="0" t="s">
        <v>2019</v>
      </c>
      <c r="B989" s="0" t="s">
        <v>2020</v>
      </c>
      <c r="C989" s="0" t="s">
        <v>23</v>
      </c>
      <c r="D989" s="0" t="s">
        <v>42</v>
      </c>
      <c r="E989" s="10" t="n">
        <v>45761.7034722222</v>
      </c>
      <c r="F989" s="10" t="n">
        <v>45763.9666666667</v>
      </c>
      <c r="G989" s="0" t="n">
        <v>805.86</v>
      </c>
      <c r="H989" s="0" t="n">
        <v>786.45</v>
      </c>
      <c r="I989" s="11" t="n">
        <f aca="false">H989-G989</f>
        <v>-19.41</v>
      </c>
      <c r="J989" s="5" t="n">
        <f aca="false">IF(G989=0,"",I989/G989)</f>
        <v>-0.024086069540615</v>
      </c>
      <c r="K989" s="0" t="n">
        <v>214.5</v>
      </c>
      <c r="L989" s="0" t="n">
        <v>54.32</v>
      </c>
      <c r="M989" s="11" t="s">
        <v>1332</v>
      </c>
      <c r="N989" s="12" t="n">
        <f aca="false">INT(E989)</f>
        <v>45761</v>
      </c>
      <c r="O989" s="12" t="n">
        <f aca="false">IF(F989="","",INT(F989))</f>
        <v>45763</v>
      </c>
    </row>
    <row r="990" customFormat="false" ht="15" hidden="false" customHeight="false" outlineLevel="0" collapsed="false">
      <c r="A990" s="0" t="s">
        <v>2021</v>
      </c>
      <c r="B990" s="0" t="s">
        <v>2022</v>
      </c>
      <c r="C990" s="0" t="s">
        <v>21</v>
      </c>
      <c r="D990" s="0" t="s">
        <v>42</v>
      </c>
      <c r="E990" s="10" t="n">
        <v>45761.7090277778</v>
      </c>
      <c r="F990" s="10" t="n">
        <v>45762.5401967593</v>
      </c>
      <c r="G990" s="0" t="n">
        <v>361.24</v>
      </c>
      <c r="H990" s="0" t="n">
        <v>360.13</v>
      </c>
      <c r="I990" s="11" t="n">
        <f aca="false">H990-G990</f>
        <v>-1.11000000000001</v>
      </c>
      <c r="J990" s="5" t="n">
        <f aca="false">IF(G990=0,"",I990/G990)</f>
        <v>-0.00307274941866907</v>
      </c>
      <c r="K990" s="0" t="n">
        <v>69.9</v>
      </c>
      <c r="L990" s="0" t="n">
        <v>19.95</v>
      </c>
      <c r="M990" s="11" t="s">
        <v>1332</v>
      </c>
      <c r="N990" s="12" t="n">
        <f aca="false">INT(E990)</f>
        <v>45761</v>
      </c>
      <c r="O990" s="12" t="n">
        <f aca="false">IF(F990="","",INT(F990))</f>
        <v>45762</v>
      </c>
    </row>
    <row r="991" customFormat="false" ht="15" hidden="false" customHeight="false" outlineLevel="0" collapsed="false">
      <c r="A991" s="0" t="s">
        <v>2023</v>
      </c>
      <c r="B991" s="0" t="s">
        <v>2024</v>
      </c>
      <c r="C991" s="0" t="s">
        <v>21</v>
      </c>
      <c r="D991" s="0" t="s">
        <v>42</v>
      </c>
      <c r="E991" s="10" t="n">
        <v>45761.7145833333</v>
      </c>
      <c r="F991" s="10" t="n">
        <v>45762.7041666667</v>
      </c>
      <c r="G991" s="0" t="n">
        <v>1787.75</v>
      </c>
      <c r="H991" s="0" t="n">
        <v>1845.19</v>
      </c>
      <c r="I991" s="11" t="n">
        <f aca="false">H991-G991</f>
        <v>57.4400000000001</v>
      </c>
      <c r="J991" s="5" t="n">
        <f aca="false">IF(G991=0,"",I991/G991)</f>
        <v>0.0321297720598518</v>
      </c>
      <c r="K991" s="0" t="n">
        <v>313.6</v>
      </c>
      <c r="L991" s="0" t="n">
        <v>23.75</v>
      </c>
      <c r="M991" s="11" t="s">
        <v>1332</v>
      </c>
      <c r="N991" s="12" t="n">
        <f aca="false">INT(E991)</f>
        <v>45761</v>
      </c>
      <c r="O991" s="12" t="n">
        <f aca="false">IF(F991="","",INT(F991))</f>
        <v>45762</v>
      </c>
    </row>
    <row r="992" customFormat="false" ht="15" hidden="false" customHeight="false" outlineLevel="0" collapsed="false">
      <c r="A992" s="0" t="s">
        <v>2025</v>
      </c>
      <c r="B992" s="0" t="s">
        <v>2026</v>
      </c>
      <c r="C992" s="0" t="s">
        <v>23</v>
      </c>
      <c r="D992" s="0" t="s">
        <v>42</v>
      </c>
      <c r="E992" s="10" t="n">
        <v>45761.7534722222</v>
      </c>
      <c r="F992" s="10" t="n">
        <v>45763.6466319444</v>
      </c>
      <c r="G992" s="0" t="n">
        <v>308.2</v>
      </c>
      <c r="H992" s="0" t="n">
        <v>304.99</v>
      </c>
      <c r="I992" s="11" t="n">
        <f aca="false">H992-G992</f>
        <v>-3.20999999999998</v>
      </c>
      <c r="J992" s="5" t="n">
        <f aca="false">IF(G992=0,"",I992/G992)</f>
        <v>-0.0104153147306943</v>
      </c>
      <c r="K992" s="0" t="n">
        <v>107.8</v>
      </c>
      <c r="L992" s="0" t="n">
        <v>45.44</v>
      </c>
      <c r="M992" s="11" t="s">
        <v>1332</v>
      </c>
      <c r="N992" s="12" t="n">
        <f aca="false">INT(E992)</f>
        <v>45761</v>
      </c>
      <c r="O992" s="12" t="n">
        <f aca="false">IF(F992="","",INT(F992))</f>
        <v>45763</v>
      </c>
    </row>
    <row r="993" customFormat="false" ht="15" hidden="false" customHeight="false" outlineLevel="0" collapsed="false">
      <c r="A993" s="0" t="s">
        <v>2027</v>
      </c>
      <c r="B993" s="0" t="s">
        <v>2028</v>
      </c>
      <c r="C993" s="0" t="s">
        <v>20</v>
      </c>
      <c r="D993" s="0" t="s">
        <v>42</v>
      </c>
      <c r="E993" s="10" t="n">
        <v>45761.7645833333</v>
      </c>
      <c r="F993" s="10" t="n">
        <v>45764.33125</v>
      </c>
      <c r="G993" s="0" t="n">
        <v>194.65</v>
      </c>
      <c r="H993" s="0" t="n">
        <v>200.91</v>
      </c>
      <c r="I993" s="11" t="n">
        <f aca="false">H993-G993</f>
        <v>6.25999999999999</v>
      </c>
      <c r="J993" s="5" t="n">
        <f aca="false">IF(G993=0,"",I993/G993)</f>
        <v>0.0321602876958643</v>
      </c>
      <c r="K993" s="0" t="n">
        <v>25.1</v>
      </c>
      <c r="L993" s="0" t="n">
        <v>61.6</v>
      </c>
      <c r="M993" s="11" t="s">
        <v>1332</v>
      </c>
      <c r="N993" s="12" t="n">
        <f aca="false">INT(E993)</f>
        <v>45761</v>
      </c>
      <c r="O993" s="12" t="n">
        <f aca="false">IF(F993="","",INT(F993))</f>
        <v>45764</v>
      </c>
    </row>
    <row r="994" customFormat="false" ht="15" hidden="false" customHeight="false" outlineLevel="0" collapsed="false">
      <c r="A994" s="0" t="s">
        <v>2029</v>
      </c>
      <c r="B994" s="0" t="s">
        <v>2030</v>
      </c>
      <c r="C994" s="0" t="s">
        <v>22</v>
      </c>
      <c r="D994" s="0" t="s">
        <v>48</v>
      </c>
      <c r="E994" s="10" t="n">
        <v>45762.3006944444</v>
      </c>
      <c r="F994" s="10"/>
      <c r="G994" s="0" t="n">
        <v>508.87</v>
      </c>
      <c r="H994" s="0" t="n">
        <v>499.76</v>
      </c>
      <c r="I994" s="11" t="n">
        <f aca="false">H994-G994</f>
        <v>-9.11000000000001</v>
      </c>
      <c r="J994" s="5" t="n">
        <f aca="false">IF(G994=0,"",I994/G994)</f>
        <v>-0.0179024112248708</v>
      </c>
      <c r="K994" s="0" t="n">
        <v>57.1</v>
      </c>
      <c r="M994" s="11" t="s">
        <v>1332</v>
      </c>
      <c r="N994" s="12" t="n">
        <f aca="false">INT(E994)</f>
        <v>45762</v>
      </c>
      <c r="O994" s="12" t="str">
        <f aca="false">IF(F994="","",INT(F994))</f>
        <v/>
      </c>
    </row>
    <row r="995" customFormat="false" ht="15" hidden="false" customHeight="false" outlineLevel="0" collapsed="false">
      <c r="A995" s="0" t="s">
        <v>2031</v>
      </c>
      <c r="B995" s="0" t="s">
        <v>2032</v>
      </c>
      <c r="C995" s="0" t="s">
        <v>23</v>
      </c>
      <c r="D995" s="0" t="s">
        <v>42</v>
      </c>
      <c r="E995" s="10" t="n">
        <v>45762.3194444445</v>
      </c>
      <c r="F995" s="10" t="n">
        <v>45763.2627199074</v>
      </c>
      <c r="G995" s="0" t="n">
        <v>1617.61</v>
      </c>
      <c r="H995" s="0" t="n">
        <v>1580.14</v>
      </c>
      <c r="I995" s="11" t="n">
        <f aca="false">H995-G995</f>
        <v>-37.4699999999998</v>
      </c>
      <c r="J995" s="5" t="n">
        <f aca="false">IF(G995=0,"",I995/G995)</f>
        <v>-0.0231638033889502</v>
      </c>
      <c r="K995" s="0" t="n">
        <v>413.1</v>
      </c>
      <c r="L995" s="0" t="n">
        <v>22.64</v>
      </c>
      <c r="M995" s="11" t="s">
        <v>1332</v>
      </c>
      <c r="N995" s="12" t="n">
        <f aca="false">INT(E995)</f>
        <v>45762</v>
      </c>
      <c r="O995" s="12" t="n">
        <f aca="false">IF(F995="","",INT(F995))</f>
        <v>45763</v>
      </c>
    </row>
    <row r="996" customFormat="false" ht="15" hidden="false" customHeight="false" outlineLevel="0" collapsed="false">
      <c r="A996" s="0" t="s">
        <v>2033</v>
      </c>
      <c r="B996" s="0" t="s">
        <v>2034</v>
      </c>
      <c r="C996" s="0" t="s">
        <v>22</v>
      </c>
      <c r="D996" s="0" t="s">
        <v>42</v>
      </c>
      <c r="E996" s="10" t="n">
        <v>45762.3222222222</v>
      </c>
      <c r="F996" s="10" t="n">
        <v>45762.8576388889</v>
      </c>
      <c r="G996" s="0" t="n">
        <v>1083.44</v>
      </c>
      <c r="H996" s="0" t="n">
        <v>1093.98</v>
      </c>
      <c r="I996" s="11" t="n">
        <f aca="false">H996-G996</f>
        <v>10.54</v>
      </c>
      <c r="J996" s="5" t="n">
        <f aca="false">IF(G996=0,"",I996/G996)</f>
        <v>0.00972827290851359</v>
      </c>
      <c r="K996" s="0" t="n">
        <v>162.1</v>
      </c>
      <c r="L996" s="0" t="n">
        <v>12.85</v>
      </c>
      <c r="M996" s="11" t="s">
        <v>1332</v>
      </c>
      <c r="N996" s="12" t="n">
        <f aca="false">INT(E996)</f>
        <v>45762</v>
      </c>
      <c r="O996" s="12" t="n">
        <f aca="false">IF(F996="","",INT(F996))</f>
        <v>45762</v>
      </c>
    </row>
    <row r="997" customFormat="false" ht="15" hidden="false" customHeight="false" outlineLevel="0" collapsed="false">
      <c r="A997" s="0" t="s">
        <v>2035</v>
      </c>
      <c r="B997" s="0" t="s">
        <v>2036</v>
      </c>
      <c r="C997" s="0" t="s">
        <v>23</v>
      </c>
      <c r="D997" s="0" t="s">
        <v>42</v>
      </c>
      <c r="E997" s="10" t="n">
        <v>45762.34375</v>
      </c>
      <c r="F997" s="10" t="n">
        <v>45763.9875</v>
      </c>
      <c r="G997" s="0" t="n">
        <v>636.71</v>
      </c>
      <c r="H997" s="0" t="n">
        <v>634.25</v>
      </c>
      <c r="I997" s="11" t="n">
        <f aca="false">H997-G997</f>
        <v>-2.46000000000004</v>
      </c>
      <c r="J997" s="5" t="n">
        <f aca="false">IF(G997=0,"",I997/G997)</f>
        <v>-0.00386361137723616</v>
      </c>
      <c r="K997" s="0" t="n">
        <v>258.8</v>
      </c>
      <c r="L997" s="0" t="n">
        <v>39.45</v>
      </c>
      <c r="M997" s="11" t="s">
        <v>1332</v>
      </c>
      <c r="N997" s="12" t="n">
        <f aca="false">INT(E997)</f>
        <v>45762</v>
      </c>
      <c r="O997" s="12" t="n">
        <f aca="false">IF(F997="","",INT(F997))</f>
        <v>45763</v>
      </c>
    </row>
    <row r="998" customFormat="false" ht="15" hidden="false" customHeight="false" outlineLevel="0" collapsed="false">
      <c r="A998" s="0" t="s">
        <v>2037</v>
      </c>
      <c r="B998" s="0" t="s">
        <v>2038</v>
      </c>
      <c r="C998" s="0" t="s">
        <v>23</v>
      </c>
      <c r="D998" s="0" t="s">
        <v>42</v>
      </c>
      <c r="E998" s="10" t="n">
        <v>45762.35</v>
      </c>
      <c r="F998" s="10" t="n">
        <v>45767.0680555556</v>
      </c>
      <c r="G998" s="0" t="n">
        <v>526.68</v>
      </c>
      <c r="H998" s="0" t="n">
        <v>401.24</v>
      </c>
      <c r="I998" s="11" t="n">
        <f aca="false">H998-G998</f>
        <v>-125.44</v>
      </c>
      <c r="J998" s="5" t="n">
        <f aca="false">IF(G998=0,"",I998/G998)</f>
        <v>-0.238171185539607</v>
      </c>
      <c r="K998" s="0" t="n">
        <v>215.9</v>
      </c>
      <c r="L998" s="0" t="n">
        <v>87.6</v>
      </c>
      <c r="M998" s="11" t="s">
        <v>1332</v>
      </c>
      <c r="N998" s="12" t="n">
        <f aca="false">INT(E998)</f>
        <v>45762</v>
      </c>
      <c r="O998" s="12" t="n">
        <f aca="false">IF(F998="","",INT(F998))</f>
        <v>45767</v>
      </c>
    </row>
    <row r="999" customFormat="false" ht="15" hidden="false" customHeight="false" outlineLevel="0" collapsed="false">
      <c r="A999" s="0" t="s">
        <v>2039</v>
      </c>
      <c r="B999" s="0" t="s">
        <v>2040</v>
      </c>
      <c r="C999" s="0" t="s">
        <v>19</v>
      </c>
      <c r="D999" s="0" t="s">
        <v>42</v>
      </c>
      <c r="E999" s="10" t="n">
        <v>45762.3680555556</v>
      </c>
      <c r="F999" s="10" t="n">
        <v>45763.9138888889</v>
      </c>
      <c r="G999" s="0" t="n">
        <v>274.25</v>
      </c>
      <c r="H999" s="0" t="n">
        <v>276.61</v>
      </c>
      <c r="I999" s="11" t="n">
        <f aca="false">H999-G999</f>
        <v>2.36000000000001</v>
      </c>
      <c r="J999" s="5" t="n">
        <f aca="false">IF(G999=0,"",I999/G999)</f>
        <v>0.00860528714676395</v>
      </c>
      <c r="K999" s="0" t="n">
        <v>53.2</v>
      </c>
      <c r="L999" s="0" t="n">
        <v>37.1</v>
      </c>
      <c r="M999" s="11" t="s">
        <v>1332</v>
      </c>
      <c r="N999" s="12" t="n">
        <f aca="false">INT(E999)</f>
        <v>45762</v>
      </c>
      <c r="O999" s="12" t="n">
        <f aca="false">IF(F999="","",INT(F999))</f>
        <v>45763</v>
      </c>
    </row>
    <row r="1000" customFormat="false" ht="15" hidden="false" customHeight="false" outlineLevel="0" collapsed="false">
      <c r="A1000" s="0" t="s">
        <v>2041</v>
      </c>
      <c r="B1000" s="0" t="s">
        <v>2042</v>
      </c>
      <c r="C1000" s="0" t="s">
        <v>19</v>
      </c>
      <c r="D1000" s="0" t="s">
        <v>42</v>
      </c>
      <c r="E1000" s="10" t="n">
        <v>45762.3701388889</v>
      </c>
      <c r="F1000" s="10" t="n">
        <v>45762.7707638889</v>
      </c>
      <c r="G1000" s="0" t="n">
        <v>352.49</v>
      </c>
      <c r="H1000" s="0" t="n">
        <v>352.42</v>
      </c>
      <c r="I1000" s="11" t="n">
        <f aca="false">H1000-G1000</f>
        <v>-0.0699999999999932</v>
      </c>
      <c r="J1000" s="5" t="n">
        <f aca="false">IF(G1000=0,"",I1000/G1000)</f>
        <v>-0.00019858719396293</v>
      </c>
      <c r="K1000" s="0" t="n">
        <v>67.2</v>
      </c>
      <c r="L1000" s="0" t="n">
        <v>9.62</v>
      </c>
      <c r="M1000" s="11" t="s">
        <v>1332</v>
      </c>
      <c r="N1000" s="12" t="n">
        <f aca="false">INT(E1000)</f>
        <v>45762</v>
      </c>
      <c r="O1000" s="12" t="n">
        <f aca="false">IF(F1000="","",INT(F1000))</f>
        <v>45762</v>
      </c>
    </row>
    <row r="1001" customFormat="false" ht="15" hidden="false" customHeight="false" outlineLevel="0" collapsed="false">
      <c r="A1001" s="0" t="s">
        <v>2043</v>
      </c>
      <c r="B1001" s="0" t="s">
        <v>2044</v>
      </c>
      <c r="C1001" s="0" t="s">
        <v>21</v>
      </c>
      <c r="D1001" s="0" t="s">
        <v>42</v>
      </c>
      <c r="E1001" s="10" t="n">
        <v>45762.3701388889</v>
      </c>
      <c r="F1001" s="10" t="n">
        <v>45762.8965277778</v>
      </c>
      <c r="G1001" s="0" t="n">
        <v>1552.53</v>
      </c>
      <c r="H1001" s="0" t="n">
        <v>1551.8</v>
      </c>
      <c r="I1001" s="11" t="n">
        <f aca="false">H1001-G1001</f>
        <v>-0.730000000000018</v>
      </c>
      <c r="J1001" s="5" t="n">
        <f aca="false">IF(G1001=0,"",I1001/G1001)</f>
        <v>-0.000470200253779327</v>
      </c>
      <c r="K1001" s="0" t="n">
        <v>401.1</v>
      </c>
      <c r="L1001" s="0" t="n">
        <v>12.63</v>
      </c>
      <c r="M1001" s="11" t="s">
        <v>1332</v>
      </c>
      <c r="N1001" s="12" t="n">
        <f aca="false">INT(E1001)</f>
        <v>45762</v>
      </c>
      <c r="O1001" s="12" t="n">
        <f aca="false">IF(F1001="","",INT(F1001))</f>
        <v>45762</v>
      </c>
    </row>
    <row r="1002" customFormat="false" ht="15" hidden="false" customHeight="false" outlineLevel="0" collapsed="false">
      <c r="A1002" s="0" t="s">
        <v>2045</v>
      </c>
      <c r="B1002" s="0" t="s">
        <v>2046</v>
      </c>
      <c r="C1002" s="0" t="s">
        <v>23</v>
      </c>
      <c r="D1002" s="0" t="s">
        <v>42</v>
      </c>
      <c r="E1002" s="10" t="n">
        <v>45762.3708333333</v>
      </c>
      <c r="F1002" s="10" t="n">
        <v>45763.4944791667</v>
      </c>
      <c r="G1002" s="0" t="n">
        <v>299.52</v>
      </c>
      <c r="H1002" s="0" t="n">
        <v>308.42</v>
      </c>
      <c r="I1002" s="11" t="n">
        <f aca="false">H1002-G1002</f>
        <v>8.90000000000003</v>
      </c>
      <c r="J1002" s="5" t="n">
        <f aca="false">IF(G1002=0,"",I1002/G1002)</f>
        <v>0.0297142094017095</v>
      </c>
      <c r="K1002" s="0" t="n">
        <v>100.4</v>
      </c>
      <c r="L1002" s="0" t="n">
        <v>26.97</v>
      </c>
      <c r="M1002" s="11" t="s">
        <v>1332</v>
      </c>
      <c r="N1002" s="12" t="n">
        <f aca="false">INT(E1002)</f>
        <v>45762</v>
      </c>
      <c r="O1002" s="12" t="n">
        <f aca="false">IF(F1002="","",INT(F1002))</f>
        <v>45763</v>
      </c>
    </row>
    <row r="1003" customFormat="false" ht="15" hidden="false" customHeight="false" outlineLevel="0" collapsed="false">
      <c r="A1003" s="0" t="s">
        <v>2047</v>
      </c>
      <c r="B1003" s="0" t="s">
        <v>2048</v>
      </c>
      <c r="C1003" s="0" t="s">
        <v>20</v>
      </c>
      <c r="D1003" s="0" t="s">
        <v>42</v>
      </c>
      <c r="E1003" s="10" t="n">
        <v>45762.4048611111</v>
      </c>
      <c r="F1003" s="10" t="n">
        <v>45763.2617476852</v>
      </c>
      <c r="G1003" s="0" t="n">
        <v>375.74</v>
      </c>
      <c r="H1003" s="0" t="n">
        <v>383.48</v>
      </c>
      <c r="I1003" s="11" t="n">
        <f aca="false">H1003-G1003</f>
        <v>7.74000000000001</v>
      </c>
      <c r="J1003" s="5" t="n">
        <f aca="false">IF(G1003=0,"",I1003/G1003)</f>
        <v>0.0205993506147868</v>
      </c>
      <c r="K1003" s="0" t="n">
        <v>77.3</v>
      </c>
      <c r="L1003" s="0" t="n">
        <v>20.57</v>
      </c>
      <c r="M1003" s="11" t="s">
        <v>1332</v>
      </c>
      <c r="N1003" s="12" t="n">
        <f aca="false">INT(E1003)</f>
        <v>45762</v>
      </c>
      <c r="O1003" s="12" t="n">
        <f aca="false">IF(F1003="","",INT(F1003))</f>
        <v>45763</v>
      </c>
    </row>
    <row r="1004" customFormat="false" ht="15" hidden="false" customHeight="false" outlineLevel="0" collapsed="false">
      <c r="A1004" s="0" t="s">
        <v>2049</v>
      </c>
      <c r="B1004" s="0" t="s">
        <v>2050</v>
      </c>
      <c r="C1004" s="0" t="s">
        <v>19</v>
      </c>
      <c r="D1004" s="0" t="s">
        <v>42</v>
      </c>
      <c r="E1004" s="10" t="n">
        <v>45762.4576388889</v>
      </c>
      <c r="F1004" s="10" t="n">
        <v>45763.4506944444</v>
      </c>
      <c r="G1004" s="0" t="n">
        <v>472.38</v>
      </c>
      <c r="H1004" s="0" t="n">
        <v>458.94</v>
      </c>
      <c r="I1004" s="11" t="n">
        <f aca="false">H1004-G1004</f>
        <v>-13.44</v>
      </c>
      <c r="J1004" s="5" t="n">
        <f aca="false">IF(G1004=0,"",I1004/G1004)</f>
        <v>-0.0284516702654642</v>
      </c>
      <c r="K1004" s="0" t="n">
        <v>54.1</v>
      </c>
      <c r="L1004" s="0" t="n">
        <v>23.83</v>
      </c>
      <c r="M1004" s="11" t="s">
        <v>1332</v>
      </c>
      <c r="N1004" s="12" t="n">
        <f aca="false">INT(E1004)</f>
        <v>45762</v>
      </c>
      <c r="O1004" s="12" t="n">
        <f aca="false">IF(F1004="","",INT(F1004))</f>
        <v>45763</v>
      </c>
    </row>
    <row r="1005" customFormat="false" ht="15" hidden="false" customHeight="false" outlineLevel="0" collapsed="false">
      <c r="A1005" s="0" t="s">
        <v>2051</v>
      </c>
      <c r="B1005" s="0" t="s">
        <v>2052</v>
      </c>
      <c r="C1005" s="0" t="s">
        <v>20</v>
      </c>
      <c r="D1005" s="0" t="s">
        <v>42</v>
      </c>
      <c r="E1005" s="10" t="n">
        <v>45762.4701388889</v>
      </c>
      <c r="F1005" s="10" t="n">
        <v>45764.3551388889</v>
      </c>
      <c r="G1005" s="0" t="n">
        <v>104.44</v>
      </c>
      <c r="H1005" s="0" t="n">
        <v>104.4</v>
      </c>
      <c r="I1005" s="11" t="n">
        <f aca="false">H1005-G1005</f>
        <v>-0.039999999999992</v>
      </c>
      <c r="J1005" s="5" t="n">
        <f aca="false">IF(G1005=0,"",I1005/G1005)</f>
        <v>-0.00038299502106465</v>
      </c>
      <c r="K1005" s="0" t="n">
        <v>12.6</v>
      </c>
      <c r="L1005" s="0" t="n">
        <v>45.24</v>
      </c>
      <c r="M1005" s="11" t="s">
        <v>1332</v>
      </c>
      <c r="N1005" s="12" t="n">
        <f aca="false">INT(E1005)</f>
        <v>45762</v>
      </c>
      <c r="O1005" s="12" t="n">
        <f aca="false">IF(F1005="","",INT(F1005))</f>
        <v>45764</v>
      </c>
    </row>
    <row r="1006" customFormat="false" ht="15" hidden="false" customHeight="false" outlineLevel="0" collapsed="false">
      <c r="A1006" s="0" t="s">
        <v>2053</v>
      </c>
      <c r="B1006" s="0" t="s">
        <v>2054</v>
      </c>
      <c r="C1006" s="0" t="s">
        <v>22</v>
      </c>
      <c r="D1006" s="0" t="s">
        <v>42</v>
      </c>
      <c r="E1006" s="10" t="n">
        <v>45762.49375</v>
      </c>
      <c r="F1006" s="10" t="n">
        <v>45762.8355439815</v>
      </c>
      <c r="G1006" s="0" t="n">
        <v>405.06</v>
      </c>
      <c r="H1006" s="0" t="n">
        <v>406.28</v>
      </c>
      <c r="I1006" s="11" t="n">
        <f aca="false">H1006-G1006</f>
        <v>1.21999999999997</v>
      </c>
      <c r="J1006" s="5" t="n">
        <f aca="false">IF(G1006=0,"",I1006/G1006)</f>
        <v>0.00301189947168313</v>
      </c>
      <c r="K1006" s="0" t="n">
        <v>53.1</v>
      </c>
      <c r="L1006" s="0" t="n">
        <v>8.2</v>
      </c>
      <c r="M1006" s="11" t="s">
        <v>1332</v>
      </c>
      <c r="N1006" s="12" t="n">
        <f aca="false">INT(E1006)</f>
        <v>45762</v>
      </c>
      <c r="O1006" s="12" t="n">
        <f aca="false">IF(F1006="","",INT(F1006))</f>
        <v>45762</v>
      </c>
    </row>
    <row r="1007" customFormat="false" ht="15" hidden="false" customHeight="false" outlineLevel="0" collapsed="false">
      <c r="A1007" s="0" t="s">
        <v>2055</v>
      </c>
      <c r="B1007" s="0" t="s">
        <v>2056</v>
      </c>
      <c r="C1007" s="0" t="s">
        <v>23</v>
      </c>
      <c r="D1007" s="0" t="s">
        <v>42</v>
      </c>
      <c r="E1007" s="10" t="n">
        <v>45762.4993055556</v>
      </c>
      <c r="F1007" s="10" t="n">
        <v>45763.2229166667</v>
      </c>
      <c r="G1007" s="0" t="n">
        <v>1014.82</v>
      </c>
      <c r="H1007" s="0" t="n">
        <v>1011.76</v>
      </c>
      <c r="I1007" s="11" t="n">
        <f aca="false">H1007-G1007</f>
        <v>-3.06000000000006</v>
      </c>
      <c r="J1007" s="5" t="n">
        <f aca="false">IF(G1007=0,"",I1007/G1007)</f>
        <v>-0.00301531306044428</v>
      </c>
      <c r="K1007" s="0" t="n">
        <v>243.9</v>
      </c>
      <c r="L1007" s="0" t="n">
        <v>17.37</v>
      </c>
      <c r="M1007" s="11" t="s">
        <v>1332</v>
      </c>
      <c r="N1007" s="12" t="n">
        <f aca="false">INT(E1007)</f>
        <v>45762</v>
      </c>
      <c r="O1007" s="12" t="n">
        <f aca="false">IF(F1007="","",INT(F1007))</f>
        <v>45763</v>
      </c>
    </row>
    <row r="1008" customFormat="false" ht="15" hidden="false" customHeight="false" outlineLevel="0" collapsed="false">
      <c r="A1008" s="0" t="s">
        <v>2057</v>
      </c>
      <c r="B1008" s="0" t="s">
        <v>2058</v>
      </c>
      <c r="C1008" s="0" t="s">
        <v>23</v>
      </c>
      <c r="D1008" s="0" t="s">
        <v>42</v>
      </c>
      <c r="E1008" s="10" t="n">
        <v>45762.5006944445</v>
      </c>
      <c r="F1008" s="10" t="n">
        <v>45764.1297337963</v>
      </c>
      <c r="G1008" s="0" t="n">
        <v>428.02</v>
      </c>
      <c r="H1008" s="0" t="n">
        <v>423.4</v>
      </c>
      <c r="I1008" s="11" t="n">
        <f aca="false">H1008-G1008</f>
        <v>-4.62</v>
      </c>
      <c r="J1008" s="5" t="n">
        <f aca="false">IF(G1008=0,"",I1008/G1008)</f>
        <v>-0.0107938881360684</v>
      </c>
      <c r="K1008" s="0" t="n">
        <v>127</v>
      </c>
      <c r="L1008" s="0" t="n">
        <v>39.1</v>
      </c>
      <c r="M1008" s="11" t="s">
        <v>1332</v>
      </c>
      <c r="N1008" s="12" t="n">
        <f aca="false">INT(E1008)</f>
        <v>45762</v>
      </c>
      <c r="O1008" s="12" t="n">
        <f aca="false">IF(F1008="","",INT(F1008))</f>
        <v>45764</v>
      </c>
    </row>
    <row r="1009" customFormat="false" ht="15" hidden="false" customHeight="false" outlineLevel="0" collapsed="false">
      <c r="A1009" s="0" t="s">
        <v>2059</v>
      </c>
      <c r="B1009" s="0" t="s">
        <v>2060</v>
      </c>
      <c r="C1009" s="0" t="s">
        <v>23</v>
      </c>
      <c r="D1009" s="0" t="s">
        <v>42</v>
      </c>
      <c r="E1009" s="10" t="n">
        <v>45762.5034722222</v>
      </c>
      <c r="F1009" s="10" t="n">
        <v>45763.6402777778</v>
      </c>
      <c r="G1009" s="0" t="n">
        <v>398.21</v>
      </c>
      <c r="H1009" s="0" t="n">
        <v>393.62</v>
      </c>
      <c r="I1009" s="11" t="n">
        <f aca="false">H1009-G1009</f>
        <v>-4.58999999999998</v>
      </c>
      <c r="J1009" s="5" t="n">
        <f aca="false">IF(G1009=0,"",I1009/G1009)</f>
        <v>-0.0115265814519976</v>
      </c>
      <c r="K1009" s="0" t="n">
        <v>137.2</v>
      </c>
      <c r="L1009" s="0" t="n">
        <v>27.28</v>
      </c>
      <c r="M1009" s="11" t="s">
        <v>1332</v>
      </c>
      <c r="N1009" s="12" t="n">
        <f aca="false">INT(E1009)</f>
        <v>45762</v>
      </c>
      <c r="O1009" s="12" t="n">
        <f aca="false">IF(F1009="","",INT(F1009))</f>
        <v>45763</v>
      </c>
    </row>
    <row r="1010" customFormat="false" ht="15" hidden="false" customHeight="false" outlineLevel="0" collapsed="false">
      <c r="A1010" s="0" t="s">
        <v>2061</v>
      </c>
      <c r="B1010" s="0" t="s">
        <v>2062</v>
      </c>
      <c r="C1010" s="0" t="s">
        <v>19</v>
      </c>
      <c r="D1010" s="0" t="s">
        <v>42</v>
      </c>
      <c r="E1010" s="10" t="n">
        <v>45762.5034722222</v>
      </c>
      <c r="F1010" s="10" t="n">
        <v>45763.0299884259</v>
      </c>
      <c r="G1010" s="0" t="n">
        <v>318.19</v>
      </c>
      <c r="H1010" s="0" t="n">
        <v>325.7</v>
      </c>
      <c r="I1010" s="11" t="n">
        <f aca="false">H1010-G1010</f>
        <v>7.50999999999999</v>
      </c>
      <c r="J1010" s="5" t="n">
        <f aca="false">IF(G1010=0,"",I1010/G1010)</f>
        <v>0.0236022502278513</v>
      </c>
      <c r="K1010" s="0" t="n">
        <v>43.1</v>
      </c>
      <c r="L1010" s="0" t="n">
        <v>12.64</v>
      </c>
      <c r="M1010" s="11" t="s">
        <v>1332</v>
      </c>
      <c r="N1010" s="12" t="n">
        <f aca="false">INT(E1010)</f>
        <v>45762</v>
      </c>
      <c r="O1010" s="12" t="n">
        <f aca="false">IF(F1010="","",INT(F1010))</f>
        <v>45763</v>
      </c>
    </row>
    <row r="1011" customFormat="false" ht="15" hidden="false" customHeight="false" outlineLevel="0" collapsed="false">
      <c r="A1011" s="0" t="s">
        <v>2063</v>
      </c>
      <c r="B1011" s="0" t="s">
        <v>2064</v>
      </c>
      <c r="C1011" s="0" t="s">
        <v>23</v>
      </c>
      <c r="D1011" s="0" t="s">
        <v>42</v>
      </c>
      <c r="E1011" s="10" t="n">
        <v>45762.525</v>
      </c>
      <c r="F1011" s="10" t="n">
        <v>45763.2135763889</v>
      </c>
      <c r="G1011" s="0" t="n">
        <v>389.61</v>
      </c>
      <c r="H1011" s="0" t="n">
        <v>392.4</v>
      </c>
      <c r="I1011" s="11" t="n">
        <f aca="false">H1011-G1011</f>
        <v>2.78999999999996</v>
      </c>
      <c r="J1011" s="5" t="n">
        <f aca="false">IF(G1011=0,"",I1011/G1011)</f>
        <v>0.00716100716100707</v>
      </c>
      <c r="K1011" s="0" t="n">
        <v>173.7</v>
      </c>
      <c r="L1011" s="0" t="n">
        <v>16.53</v>
      </c>
      <c r="M1011" s="11" t="s">
        <v>1332</v>
      </c>
      <c r="N1011" s="12" t="n">
        <f aca="false">INT(E1011)</f>
        <v>45762</v>
      </c>
      <c r="O1011" s="12" t="n">
        <f aca="false">IF(F1011="","",INT(F1011))</f>
        <v>45763</v>
      </c>
    </row>
    <row r="1012" customFormat="false" ht="15" hidden="false" customHeight="false" outlineLevel="0" collapsed="false">
      <c r="A1012" s="0" t="s">
        <v>2065</v>
      </c>
      <c r="B1012" s="0" t="s">
        <v>2066</v>
      </c>
      <c r="C1012" s="0" t="s">
        <v>23</v>
      </c>
      <c r="D1012" s="0" t="s">
        <v>42</v>
      </c>
      <c r="E1012" s="10" t="n">
        <v>45762.5277777778</v>
      </c>
      <c r="F1012" s="10" t="n">
        <v>45763.5798611111</v>
      </c>
      <c r="G1012" s="0" t="n">
        <v>742.55</v>
      </c>
      <c r="H1012" s="0" t="n">
        <v>753.41</v>
      </c>
      <c r="I1012" s="11" t="n">
        <f aca="false">H1012-G1012</f>
        <v>10.86</v>
      </c>
      <c r="J1012" s="5" t="n">
        <f aca="false">IF(G1012=0,"",I1012/G1012)</f>
        <v>0.0146252777590735</v>
      </c>
      <c r="K1012" s="0" t="n">
        <v>290.3</v>
      </c>
      <c r="L1012" s="0" t="n">
        <v>25.25</v>
      </c>
      <c r="M1012" s="11" t="s">
        <v>1332</v>
      </c>
      <c r="N1012" s="12" t="n">
        <f aca="false">INT(E1012)</f>
        <v>45762</v>
      </c>
      <c r="O1012" s="12" t="n">
        <f aca="false">IF(F1012="","",INT(F1012))</f>
        <v>45763</v>
      </c>
    </row>
    <row r="1013" customFormat="false" ht="15" hidden="false" customHeight="false" outlineLevel="0" collapsed="false">
      <c r="A1013" s="0" t="s">
        <v>2067</v>
      </c>
      <c r="B1013" s="0" t="s">
        <v>2068</v>
      </c>
      <c r="C1013" s="0" t="s">
        <v>20</v>
      </c>
      <c r="D1013" s="0" t="s">
        <v>42</v>
      </c>
      <c r="E1013" s="10" t="n">
        <v>45762.5284722222</v>
      </c>
      <c r="F1013" s="10" t="n">
        <v>45763.95</v>
      </c>
      <c r="G1013" s="0" t="n">
        <v>738.93</v>
      </c>
      <c r="H1013" s="0" t="n">
        <v>741.19</v>
      </c>
      <c r="I1013" s="11" t="n">
        <f aca="false">H1013-G1013</f>
        <v>2.2600000000001</v>
      </c>
      <c r="J1013" s="5" t="n">
        <f aca="false">IF(G1013=0,"",I1013/G1013)</f>
        <v>0.00305847644567159</v>
      </c>
      <c r="K1013" s="0" t="n">
        <v>139.7</v>
      </c>
      <c r="L1013" s="0" t="n">
        <v>34.12</v>
      </c>
      <c r="M1013" s="11" t="s">
        <v>1332</v>
      </c>
      <c r="N1013" s="12" t="n">
        <f aca="false">INT(E1013)</f>
        <v>45762</v>
      </c>
      <c r="O1013" s="12" t="n">
        <f aca="false">IF(F1013="","",INT(F1013))</f>
        <v>45763</v>
      </c>
    </row>
    <row r="1014" customFormat="false" ht="15" hidden="false" customHeight="false" outlineLevel="0" collapsed="false">
      <c r="A1014" s="0" t="s">
        <v>2069</v>
      </c>
      <c r="B1014" s="0" t="s">
        <v>2070</v>
      </c>
      <c r="C1014" s="0" t="s">
        <v>23</v>
      </c>
      <c r="D1014" s="0" t="s">
        <v>48</v>
      </c>
      <c r="E1014" s="10" t="n">
        <v>45762.5638888889</v>
      </c>
      <c r="F1014" s="10"/>
      <c r="G1014" s="0" t="n">
        <v>114.17</v>
      </c>
      <c r="H1014" s="0" t="n">
        <v>109.55</v>
      </c>
      <c r="I1014" s="11" t="n">
        <f aca="false">H1014-G1014</f>
        <v>-4.62</v>
      </c>
      <c r="J1014" s="5" t="n">
        <f aca="false">IF(G1014=0,"",I1014/G1014)</f>
        <v>-0.0404659717964439</v>
      </c>
      <c r="K1014" s="0" t="n">
        <v>43.6</v>
      </c>
      <c r="M1014" s="11" t="s">
        <v>1332</v>
      </c>
      <c r="N1014" s="12" t="n">
        <f aca="false">INT(E1014)</f>
        <v>45762</v>
      </c>
      <c r="O1014" s="12" t="str">
        <f aca="false">IF(F1014="","",INT(F1014))</f>
        <v/>
      </c>
    </row>
    <row r="1015" customFormat="false" ht="15" hidden="false" customHeight="false" outlineLevel="0" collapsed="false">
      <c r="A1015" s="0" t="s">
        <v>2071</v>
      </c>
      <c r="B1015" s="0" t="s">
        <v>2072</v>
      </c>
      <c r="C1015" s="0" t="s">
        <v>21</v>
      </c>
      <c r="D1015" s="0" t="s">
        <v>42</v>
      </c>
      <c r="E1015" s="10" t="n">
        <v>45762.5673611111</v>
      </c>
      <c r="F1015" s="10" t="n">
        <v>45763.0375</v>
      </c>
      <c r="G1015" s="0" t="n">
        <v>198.55</v>
      </c>
      <c r="H1015" s="0" t="n">
        <v>203.83</v>
      </c>
      <c r="I1015" s="11" t="n">
        <f aca="false">H1015-G1015</f>
        <v>5.28</v>
      </c>
      <c r="J1015" s="5" t="n">
        <f aca="false">IF(G1015=0,"",I1015/G1015)</f>
        <v>0.0265927977839335</v>
      </c>
      <c r="K1015" s="0" t="n">
        <v>37.4</v>
      </c>
      <c r="L1015" s="0" t="n">
        <v>11.28</v>
      </c>
      <c r="M1015" s="11" t="s">
        <v>1332</v>
      </c>
      <c r="N1015" s="12" t="n">
        <f aca="false">INT(E1015)</f>
        <v>45762</v>
      </c>
      <c r="O1015" s="12" t="n">
        <f aca="false">IF(F1015="","",INT(F1015))</f>
        <v>45763</v>
      </c>
    </row>
    <row r="1016" customFormat="false" ht="15" hidden="false" customHeight="false" outlineLevel="0" collapsed="false">
      <c r="A1016" s="0" t="s">
        <v>2073</v>
      </c>
      <c r="B1016" s="0" t="s">
        <v>2074</v>
      </c>
      <c r="C1016" s="0" t="s">
        <v>23</v>
      </c>
      <c r="D1016" s="0" t="s">
        <v>42</v>
      </c>
      <c r="E1016" s="10" t="n">
        <v>45762.5694444445</v>
      </c>
      <c r="F1016" s="10" t="n">
        <v>45763.7034722222</v>
      </c>
      <c r="G1016" s="0" t="n">
        <v>318.88</v>
      </c>
      <c r="H1016" s="0" t="n">
        <v>312.1</v>
      </c>
      <c r="I1016" s="11" t="n">
        <f aca="false">H1016-G1016</f>
        <v>-6.77999999999997</v>
      </c>
      <c r="J1016" s="5" t="n">
        <f aca="false">IF(G1016=0,"",I1016/G1016)</f>
        <v>-0.0212619167084796</v>
      </c>
      <c r="K1016" s="0" t="n">
        <v>93.5</v>
      </c>
      <c r="L1016" s="0" t="n">
        <v>27.22</v>
      </c>
      <c r="M1016" s="11" t="s">
        <v>1332</v>
      </c>
      <c r="N1016" s="12" t="n">
        <f aca="false">INT(E1016)</f>
        <v>45762</v>
      </c>
      <c r="O1016" s="12" t="n">
        <f aca="false">IF(F1016="","",INT(F1016))</f>
        <v>45763</v>
      </c>
    </row>
    <row r="1017" customFormat="false" ht="15" hidden="false" customHeight="false" outlineLevel="0" collapsed="false">
      <c r="A1017" s="0" t="s">
        <v>2075</v>
      </c>
      <c r="B1017" s="0" t="s">
        <v>2076</v>
      </c>
      <c r="C1017" s="0" t="s">
        <v>22</v>
      </c>
      <c r="D1017" s="0" t="s">
        <v>42</v>
      </c>
      <c r="E1017" s="10" t="n">
        <v>45762.5763888889</v>
      </c>
      <c r="F1017" s="10" t="n">
        <v>45763.4890740741</v>
      </c>
      <c r="G1017" s="0" t="n">
        <v>96.73</v>
      </c>
      <c r="H1017" s="0" t="n">
        <v>99.98</v>
      </c>
      <c r="I1017" s="11" t="n">
        <f aca="false">H1017-G1017</f>
        <v>3.25</v>
      </c>
      <c r="J1017" s="5" t="n">
        <f aca="false">IF(G1017=0,"",I1017/G1017)</f>
        <v>0.0335986767290396</v>
      </c>
      <c r="K1017" s="0" t="n">
        <v>15.3</v>
      </c>
      <c r="L1017" s="0" t="n">
        <v>21.9</v>
      </c>
      <c r="M1017" s="11" t="s">
        <v>1332</v>
      </c>
      <c r="N1017" s="12" t="n">
        <f aca="false">INT(E1017)</f>
        <v>45762</v>
      </c>
      <c r="O1017" s="12" t="n">
        <f aca="false">IF(F1017="","",INT(F1017))</f>
        <v>45763</v>
      </c>
    </row>
    <row r="1018" customFormat="false" ht="15" hidden="false" customHeight="false" outlineLevel="0" collapsed="false">
      <c r="A1018" s="0" t="s">
        <v>2077</v>
      </c>
      <c r="B1018" s="0" t="s">
        <v>2078</v>
      </c>
      <c r="C1018" s="0" t="s">
        <v>20</v>
      </c>
      <c r="D1018" s="0" t="s">
        <v>42</v>
      </c>
      <c r="E1018" s="10" t="n">
        <v>45762.5958333333</v>
      </c>
      <c r="F1018" s="10" t="n">
        <v>45763.5680555556</v>
      </c>
      <c r="G1018" s="0" t="n">
        <v>281.81</v>
      </c>
      <c r="H1018" s="0" t="n">
        <v>288.31</v>
      </c>
      <c r="I1018" s="11" t="n">
        <f aca="false">H1018-G1018</f>
        <v>6.5</v>
      </c>
      <c r="J1018" s="5" t="n">
        <f aca="false">IF(G1018=0,"",I1018/G1018)</f>
        <v>0.0230651857634577</v>
      </c>
      <c r="K1018" s="0" t="n">
        <v>29.3</v>
      </c>
      <c r="L1018" s="0" t="n">
        <v>23.33</v>
      </c>
      <c r="M1018" s="11" t="s">
        <v>1332</v>
      </c>
      <c r="N1018" s="12" t="n">
        <f aca="false">INT(E1018)</f>
        <v>45762</v>
      </c>
      <c r="O1018" s="12" t="n">
        <f aca="false">IF(F1018="","",INT(F1018))</f>
        <v>45763</v>
      </c>
    </row>
    <row r="1019" customFormat="false" ht="15" hidden="false" customHeight="false" outlineLevel="0" collapsed="false">
      <c r="A1019" s="0" t="s">
        <v>2079</v>
      </c>
      <c r="B1019" s="0" t="s">
        <v>2080</v>
      </c>
      <c r="C1019" s="0" t="s">
        <v>21</v>
      </c>
      <c r="D1019" s="0" t="s">
        <v>42</v>
      </c>
      <c r="E1019" s="10" t="n">
        <v>45762.5993055556</v>
      </c>
      <c r="F1019" s="10" t="n">
        <v>45763.3520833333</v>
      </c>
      <c r="G1019" s="0" t="n">
        <v>189.38</v>
      </c>
      <c r="H1019" s="0" t="n">
        <v>187.83</v>
      </c>
      <c r="I1019" s="11" t="n">
        <f aca="false">H1019-G1019</f>
        <v>-1.54999999999998</v>
      </c>
      <c r="J1019" s="5" t="n">
        <f aca="false">IF(G1019=0,"",I1019/G1019)</f>
        <v>-0.00818460238673557</v>
      </c>
      <c r="K1019" s="0" t="n">
        <v>41.1</v>
      </c>
      <c r="L1019" s="0" t="n">
        <v>18.07</v>
      </c>
      <c r="M1019" s="11" t="s">
        <v>1332</v>
      </c>
      <c r="N1019" s="12" t="n">
        <f aca="false">INT(E1019)</f>
        <v>45762</v>
      </c>
      <c r="O1019" s="12" t="n">
        <f aca="false">IF(F1019="","",INT(F1019))</f>
        <v>45763</v>
      </c>
    </row>
    <row r="1020" customFormat="false" ht="15" hidden="false" customHeight="false" outlineLevel="0" collapsed="false">
      <c r="A1020" s="0" t="s">
        <v>2081</v>
      </c>
      <c r="B1020" s="0" t="s">
        <v>2082</v>
      </c>
      <c r="C1020" s="0" t="s">
        <v>23</v>
      </c>
      <c r="D1020" s="0" t="s">
        <v>42</v>
      </c>
      <c r="E1020" s="10" t="n">
        <v>45762.6333333333</v>
      </c>
      <c r="F1020" s="10" t="n">
        <v>45763.8840277778</v>
      </c>
      <c r="G1020" s="0" t="n">
        <v>842.12</v>
      </c>
      <c r="H1020" s="0" t="n">
        <v>826.2</v>
      </c>
      <c r="I1020" s="11" t="n">
        <f aca="false">H1020-G1020</f>
        <v>-15.92</v>
      </c>
      <c r="J1020" s="5" t="n">
        <f aca="false">IF(G1020=0,"",I1020/G1020)</f>
        <v>-0.0189046691682895</v>
      </c>
      <c r="K1020" s="0" t="n">
        <v>263.3</v>
      </c>
      <c r="L1020" s="0" t="n">
        <v>30.02</v>
      </c>
      <c r="M1020" s="11" t="s">
        <v>1332</v>
      </c>
      <c r="N1020" s="12" t="n">
        <f aca="false">INT(E1020)</f>
        <v>45762</v>
      </c>
      <c r="O1020" s="12" t="n">
        <f aca="false">IF(F1020="","",INT(F1020))</f>
        <v>45763</v>
      </c>
    </row>
    <row r="1021" customFormat="false" ht="15" hidden="false" customHeight="false" outlineLevel="0" collapsed="false">
      <c r="A1021" s="0" t="s">
        <v>2083</v>
      </c>
      <c r="B1021" s="0" t="s">
        <v>2084</v>
      </c>
      <c r="C1021" s="0" t="s">
        <v>23</v>
      </c>
      <c r="D1021" s="0" t="s">
        <v>42</v>
      </c>
      <c r="E1021" s="10" t="n">
        <v>45762.65</v>
      </c>
      <c r="F1021" s="10" t="n">
        <v>45763.1969907407</v>
      </c>
      <c r="G1021" s="0" t="n">
        <v>783.94</v>
      </c>
      <c r="H1021" s="0" t="n">
        <v>800</v>
      </c>
      <c r="I1021" s="11" t="n">
        <f aca="false">H1021-G1021</f>
        <v>16.0599999999999</v>
      </c>
      <c r="J1021" s="5" t="n">
        <f aca="false">IF(G1021=0,"",I1021/G1021)</f>
        <v>0.0204862617037017</v>
      </c>
      <c r="K1021" s="0" t="n">
        <v>206.2</v>
      </c>
      <c r="L1021" s="0" t="n">
        <v>13.13</v>
      </c>
      <c r="M1021" s="11" t="s">
        <v>1332</v>
      </c>
      <c r="N1021" s="12" t="n">
        <f aca="false">INT(E1021)</f>
        <v>45762</v>
      </c>
      <c r="O1021" s="12" t="n">
        <f aca="false">IF(F1021="","",INT(F1021))</f>
        <v>45763</v>
      </c>
    </row>
    <row r="1022" customFormat="false" ht="15" hidden="false" customHeight="false" outlineLevel="0" collapsed="false">
      <c r="A1022" s="0" t="s">
        <v>2085</v>
      </c>
      <c r="B1022" s="0" t="s">
        <v>2086</v>
      </c>
      <c r="C1022" s="0" t="s">
        <v>20</v>
      </c>
      <c r="D1022" s="0" t="s">
        <v>42</v>
      </c>
      <c r="E1022" s="10" t="n">
        <v>45762.6701388889</v>
      </c>
      <c r="F1022" s="10" t="n">
        <v>45763.7091782407</v>
      </c>
      <c r="G1022" s="0" t="n">
        <v>665.21</v>
      </c>
      <c r="H1022" s="0" t="n">
        <v>667.58</v>
      </c>
      <c r="I1022" s="11" t="n">
        <f aca="false">H1022-G1022</f>
        <v>2.37</v>
      </c>
      <c r="J1022" s="5" t="n">
        <f aca="false">IF(G1022=0,"",I1022/G1022)</f>
        <v>0.00356278468453572</v>
      </c>
      <c r="K1022" s="0" t="n">
        <v>116.7</v>
      </c>
      <c r="L1022" s="0" t="n">
        <v>24.94</v>
      </c>
      <c r="M1022" s="11" t="s">
        <v>1332</v>
      </c>
      <c r="N1022" s="12" t="n">
        <f aca="false">INT(E1022)</f>
        <v>45762</v>
      </c>
      <c r="O1022" s="12" t="n">
        <f aca="false">IF(F1022="","",INT(F1022))</f>
        <v>45763</v>
      </c>
    </row>
    <row r="1023" customFormat="false" ht="15" hidden="false" customHeight="false" outlineLevel="0" collapsed="false">
      <c r="A1023" s="0" t="s">
        <v>2087</v>
      </c>
      <c r="B1023" s="0" t="s">
        <v>2088</v>
      </c>
      <c r="C1023" s="0" t="s">
        <v>21</v>
      </c>
      <c r="D1023" s="0" t="s">
        <v>42</v>
      </c>
      <c r="E1023" s="10" t="n">
        <v>45762.7604166667</v>
      </c>
      <c r="F1023" s="10" t="n">
        <v>45763.1680555556</v>
      </c>
      <c r="G1023" s="0" t="n">
        <v>333.25</v>
      </c>
      <c r="H1023" s="0" t="n">
        <v>328.96</v>
      </c>
      <c r="I1023" s="11" t="n">
        <f aca="false">H1023-G1023</f>
        <v>-4.29000000000002</v>
      </c>
      <c r="J1023" s="5" t="n">
        <f aca="false">IF(G1023=0,"",I1023/G1023)</f>
        <v>-0.0128732183045762</v>
      </c>
      <c r="K1023" s="0" t="n">
        <v>52.9</v>
      </c>
      <c r="L1023" s="0" t="n">
        <v>9.78</v>
      </c>
      <c r="M1023" s="11" t="s">
        <v>1332</v>
      </c>
      <c r="N1023" s="12" t="n">
        <f aca="false">INT(E1023)</f>
        <v>45762</v>
      </c>
      <c r="O1023" s="12" t="n">
        <f aca="false">IF(F1023="","",INT(F1023))</f>
        <v>45763</v>
      </c>
    </row>
    <row r="1024" customFormat="false" ht="15" hidden="false" customHeight="false" outlineLevel="0" collapsed="false">
      <c r="A1024" s="0" t="s">
        <v>2089</v>
      </c>
      <c r="B1024" s="0" t="s">
        <v>2090</v>
      </c>
      <c r="C1024" s="0" t="s">
        <v>24</v>
      </c>
      <c r="D1024" s="0" t="s">
        <v>42</v>
      </c>
      <c r="E1024" s="10" t="n">
        <v>45762.7652777778</v>
      </c>
      <c r="F1024" s="10" t="n">
        <v>45763.5847222222</v>
      </c>
      <c r="G1024" s="0" t="n">
        <v>177.76</v>
      </c>
      <c r="H1024" s="0" t="n">
        <v>177.09</v>
      </c>
      <c r="I1024" s="11" t="n">
        <f aca="false">H1024-G1024</f>
        <v>-0.669999999999988</v>
      </c>
      <c r="J1024" s="5" t="n">
        <f aca="false">IF(G1024=0,"",I1024/G1024)</f>
        <v>-0.0037691269126912</v>
      </c>
      <c r="K1024" s="0" t="n">
        <v>74.2</v>
      </c>
      <c r="L1024" s="0" t="n">
        <v>19.67</v>
      </c>
      <c r="M1024" s="11" t="s">
        <v>1332</v>
      </c>
      <c r="N1024" s="12" t="n">
        <f aca="false">INT(E1024)</f>
        <v>45762</v>
      </c>
      <c r="O1024" s="12" t="n">
        <f aca="false">IF(F1024="","",INT(F1024))</f>
        <v>45763</v>
      </c>
    </row>
    <row r="1025" customFormat="false" ht="15" hidden="false" customHeight="false" outlineLevel="0" collapsed="false">
      <c r="A1025" s="0" t="s">
        <v>2091</v>
      </c>
      <c r="B1025" s="0" t="s">
        <v>2092</v>
      </c>
      <c r="C1025" s="0" t="s">
        <v>24</v>
      </c>
      <c r="D1025" s="0" t="s">
        <v>42</v>
      </c>
      <c r="E1025" s="10" t="n">
        <v>45762.7743055556</v>
      </c>
      <c r="F1025" s="10" t="n">
        <v>45764.6763888889</v>
      </c>
      <c r="G1025" s="0" t="n">
        <v>77.23</v>
      </c>
      <c r="H1025" s="0" t="n">
        <v>77.34</v>
      </c>
      <c r="I1025" s="11" t="n">
        <f aca="false">H1025-G1025</f>
        <v>0.109999999999999</v>
      </c>
      <c r="J1025" s="5" t="n">
        <f aca="false">IF(G1025=0,"",I1025/G1025)</f>
        <v>0.00142431697526867</v>
      </c>
      <c r="K1025" s="0" t="n">
        <v>16.6</v>
      </c>
      <c r="L1025" s="0" t="n">
        <v>45.65</v>
      </c>
      <c r="M1025" s="11" t="s">
        <v>1332</v>
      </c>
      <c r="N1025" s="12" t="n">
        <f aca="false">INT(E1025)</f>
        <v>45762</v>
      </c>
      <c r="O1025" s="12" t="n">
        <f aca="false">IF(F1025="","",INT(F1025))</f>
        <v>45764</v>
      </c>
    </row>
    <row r="1026" customFormat="false" ht="15" hidden="false" customHeight="false" outlineLevel="0" collapsed="false">
      <c r="A1026" s="0" t="s">
        <v>2093</v>
      </c>
      <c r="B1026" s="0" t="s">
        <v>2094</v>
      </c>
      <c r="C1026" s="0" t="s">
        <v>23</v>
      </c>
      <c r="D1026" s="0" t="s">
        <v>42</v>
      </c>
      <c r="E1026" s="10" t="n">
        <v>45762.7875</v>
      </c>
      <c r="F1026" s="10" t="n">
        <v>45764.3527777778</v>
      </c>
      <c r="G1026" s="0" t="n">
        <v>126.55</v>
      </c>
      <c r="H1026" s="0" t="n">
        <v>130.24</v>
      </c>
      <c r="I1026" s="11" t="n">
        <f aca="false">H1026-G1026</f>
        <v>3.69000000000001</v>
      </c>
      <c r="J1026" s="5" t="n">
        <f aca="false">IF(G1026=0,"",I1026/G1026)</f>
        <v>0.0291584354010274</v>
      </c>
      <c r="K1026" s="0" t="n">
        <v>38.3</v>
      </c>
      <c r="L1026" s="0" t="n">
        <v>37.57</v>
      </c>
      <c r="M1026" s="11" t="s">
        <v>1332</v>
      </c>
      <c r="N1026" s="12" t="n">
        <f aca="false">INT(E1026)</f>
        <v>45762</v>
      </c>
      <c r="O1026" s="12" t="n">
        <f aca="false">IF(F1026="","",INT(F1026))</f>
        <v>45764</v>
      </c>
    </row>
    <row r="1027" customFormat="false" ht="15" hidden="false" customHeight="false" outlineLevel="0" collapsed="false">
      <c r="A1027" s="0" t="s">
        <v>2095</v>
      </c>
      <c r="B1027" s="0" t="s">
        <v>2096</v>
      </c>
      <c r="C1027" s="0" t="s">
        <v>20</v>
      </c>
      <c r="D1027" s="0" t="s">
        <v>42</v>
      </c>
      <c r="E1027" s="10" t="n">
        <v>45763.2986111111</v>
      </c>
      <c r="F1027" s="10" t="n">
        <v>45764.0659722222</v>
      </c>
      <c r="G1027" s="0" t="n">
        <v>142.59</v>
      </c>
      <c r="H1027" s="0" t="n">
        <v>141.47</v>
      </c>
      <c r="I1027" s="11" t="n">
        <f aca="false">H1027-G1027</f>
        <v>-1.12</v>
      </c>
      <c r="J1027" s="5" t="n">
        <f aca="false">IF(G1027=0,"",I1027/G1027)</f>
        <v>-0.00785468826705943</v>
      </c>
      <c r="K1027" s="0" t="n">
        <v>26.4</v>
      </c>
      <c r="L1027" s="0" t="n">
        <v>18.42</v>
      </c>
      <c r="M1027" s="11" t="s">
        <v>1332</v>
      </c>
      <c r="N1027" s="12" t="n">
        <f aca="false">INT(E1027)</f>
        <v>45763</v>
      </c>
      <c r="O1027" s="12" t="n">
        <f aca="false">IF(F1027="","",INT(F1027))</f>
        <v>45764</v>
      </c>
    </row>
    <row r="1028" customFormat="false" ht="15" hidden="false" customHeight="false" outlineLevel="0" collapsed="false">
      <c r="A1028" s="0" t="s">
        <v>2097</v>
      </c>
      <c r="B1028" s="0" t="s">
        <v>2098</v>
      </c>
      <c r="C1028" s="0" t="s">
        <v>23</v>
      </c>
      <c r="D1028" s="0" t="s">
        <v>42</v>
      </c>
      <c r="E1028" s="10" t="n">
        <v>45763.2986111111</v>
      </c>
      <c r="F1028" s="10" t="n">
        <v>45764.451712963</v>
      </c>
      <c r="G1028" s="0" t="n">
        <v>544.79</v>
      </c>
      <c r="H1028" s="0" t="n">
        <v>544.12</v>
      </c>
      <c r="I1028" s="11" t="n">
        <f aca="false">H1028-G1028</f>
        <v>-0.669999999999959</v>
      </c>
      <c r="J1028" s="5" t="n">
        <f aca="false">IF(G1028=0,"",I1028/G1028)</f>
        <v>-0.00122983167826127</v>
      </c>
      <c r="K1028" s="0" t="n">
        <v>184.1</v>
      </c>
      <c r="L1028" s="0" t="n">
        <v>27.67</v>
      </c>
      <c r="M1028" s="11" t="s">
        <v>1332</v>
      </c>
      <c r="N1028" s="12" t="n">
        <f aca="false">INT(E1028)</f>
        <v>45763</v>
      </c>
      <c r="O1028" s="12" t="n">
        <f aca="false">IF(F1028="","",INT(F1028))</f>
        <v>45764</v>
      </c>
    </row>
    <row r="1029" customFormat="false" ht="15" hidden="false" customHeight="false" outlineLevel="0" collapsed="false">
      <c r="A1029" s="0" t="s">
        <v>2099</v>
      </c>
      <c r="B1029" s="0" t="s">
        <v>2100</v>
      </c>
      <c r="C1029" s="0" t="s">
        <v>22</v>
      </c>
      <c r="D1029" s="0" t="s">
        <v>42</v>
      </c>
      <c r="E1029" s="10" t="n">
        <v>45763.3055555556</v>
      </c>
      <c r="F1029" s="10" t="n">
        <v>45763.7715277778</v>
      </c>
      <c r="G1029" s="0" t="n">
        <v>443.08</v>
      </c>
      <c r="H1029" s="0" t="n">
        <v>446.7</v>
      </c>
      <c r="I1029" s="11" t="n">
        <f aca="false">H1029-G1029</f>
        <v>3.62</v>
      </c>
      <c r="J1029" s="5" t="n">
        <f aca="false">IF(G1029=0,"",I1029/G1029)</f>
        <v>0.00817008215220729</v>
      </c>
      <c r="K1029" s="0" t="n">
        <v>50.8</v>
      </c>
      <c r="L1029" s="0" t="n">
        <v>11.18</v>
      </c>
      <c r="M1029" s="11" t="s">
        <v>1332</v>
      </c>
      <c r="N1029" s="12" t="n">
        <f aca="false">INT(E1029)</f>
        <v>45763</v>
      </c>
      <c r="O1029" s="12" t="n">
        <f aca="false">IF(F1029="","",INT(F1029))</f>
        <v>45763</v>
      </c>
    </row>
    <row r="1030" customFormat="false" ht="15" hidden="false" customHeight="false" outlineLevel="0" collapsed="false">
      <c r="A1030" s="0" t="s">
        <v>2101</v>
      </c>
      <c r="B1030" s="0" t="s">
        <v>2102</v>
      </c>
      <c r="C1030" s="0" t="s">
        <v>23</v>
      </c>
      <c r="D1030" s="0" t="s">
        <v>42</v>
      </c>
      <c r="E1030" s="10" t="n">
        <v>45763.3166666667</v>
      </c>
      <c r="F1030" s="10" t="n">
        <v>45763.8861111111</v>
      </c>
      <c r="G1030" s="0" t="n">
        <v>351.8</v>
      </c>
      <c r="H1030" s="0" t="n">
        <v>359.25</v>
      </c>
      <c r="I1030" s="11" t="n">
        <f aca="false">H1030-G1030</f>
        <v>7.44999999999999</v>
      </c>
      <c r="J1030" s="5" t="n">
        <f aca="false">IF(G1030=0,"",I1030/G1030)</f>
        <v>0.0211768050028425</v>
      </c>
      <c r="K1030" s="0" t="n">
        <v>148.6</v>
      </c>
      <c r="L1030" s="0" t="n">
        <v>13.67</v>
      </c>
      <c r="M1030" s="11" t="s">
        <v>1332</v>
      </c>
      <c r="N1030" s="12" t="n">
        <f aca="false">INT(E1030)</f>
        <v>45763</v>
      </c>
      <c r="O1030" s="12" t="n">
        <f aca="false">IF(F1030="","",INT(F1030))</f>
        <v>45763</v>
      </c>
    </row>
    <row r="1031" customFormat="false" ht="15" hidden="false" customHeight="false" outlineLevel="0" collapsed="false">
      <c r="A1031" s="0" t="s">
        <v>2103</v>
      </c>
      <c r="B1031" s="0" t="s">
        <v>2104</v>
      </c>
      <c r="C1031" s="0" t="s">
        <v>24</v>
      </c>
      <c r="D1031" s="0" t="s">
        <v>42</v>
      </c>
      <c r="E1031" s="10" t="n">
        <v>45763.3256944444</v>
      </c>
      <c r="F1031" s="10" t="n">
        <v>45764.2708333333</v>
      </c>
      <c r="G1031" s="0" t="n">
        <v>537.44</v>
      </c>
      <c r="H1031" s="0" t="n">
        <v>521.4</v>
      </c>
      <c r="I1031" s="11" t="n">
        <f aca="false">H1031-G1031</f>
        <v>-16.0400000000001</v>
      </c>
      <c r="J1031" s="5" t="n">
        <f aca="false">IF(G1031=0,"",I1031/G1031)</f>
        <v>-0.0298451920214351</v>
      </c>
      <c r="K1031" s="0" t="n">
        <v>157.2</v>
      </c>
      <c r="L1031" s="0" t="n">
        <v>22.68</v>
      </c>
      <c r="M1031" s="11" t="s">
        <v>1332</v>
      </c>
      <c r="N1031" s="12" t="n">
        <f aca="false">INT(E1031)</f>
        <v>45763</v>
      </c>
      <c r="O1031" s="12" t="n">
        <f aca="false">IF(F1031="","",INT(F1031))</f>
        <v>45764</v>
      </c>
    </row>
    <row r="1032" customFormat="false" ht="15" hidden="false" customHeight="false" outlineLevel="0" collapsed="false">
      <c r="A1032" s="0" t="s">
        <v>2105</v>
      </c>
      <c r="B1032" s="0" t="s">
        <v>2106</v>
      </c>
      <c r="C1032" s="0" t="s">
        <v>23</v>
      </c>
      <c r="D1032" s="0" t="s">
        <v>42</v>
      </c>
      <c r="E1032" s="10" t="n">
        <v>45763.3708333333</v>
      </c>
      <c r="F1032" s="10" t="n">
        <v>45764.3270833333</v>
      </c>
      <c r="G1032" s="0" t="n">
        <v>294.73</v>
      </c>
      <c r="H1032" s="0" t="n">
        <v>348.04</v>
      </c>
      <c r="I1032" s="11" t="n">
        <f aca="false">H1032-G1032</f>
        <v>53.31</v>
      </c>
      <c r="J1032" s="5" t="n">
        <f aca="false">IF(G1032=0,"",I1032/G1032)</f>
        <v>0.180877413225664</v>
      </c>
      <c r="K1032" s="0" t="n">
        <v>93.5</v>
      </c>
      <c r="L1032" s="0" t="n">
        <v>22.95</v>
      </c>
      <c r="M1032" s="11" t="s">
        <v>1332</v>
      </c>
      <c r="N1032" s="12" t="n">
        <f aca="false">INT(E1032)</f>
        <v>45763</v>
      </c>
      <c r="O1032" s="12" t="n">
        <f aca="false">IF(F1032="","",INT(F1032))</f>
        <v>45764</v>
      </c>
    </row>
    <row r="1033" customFormat="false" ht="15" hidden="false" customHeight="false" outlineLevel="0" collapsed="false">
      <c r="A1033" s="0" t="s">
        <v>2107</v>
      </c>
      <c r="B1033" s="0" t="s">
        <v>2108</v>
      </c>
      <c r="C1033" s="0" t="s">
        <v>23</v>
      </c>
      <c r="D1033" s="0" t="s">
        <v>42</v>
      </c>
      <c r="E1033" s="10" t="n">
        <v>45763.3909722222</v>
      </c>
      <c r="F1033" s="10" t="n">
        <v>45763.9674421296</v>
      </c>
      <c r="G1033" s="0" t="n">
        <v>335.83</v>
      </c>
      <c r="H1033" s="0" t="n">
        <v>342.28</v>
      </c>
      <c r="I1033" s="11" t="n">
        <f aca="false">H1033-G1033</f>
        <v>6.44999999999999</v>
      </c>
      <c r="J1033" s="5" t="n">
        <f aca="false">IF(G1033=0,"",I1033/G1033)</f>
        <v>0.0192061459667093</v>
      </c>
      <c r="K1033" s="0" t="n">
        <v>98.2</v>
      </c>
      <c r="L1033" s="0" t="n">
        <v>13.84</v>
      </c>
      <c r="M1033" s="11" t="s">
        <v>1332</v>
      </c>
      <c r="N1033" s="12" t="n">
        <f aca="false">INT(E1033)</f>
        <v>45763</v>
      </c>
      <c r="O1033" s="12" t="n">
        <f aca="false">IF(F1033="","",INT(F1033))</f>
        <v>45763</v>
      </c>
    </row>
    <row r="1034" customFormat="false" ht="15" hidden="false" customHeight="false" outlineLevel="0" collapsed="false">
      <c r="A1034" s="0" t="s">
        <v>2109</v>
      </c>
      <c r="B1034" s="0" t="s">
        <v>2110</v>
      </c>
      <c r="C1034" s="0" t="s">
        <v>23</v>
      </c>
      <c r="D1034" s="0" t="s">
        <v>42</v>
      </c>
      <c r="E1034" s="10" t="n">
        <v>45763.4340277778</v>
      </c>
      <c r="F1034" s="10" t="n">
        <v>45766.5840277778</v>
      </c>
      <c r="G1034" s="0" t="n">
        <v>342.93</v>
      </c>
      <c r="H1034" s="0" t="n">
        <v>341.14</v>
      </c>
      <c r="I1034" s="11" t="n">
        <f aca="false">H1034-G1034</f>
        <v>-1.79000000000002</v>
      </c>
      <c r="J1034" s="5" t="n">
        <f aca="false">IF(G1034=0,"",I1034/G1034)</f>
        <v>-0.00521972414195323</v>
      </c>
      <c r="K1034" s="0" t="n">
        <v>94.1</v>
      </c>
      <c r="L1034" s="0" t="n">
        <v>61.58</v>
      </c>
      <c r="M1034" s="11" t="s">
        <v>1332</v>
      </c>
      <c r="N1034" s="12" t="n">
        <f aca="false">INT(E1034)</f>
        <v>45763</v>
      </c>
      <c r="O1034" s="12" t="n">
        <f aca="false">IF(F1034="","",INT(F1034))</f>
        <v>45766</v>
      </c>
    </row>
    <row r="1035" customFormat="false" ht="15" hidden="false" customHeight="false" outlineLevel="0" collapsed="false">
      <c r="A1035" s="0" t="s">
        <v>2111</v>
      </c>
      <c r="B1035" s="0" t="s">
        <v>2112</v>
      </c>
      <c r="C1035" s="0" t="s">
        <v>21</v>
      </c>
      <c r="D1035" s="0" t="s">
        <v>42</v>
      </c>
      <c r="E1035" s="10" t="n">
        <v>45763.4381944445</v>
      </c>
      <c r="F1035" s="10" t="n">
        <v>45763.9828703704</v>
      </c>
      <c r="G1035" s="0" t="n">
        <v>287.5</v>
      </c>
      <c r="H1035" s="0" t="n">
        <v>297.12</v>
      </c>
      <c r="I1035" s="11" t="n">
        <f aca="false">H1035-G1035</f>
        <v>9.62000000000001</v>
      </c>
      <c r="J1035" s="5" t="n">
        <f aca="false">IF(G1035=0,"",I1035/G1035)</f>
        <v>0.0334608695652174</v>
      </c>
      <c r="K1035" s="0" t="n">
        <v>59.8</v>
      </c>
      <c r="L1035" s="0" t="n">
        <v>13.07</v>
      </c>
      <c r="M1035" s="11" t="s">
        <v>1332</v>
      </c>
      <c r="N1035" s="12" t="n">
        <f aca="false">INT(E1035)</f>
        <v>45763</v>
      </c>
      <c r="O1035" s="12" t="n">
        <f aca="false">IF(F1035="","",INT(F1035))</f>
        <v>45763</v>
      </c>
    </row>
    <row r="1036" customFormat="false" ht="15" hidden="false" customHeight="false" outlineLevel="0" collapsed="false">
      <c r="A1036" s="0" t="s">
        <v>2113</v>
      </c>
      <c r="B1036" s="0" t="s">
        <v>2114</v>
      </c>
      <c r="C1036" s="0" t="s">
        <v>21</v>
      </c>
      <c r="D1036" s="0" t="s">
        <v>42</v>
      </c>
      <c r="E1036" s="10" t="n">
        <v>45763.4479166667</v>
      </c>
      <c r="F1036" s="10" t="n">
        <v>45763.9156481482</v>
      </c>
      <c r="G1036" s="0" t="n">
        <v>1038.87</v>
      </c>
      <c r="H1036" s="0" t="n">
        <v>1009.79</v>
      </c>
      <c r="I1036" s="11" t="n">
        <f aca="false">H1036-G1036</f>
        <v>-29.0799999999999</v>
      </c>
      <c r="J1036" s="5" t="n">
        <f aca="false">IF(G1036=0,"",I1036/G1036)</f>
        <v>-0.0279919527948636</v>
      </c>
      <c r="K1036" s="0" t="n">
        <v>256.4</v>
      </c>
      <c r="L1036" s="0" t="n">
        <v>11.23</v>
      </c>
      <c r="M1036" s="11" t="s">
        <v>1332</v>
      </c>
      <c r="N1036" s="12" t="n">
        <f aca="false">INT(E1036)</f>
        <v>45763</v>
      </c>
      <c r="O1036" s="12" t="n">
        <f aca="false">IF(F1036="","",INT(F1036))</f>
        <v>45763</v>
      </c>
    </row>
    <row r="1037" customFormat="false" ht="15" hidden="false" customHeight="false" outlineLevel="0" collapsed="false">
      <c r="A1037" s="0" t="s">
        <v>2115</v>
      </c>
      <c r="B1037" s="0" t="s">
        <v>2116</v>
      </c>
      <c r="C1037" s="0" t="s">
        <v>22</v>
      </c>
      <c r="D1037" s="0" t="s">
        <v>42</v>
      </c>
      <c r="E1037" s="10" t="n">
        <v>45763.4722222222</v>
      </c>
      <c r="F1037" s="10" t="n">
        <v>45764.2027777778</v>
      </c>
      <c r="G1037" s="0" t="n">
        <v>821.88</v>
      </c>
      <c r="H1037" s="0" t="n">
        <v>806.61</v>
      </c>
      <c r="I1037" s="11" t="n">
        <f aca="false">H1037-G1037</f>
        <v>-15.27</v>
      </c>
      <c r="J1037" s="5" t="n">
        <f aca="false">IF(G1037=0,"",I1037/G1037)</f>
        <v>-0.0185793546503139</v>
      </c>
      <c r="K1037" s="0" t="n">
        <v>126.5</v>
      </c>
      <c r="L1037" s="0" t="n">
        <v>17.53</v>
      </c>
      <c r="M1037" s="11" t="s">
        <v>1332</v>
      </c>
      <c r="N1037" s="12" t="n">
        <f aca="false">INT(E1037)</f>
        <v>45763</v>
      </c>
      <c r="O1037" s="12" t="n">
        <f aca="false">IF(F1037="","",INT(F1037))</f>
        <v>45764</v>
      </c>
    </row>
    <row r="1038" customFormat="false" ht="15" hidden="false" customHeight="false" outlineLevel="0" collapsed="false">
      <c r="A1038" s="0" t="s">
        <v>2117</v>
      </c>
      <c r="B1038" s="0" t="s">
        <v>2118</v>
      </c>
      <c r="C1038" s="0" t="s">
        <v>22</v>
      </c>
      <c r="D1038" s="0" t="s">
        <v>42</v>
      </c>
      <c r="E1038" s="10" t="n">
        <v>45763.5486111111</v>
      </c>
      <c r="F1038" s="10" t="n">
        <v>45763.9076388889</v>
      </c>
      <c r="G1038" s="0" t="n">
        <v>1151.69</v>
      </c>
      <c r="H1038" s="0" t="n">
        <v>1118.7</v>
      </c>
      <c r="I1038" s="11" t="n">
        <f aca="false">H1038-G1038</f>
        <v>-32.99</v>
      </c>
      <c r="J1038" s="5" t="n">
        <f aca="false">IF(G1038=0,"",I1038/G1038)</f>
        <v>-0.028644861030312</v>
      </c>
      <c r="K1038" s="0" t="n">
        <v>184.7</v>
      </c>
      <c r="L1038" s="0" t="n">
        <v>8.62</v>
      </c>
      <c r="M1038" s="11" t="s">
        <v>1332</v>
      </c>
      <c r="N1038" s="12" t="n">
        <f aca="false">INT(E1038)</f>
        <v>45763</v>
      </c>
      <c r="O1038" s="12" t="n">
        <f aca="false">IF(F1038="","",INT(F1038))</f>
        <v>45763</v>
      </c>
    </row>
    <row r="1039" customFormat="false" ht="15" hidden="false" customHeight="false" outlineLevel="0" collapsed="false">
      <c r="A1039" s="0" t="s">
        <v>2119</v>
      </c>
      <c r="B1039" s="0" t="s">
        <v>2120</v>
      </c>
      <c r="C1039" s="0" t="s">
        <v>22</v>
      </c>
      <c r="D1039" s="0" t="s">
        <v>42</v>
      </c>
      <c r="E1039" s="10" t="n">
        <v>45763.5715277778</v>
      </c>
      <c r="F1039" s="10" t="n">
        <v>45764.2194444445</v>
      </c>
      <c r="G1039" s="0" t="n">
        <v>707.64</v>
      </c>
      <c r="H1039" s="0" t="n">
        <v>705.52</v>
      </c>
      <c r="I1039" s="11" t="n">
        <f aca="false">H1039-G1039</f>
        <v>-2.12</v>
      </c>
      <c r="J1039" s="5" t="n">
        <f aca="false">IF(G1039=0,"",I1039/G1039)</f>
        <v>-0.0029958736080493</v>
      </c>
      <c r="K1039" s="0" t="n">
        <v>146.1</v>
      </c>
      <c r="L1039" s="0" t="n">
        <v>15.55</v>
      </c>
      <c r="M1039" s="11" t="s">
        <v>1332</v>
      </c>
      <c r="N1039" s="12" t="n">
        <f aca="false">INT(E1039)</f>
        <v>45763</v>
      </c>
      <c r="O1039" s="12" t="n">
        <f aca="false">IF(F1039="","",INT(F1039))</f>
        <v>45764</v>
      </c>
    </row>
    <row r="1040" customFormat="false" ht="15" hidden="false" customHeight="false" outlineLevel="0" collapsed="false">
      <c r="A1040" s="0" t="s">
        <v>2121</v>
      </c>
      <c r="B1040" s="0" t="s">
        <v>2122</v>
      </c>
      <c r="C1040" s="0" t="s">
        <v>21</v>
      </c>
      <c r="D1040" s="0" t="s">
        <v>42</v>
      </c>
      <c r="E1040" s="10" t="n">
        <v>45763.59375</v>
      </c>
      <c r="F1040" s="10" t="n">
        <v>45764.6522685185</v>
      </c>
      <c r="G1040" s="0" t="n">
        <v>144.05</v>
      </c>
      <c r="H1040" s="0" t="n">
        <v>146.71</v>
      </c>
      <c r="I1040" s="11" t="n">
        <f aca="false">H1040-G1040</f>
        <v>2.66</v>
      </c>
      <c r="J1040" s="5" t="n">
        <f aca="false">IF(G1040=0,"",I1040/G1040)</f>
        <v>0.0184658104824713</v>
      </c>
      <c r="K1040" s="0" t="n">
        <v>39.6</v>
      </c>
      <c r="L1040" s="0" t="n">
        <v>25.4</v>
      </c>
      <c r="M1040" s="11" t="s">
        <v>1332</v>
      </c>
      <c r="N1040" s="12" t="n">
        <f aca="false">INT(E1040)</f>
        <v>45763</v>
      </c>
      <c r="O1040" s="12" t="n">
        <f aca="false">IF(F1040="","",INT(F1040))</f>
        <v>45764</v>
      </c>
    </row>
    <row r="1041" customFormat="false" ht="15" hidden="false" customHeight="false" outlineLevel="0" collapsed="false">
      <c r="A1041" s="0" t="s">
        <v>2123</v>
      </c>
      <c r="B1041" s="0" t="s">
        <v>2124</v>
      </c>
      <c r="C1041" s="0" t="s">
        <v>23</v>
      </c>
      <c r="D1041" s="0" t="s">
        <v>42</v>
      </c>
      <c r="E1041" s="10" t="n">
        <v>45763.5965277778</v>
      </c>
      <c r="F1041" s="10" t="n">
        <v>45766.1472222222</v>
      </c>
      <c r="G1041" s="0" t="n">
        <v>833.63</v>
      </c>
      <c r="H1041" s="0" t="n">
        <v>843.98</v>
      </c>
      <c r="I1041" s="11" t="n">
        <f aca="false">H1041-G1041</f>
        <v>10.35</v>
      </c>
      <c r="J1041" s="5" t="n">
        <f aca="false">IF(G1041=0,"",I1041/G1041)</f>
        <v>0.012415580053501</v>
      </c>
      <c r="K1041" s="0" t="n">
        <v>290.3</v>
      </c>
      <c r="L1041" s="0" t="n">
        <v>57.68</v>
      </c>
      <c r="M1041" s="11" t="s">
        <v>1332</v>
      </c>
      <c r="N1041" s="12" t="n">
        <f aca="false">INT(E1041)</f>
        <v>45763</v>
      </c>
      <c r="O1041" s="12" t="n">
        <f aca="false">IF(F1041="","",INT(F1041))</f>
        <v>45766</v>
      </c>
    </row>
    <row r="1042" customFormat="false" ht="15" hidden="false" customHeight="false" outlineLevel="0" collapsed="false">
      <c r="A1042" s="0" t="s">
        <v>2125</v>
      </c>
      <c r="B1042" s="0" t="s">
        <v>2126</v>
      </c>
      <c r="C1042" s="0" t="s">
        <v>19</v>
      </c>
      <c r="D1042" s="0" t="s">
        <v>42</v>
      </c>
      <c r="E1042" s="10" t="n">
        <v>45763.6277777778</v>
      </c>
      <c r="F1042" s="10" t="n">
        <v>45764.3166666667</v>
      </c>
      <c r="G1042" s="0" t="n">
        <v>305.36</v>
      </c>
      <c r="H1042" s="0" t="n">
        <v>394.43</v>
      </c>
      <c r="I1042" s="11" t="n">
        <f aca="false">H1042-G1042</f>
        <v>89.07</v>
      </c>
      <c r="J1042" s="5" t="n">
        <f aca="false">IF(G1042=0,"",I1042/G1042)</f>
        <v>0.291688498821064</v>
      </c>
      <c r="K1042" s="0" t="n">
        <v>27.8</v>
      </c>
      <c r="L1042" s="0" t="n">
        <v>16.53</v>
      </c>
      <c r="M1042" s="11" t="s">
        <v>1332</v>
      </c>
      <c r="N1042" s="12" t="n">
        <f aca="false">INT(E1042)</f>
        <v>45763</v>
      </c>
      <c r="O1042" s="12" t="n">
        <f aca="false">IF(F1042="","",INT(F1042))</f>
        <v>45764</v>
      </c>
    </row>
    <row r="1043" customFormat="false" ht="15" hidden="false" customHeight="false" outlineLevel="0" collapsed="false">
      <c r="A1043" s="0" t="s">
        <v>2127</v>
      </c>
      <c r="B1043" s="0" t="s">
        <v>2128</v>
      </c>
      <c r="C1043" s="0" t="s">
        <v>23</v>
      </c>
      <c r="D1043" s="0" t="s">
        <v>42</v>
      </c>
      <c r="E1043" s="10" t="n">
        <v>45763.6479166667</v>
      </c>
      <c r="F1043" s="10" t="n">
        <v>45765.3604166667</v>
      </c>
      <c r="G1043" s="0" t="n">
        <v>479.13</v>
      </c>
      <c r="H1043" s="0" t="n">
        <v>481.73</v>
      </c>
      <c r="I1043" s="11" t="n">
        <f aca="false">H1043-G1043</f>
        <v>2.60000000000002</v>
      </c>
      <c r="J1043" s="5" t="n">
        <f aca="false">IF(G1043=0,"",I1043/G1043)</f>
        <v>0.00542650220190767</v>
      </c>
      <c r="K1043" s="0" t="n">
        <v>119.1</v>
      </c>
      <c r="L1043" s="0" t="n">
        <v>41.1</v>
      </c>
      <c r="M1043" s="11" t="s">
        <v>1332</v>
      </c>
      <c r="N1043" s="12" t="n">
        <f aca="false">INT(E1043)</f>
        <v>45763</v>
      </c>
      <c r="O1043" s="12" t="n">
        <f aca="false">IF(F1043="","",INT(F1043))</f>
        <v>45765</v>
      </c>
    </row>
    <row r="1044" customFormat="false" ht="15" hidden="false" customHeight="false" outlineLevel="0" collapsed="false">
      <c r="A1044" s="0" t="s">
        <v>2129</v>
      </c>
      <c r="B1044" s="0" t="s">
        <v>2130</v>
      </c>
      <c r="C1044" s="0" t="s">
        <v>24</v>
      </c>
      <c r="D1044" s="0" t="s">
        <v>42</v>
      </c>
      <c r="E1044" s="10" t="n">
        <v>45763.6618055556</v>
      </c>
      <c r="F1044" s="10" t="n">
        <v>45764.6229166667</v>
      </c>
      <c r="G1044" s="0" t="n">
        <v>368.87</v>
      </c>
      <c r="H1044" s="0" t="n">
        <v>378.26</v>
      </c>
      <c r="I1044" s="11" t="n">
        <f aca="false">H1044-G1044</f>
        <v>9.38999999999999</v>
      </c>
      <c r="J1044" s="5" t="n">
        <f aca="false">IF(G1044=0,"",I1044/G1044)</f>
        <v>0.0254561227532735</v>
      </c>
      <c r="K1044" s="0" t="n">
        <v>133.6</v>
      </c>
      <c r="L1044" s="0" t="n">
        <v>23.07</v>
      </c>
      <c r="M1044" s="11" t="s">
        <v>1332</v>
      </c>
      <c r="N1044" s="12" t="n">
        <f aca="false">INT(E1044)</f>
        <v>45763</v>
      </c>
      <c r="O1044" s="12" t="n">
        <f aca="false">IF(F1044="","",INT(F1044))</f>
        <v>45764</v>
      </c>
    </row>
    <row r="1045" customFormat="false" ht="15" hidden="false" customHeight="false" outlineLevel="0" collapsed="false">
      <c r="A1045" s="0" t="s">
        <v>2131</v>
      </c>
      <c r="B1045" s="0" t="s">
        <v>2132</v>
      </c>
      <c r="C1045" s="0" t="s">
        <v>21</v>
      </c>
      <c r="D1045" s="0" t="s">
        <v>42</v>
      </c>
      <c r="E1045" s="10" t="n">
        <v>45763.675</v>
      </c>
      <c r="F1045" s="10" t="n">
        <v>45764.6076388889</v>
      </c>
      <c r="G1045" s="0" t="n">
        <v>217.8</v>
      </c>
      <c r="H1045" s="0" t="n">
        <v>196.76</v>
      </c>
      <c r="I1045" s="11" t="n">
        <f aca="false">H1045-G1045</f>
        <v>-21.04</v>
      </c>
      <c r="J1045" s="5" t="n">
        <f aca="false">IF(G1045=0,"",I1045/G1045)</f>
        <v>-0.0966023875114785</v>
      </c>
      <c r="K1045" s="0" t="n">
        <v>31.5</v>
      </c>
      <c r="L1045" s="0" t="n">
        <v>22.38</v>
      </c>
      <c r="M1045" s="11" t="s">
        <v>1332</v>
      </c>
      <c r="N1045" s="12" t="n">
        <f aca="false">INT(E1045)</f>
        <v>45763</v>
      </c>
      <c r="O1045" s="12" t="n">
        <f aca="false">IF(F1045="","",INT(F1045))</f>
        <v>45764</v>
      </c>
    </row>
    <row r="1046" customFormat="false" ht="15" hidden="false" customHeight="false" outlineLevel="0" collapsed="false">
      <c r="A1046" s="0" t="s">
        <v>2133</v>
      </c>
      <c r="B1046" s="0" t="s">
        <v>2134</v>
      </c>
      <c r="C1046" s="0" t="s">
        <v>19</v>
      </c>
      <c r="D1046" s="0" t="s">
        <v>42</v>
      </c>
      <c r="E1046" s="10" t="n">
        <v>45763.6861111111</v>
      </c>
      <c r="F1046" s="10" t="n">
        <v>45764.9038078704</v>
      </c>
      <c r="G1046" s="0" t="n">
        <v>926.15</v>
      </c>
      <c r="H1046" s="0" t="n">
        <v>922.85</v>
      </c>
      <c r="I1046" s="11" t="n">
        <f aca="false">H1046-G1046</f>
        <v>-3.29999999999995</v>
      </c>
      <c r="J1046" s="5" t="n">
        <f aca="false">IF(G1046=0,"",I1046/G1046)</f>
        <v>-0.00356313772067155</v>
      </c>
      <c r="K1046" s="0" t="n">
        <v>140.5</v>
      </c>
      <c r="L1046" s="0" t="n">
        <v>29.22</v>
      </c>
      <c r="M1046" s="11" t="s">
        <v>1332</v>
      </c>
      <c r="N1046" s="12" t="n">
        <f aca="false">INT(E1046)</f>
        <v>45763</v>
      </c>
      <c r="O1046" s="12" t="n">
        <f aca="false">IF(F1046="","",INT(F1046))</f>
        <v>45764</v>
      </c>
    </row>
    <row r="1047" customFormat="false" ht="15" hidden="false" customHeight="false" outlineLevel="0" collapsed="false">
      <c r="A1047" s="0" t="s">
        <v>2135</v>
      </c>
      <c r="B1047" s="0" t="s">
        <v>2136</v>
      </c>
      <c r="C1047" s="0" t="s">
        <v>19</v>
      </c>
      <c r="D1047" s="0" t="s">
        <v>42</v>
      </c>
      <c r="E1047" s="10" t="n">
        <v>45763.6923611111</v>
      </c>
      <c r="F1047" s="10" t="n">
        <v>45764.2923611111</v>
      </c>
      <c r="G1047" s="0" t="n">
        <v>122.73</v>
      </c>
      <c r="H1047" s="0" t="n">
        <v>122.37</v>
      </c>
      <c r="I1047" s="11" t="n">
        <f aca="false">H1047-G1047</f>
        <v>-0.359999999999999</v>
      </c>
      <c r="J1047" s="5" t="n">
        <f aca="false">IF(G1047=0,"",I1047/G1047)</f>
        <v>-0.00293326814959667</v>
      </c>
      <c r="K1047" s="0" t="n">
        <v>23.8</v>
      </c>
      <c r="L1047" s="0" t="n">
        <v>14.4</v>
      </c>
      <c r="M1047" s="11" t="s">
        <v>1332</v>
      </c>
      <c r="N1047" s="12" t="n">
        <f aca="false">INT(E1047)</f>
        <v>45763</v>
      </c>
      <c r="O1047" s="12" t="n">
        <f aca="false">IF(F1047="","",INT(F1047))</f>
        <v>45764</v>
      </c>
    </row>
    <row r="1048" customFormat="false" ht="15" hidden="false" customHeight="false" outlineLevel="0" collapsed="false">
      <c r="A1048" s="0" t="s">
        <v>2137</v>
      </c>
      <c r="B1048" s="0" t="s">
        <v>2138</v>
      </c>
      <c r="C1048" s="0" t="s">
        <v>23</v>
      </c>
      <c r="D1048" s="0" t="s">
        <v>42</v>
      </c>
      <c r="E1048" s="10" t="n">
        <v>45763.7145833333</v>
      </c>
      <c r="F1048" s="10" t="n">
        <v>45764.9395833333</v>
      </c>
      <c r="G1048" s="0" t="n">
        <v>220.45</v>
      </c>
      <c r="H1048" s="0" t="n">
        <v>217.79</v>
      </c>
      <c r="I1048" s="11" t="n">
        <f aca="false">H1048-G1048</f>
        <v>-2.66</v>
      </c>
      <c r="J1048" s="5" t="n">
        <f aca="false">IF(G1048=0,"",I1048/G1048)</f>
        <v>-0.012066228169653</v>
      </c>
      <c r="K1048" s="0" t="n">
        <v>61.2</v>
      </c>
      <c r="L1048" s="0" t="n">
        <v>29.4</v>
      </c>
      <c r="M1048" s="11" t="s">
        <v>1332</v>
      </c>
      <c r="N1048" s="12" t="n">
        <f aca="false">INT(E1048)</f>
        <v>45763</v>
      </c>
      <c r="O1048" s="12" t="n">
        <f aca="false">IF(F1048="","",INT(F1048))</f>
        <v>45764</v>
      </c>
    </row>
    <row r="1049" customFormat="false" ht="15" hidden="false" customHeight="false" outlineLevel="0" collapsed="false">
      <c r="A1049" s="0" t="s">
        <v>2139</v>
      </c>
      <c r="B1049" s="0" t="s">
        <v>2140</v>
      </c>
      <c r="C1049" s="0" t="s">
        <v>23</v>
      </c>
      <c r="D1049" s="0" t="s">
        <v>42</v>
      </c>
      <c r="E1049" s="10" t="n">
        <v>45763.7319444444</v>
      </c>
      <c r="F1049" s="10" t="n">
        <v>45764.7572222222</v>
      </c>
      <c r="G1049" s="0" t="n">
        <v>559.61</v>
      </c>
      <c r="H1049" s="0" t="n">
        <v>564.76</v>
      </c>
      <c r="I1049" s="11" t="n">
        <f aca="false">H1049-G1049</f>
        <v>5.14999999999998</v>
      </c>
      <c r="J1049" s="5" t="n">
        <f aca="false">IF(G1049=0,"",I1049/G1049)</f>
        <v>0.00920283769053444</v>
      </c>
      <c r="K1049" s="0" t="n">
        <v>149.9</v>
      </c>
      <c r="L1049" s="0" t="n">
        <v>24.61</v>
      </c>
      <c r="M1049" s="11" t="s">
        <v>1332</v>
      </c>
      <c r="N1049" s="12" t="n">
        <f aca="false">INT(E1049)</f>
        <v>45763</v>
      </c>
      <c r="O1049" s="12" t="n">
        <f aca="false">IF(F1049="","",INT(F1049))</f>
        <v>45764</v>
      </c>
    </row>
    <row r="1050" customFormat="false" ht="15" hidden="false" customHeight="false" outlineLevel="0" collapsed="false">
      <c r="A1050" s="0" t="s">
        <v>2141</v>
      </c>
      <c r="B1050" s="0" t="s">
        <v>2142</v>
      </c>
      <c r="C1050" s="0" t="s">
        <v>19</v>
      </c>
      <c r="D1050" s="0" t="s">
        <v>42</v>
      </c>
      <c r="E1050" s="10" t="n">
        <v>45763.7409722222</v>
      </c>
      <c r="F1050" s="10" t="n">
        <v>45764.3069444444</v>
      </c>
      <c r="G1050" s="0" t="n">
        <v>155.73</v>
      </c>
      <c r="H1050" s="0" t="n">
        <v>155.02</v>
      </c>
      <c r="I1050" s="11" t="n">
        <f aca="false">H1050-G1050</f>
        <v>-0.70999999999998</v>
      </c>
      <c r="J1050" s="5" t="n">
        <f aca="false">IF(G1050=0,"",I1050/G1050)</f>
        <v>-0.0045591729275026</v>
      </c>
      <c r="K1050" s="0" t="n">
        <v>22.5</v>
      </c>
      <c r="L1050" s="0" t="n">
        <v>13.58</v>
      </c>
      <c r="M1050" s="11" t="s">
        <v>1332</v>
      </c>
      <c r="N1050" s="12" t="n">
        <f aca="false">INT(E1050)</f>
        <v>45763</v>
      </c>
      <c r="O1050" s="12" t="n">
        <f aca="false">IF(F1050="","",INT(F1050))</f>
        <v>45764</v>
      </c>
    </row>
    <row r="1051" customFormat="false" ht="15" hidden="false" customHeight="false" outlineLevel="0" collapsed="false">
      <c r="A1051" s="0" t="s">
        <v>2143</v>
      </c>
      <c r="B1051" s="0" t="s">
        <v>2144</v>
      </c>
      <c r="C1051" s="0" t="s">
        <v>20</v>
      </c>
      <c r="D1051" s="0" t="s">
        <v>42</v>
      </c>
      <c r="E1051" s="10" t="n">
        <v>45763.7708333333</v>
      </c>
      <c r="F1051" s="10" t="n">
        <v>45764.4798611111</v>
      </c>
      <c r="G1051" s="0" t="n">
        <v>417.47</v>
      </c>
      <c r="H1051" s="0" t="n">
        <v>419.93</v>
      </c>
      <c r="I1051" s="11" t="n">
        <f aca="false">H1051-G1051</f>
        <v>2.45999999999998</v>
      </c>
      <c r="J1051" s="5" t="n">
        <f aca="false">IF(G1051=0,"",I1051/G1051)</f>
        <v>0.00589263899202333</v>
      </c>
      <c r="K1051" s="0" t="n">
        <v>72.5</v>
      </c>
      <c r="L1051" s="0" t="n">
        <v>17.02</v>
      </c>
      <c r="M1051" s="11" t="s">
        <v>1332</v>
      </c>
      <c r="N1051" s="12" t="n">
        <f aca="false">INT(E1051)</f>
        <v>45763</v>
      </c>
      <c r="O1051" s="12" t="n">
        <f aca="false">IF(F1051="","",INT(F1051))</f>
        <v>45764</v>
      </c>
    </row>
    <row r="1052" customFormat="false" ht="15" hidden="false" customHeight="false" outlineLevel="0" collapsed="false">
      <c r="A1052" s="0" t="s">
        <v>2145</v>
      </c>
      <c r="B1052" s="0" t="s">
        <v>2146</v>
      </c>
      <c r="C1052" s="0" t="s">
        <v>23</v>
      </c>
      <c r="D1052" s="0" t="s">
        <v>42</v>
      </c>
      <c r="E1052" s="10" t="n">
        <v>45763.7895833333</v>
      </c>
      <c r="F1052" s="10" t="n">
        <v>45764.4653819444</v>
      </c>
      <c r="G1052" s="0" t="n">
        <v>85.9</v>
      </c>
      <c r="H1052" s="0" t="n">
        <v>84.97</v>
      </c>
      <c r="I1052" s="11" t="n">
        <f aca="false">H1052-G1052</f>
        <v>-0.930000000000007</v>
      </c>
      <c r="J1052" s="5" t="n">
        <f aca="false">IF(G1052=0,"",I1052/G1052)</f>
        <v>-0.010826542491269</v>
      </c>
      <c r="K1052" s="0" t="n">
        <v>17.7</v>
      </c>
      <c r="L1052" s="0" t="n">
        <v>16.22</v>
      </c>
      <c r="M1052" s="11" t="s">
        <v>1332</v>
      </c>
      <c r="N1052" s="12" t="n">
        <f aca="false">INT(E1052)</f>
        <v>45763</v>
      </c>
      <c r="O1052" s="12" t="n">
        <f aca="false">IF(F1052="","",INT(F1052))</f>
        <v>45764</v>
      </c>
    </row>
    <row r="1053" customFormat="false" ht="15" hidden="false" customHeight="false" outlineLevel="0" collapsed="false">
      <c r="A1053" s="0" t="s">
        <v>2147</v>
      </c>
      <c r="B1053" s="0" t="s">
        <v>2148</v>
      </c>
      <c r="C1053" s="0" t="s">
        <v>23</v>
      </c>
      <c r="D1053" s="0" t="s">
        <v>48</v>
      </c>
      <c r="E1053" s="10" t="n">
        <v>45763.7909722222</v>
      </c>
      <c r="F1053" s="10"/>
      <c r="G1053" s="0" t="n">
        <v>88.39</v>
      </c>
      <c r="H1053" s="0" t="n">
        <v>90.97</v>
      </c>
      <c r="I1053" s="11" t="n">
        <f aca="false">H1053-G1053</f>
        <v>2.58</v>
      </c>
      <c r="J1053" s="5" t="n">
        <f aca="false">IF(G1053=0,"",I1053/G1053)</f>
        <v>0.0291888222649621</v>
      </c>
      <c r="K1053" s="0" t="n">
        <v>17.8</v>
      </c>
      <c r="M1053" s="11" t="s">
        <v>1332</v>
      </c>
      <c r="N1053" s="12" t="n">
        <f aca="false">INT(E1053)</f>
        <v>45763</v>
      </c>
      <c r="O1053" s="12" t="str">
        <f aca="false">IF(F1053="","",INT(F1053))</f>
        <v/>
      </c>
    </row>
    <row r="1054" customFormat="false" ht="15" hidden="false" customHeight="false" outlineLevel="0" collapsed="false">
      <c r="A1054" s="0" t="s">
        <v>2149</v>
      </c>
      <c r="B1054" s="0" t="s">
        <v>2150</v>
      </c>
      <c r="C1054" s="0" t="s">
        <v>24</v>
      </c>
      <c r="D1054" s="0" t="s">
        <v>42</v>
      </c>
      <c r="E1054" s="10" t="n">
        <v>45764.3173611111</v>
      </c>
      <c r="F1054" s="10" t="n">
        <v>45765.6968981482</v>
      </c>
      <c r="G1054" s="0" t="n">
        <v>268.09</v>
      </c>
      <c r="H1054" s="0" t="n">
        <v>268.58</v>
      </c>
      <c r="I1054" s="11" t="n">
        <f aca="false">H1054-G1054</f>
        <v>0.490000000000009</v>
      </c>
      <c r="J1054" s="5" t="n">
        <f aca="false">IF(G1054=0,"",I1054/G1054)</f>
        <v>0.0018277444141893</v>
      </c>
      <c r="K1054" s="0" t="n">
        <v>110</v>
      </c>
      <c r="L1054" s="0" t="n">
        <v>33.11</v>
      </c>
      <c r="M1054" s="11" t="s">
        <v>1332</v>
      </c>
      <c r="N1054" s="12" t="n">
        <f aca="false">INT(E1054)</f>
        <v>45764</v>
      </c>
      <c r="O1054" s="12" t="n">
        <f aca="false">IF(F1054="","",INT(F1054))</f>
        <v>45765</v>
      </c>
    </row>
    <row r="1055" customFormat="false" ht="15" hidden="false" customHeight="false" outlineLevel="0" collapsed="false">
      <c r="A1055" s="0" t="s">
        <v>2151</v>
      </c>
      <c r="B1055" s="0" t="s">
        <v>2152</v>
      </c>
      <c r="C1055" s="0" t="s">
        <v>21</v>
      </c>
      <c r="D1055" s="0" t="s">
        <v>42</v>
      </c>
      <c r="E1055" s="10" t="n">
        <v>45764.3222222222</v>
      </c>
      <c r="F1055" s="10" t="n">
        <v>45765.0201388889</v>
      </c>
      <c r="G1055" s="0" t="n">
        <v>506.67</v>
      </c>
      <c r="H1055" s="0" t="n">
        <v>506.06</v>
      </c>
      <c r="I1055" s="11" t="n">
        <f aca="false">H1055-G1055</f>
        <v>-0.610000000000014</v>
      </c>
      <c r="J1055" s="5" t="n">
        <f aca="false">IF(G1055=0,"",I1055/G1055)</f>
        <v>-0.00120393944776682</v>
      </c>
      <c r="K1055" s="0" t="n">
        <v>84.2</v>
      </c>
      <c r="L1055" s="0" t="n">
        <v>16.75</v>
      </c>
      <c r="M1055" s="11" t="s">
        <v>1332</v>
      </c>
      <c r="N1055" s="12" t="n">
        <f aca="false">INT(E1055)</f>
        <v>45764</v>
      </c>
      <c r="O1055" s="12" t="n">
        <f aca="false">IF(F1055="","",INT(F1055))</f>
        <v>45765</v>
      </c>
    </row>
    <row r="1056" customFormat="false" ht="15" hidden="false" customHeight="false" outlineLevel="0" collapsed="false">
      <c r="A1056" s="0" t="s">
        <v>2153</v>
      </c>
      <c r="B1056" s="0" t="s">
        <v>2154</v>
      </c>
      <c r="C1056" s="0" t="s">
        <v>23</v>
      </c>
      <c r="D1056" s="0" t="s">
        <v>42</v>
      </c>
      <c r="E1056" s="10" t="n">
        <v>45764.3743055556</v>
      </c>
      <c r="F1056" s="10" t="n">
        <v>45765.5657523148</v>
      </c>
      <c r="G1056" s="0" t="n">
        <v>466.27</v>
      </c>
      <c r="H1056" s="0" t="n">
        <v>454.27</v>
      </c>
      <c r="I1056" s="11" t="n">
        <f aca="false">H1056-G1056</f>
        <v>-12</v>
      </c>
      <c r="J1056" s="5" t="n">
        <f aca="false">IF(G1056=0,"",I1056/G1056)</f>
        <v>-0.0257361614515195</v>
      </c>
      <c r="K1056" s="0" t="n">
        <v>119.3</v>
      </c>
      <c r="L1056" s="0" t="n">
        <v>28.59</v>
      </c>
      <c r="M1056" s="11" t="s">
        <v>1332</v>
      </c>
      <c r="N1056" s="12" t="n">
        <f aca="false">INT(E1056)</f>
        <v>45764</v>
      </c>
      <c r="O1056" s="12" t="n">
        <f aca="false">IF(F1056="","",INT(F1056))</f>
        <v>45765</v>
      </c>
    </row>
    <row r="1057" customFormat="false" ht="15" hidden="false" customHeight="false" outlineLevel="0" collapsed="false">
      <c r="A1057" s="0" t="s">
        <v>2155</v>
      </c>
      <c r="B1057" s="0" t="s">
        <v>2156</v>
      </c>
      <c r="C1057" s="0" t="s">
        <v>23</v>
      </c>
      <c r="D1057" s="0" t="s">
        <v>42</v>
      </c>
      <c r="E1057" s="10" t="n">
        <v>45764.4069444445</v>
      </c>
      <c r="F1057" s="10" t="n">
        <v>45766.2687384259</v>
      </c>
      <c r="G1057" s="0" t="n">
        <v>777.31</v>
      </c>
      <c r="H1057" s="0" t="n">
        <v>769.62</v>
      </c>
      <c r="I1057" s="11" t="n">
        <f aca="false">H1057-G1057</f>
        <v>-7.68999999999994</v>
      </c>
      <c r="J1057" s="5" t="n">
        <f aca="false">IF(G1057=0,"",I1057/G1057)</f>
        <v>-0.00989309284584007</v>
      </c>
      <c r="K1057" s="0" t="n">
        <v>163.9</v>
      </c>
      <c r="L1057" s="0" t="n">
        <v>38.23</v>
      </c>
      <c r="M1057" s="11" t="s">
        <v>1332</v>
      </c>
      <c r="N1057" s="12" t="n">
        <f aca="false">INT(E1057)</f>
        <v>45764</v>
      </c>
      <c r="O1057" s="12" t="n">
        <f aca="false">IF(F1057="","",INT(F1057))</f>
        <v>45766</v>
      </c>
    </row>
    <row r="1058" customFormat="false" ht="15" hidden="false" customHeight="false" outlineLevel="0" collapsed="false">
      <c r="A1058" s="0" t="s">
        <v>2157</v>
      </c>
      <c r="B1058" s="0" t="s">
        <v>2158</v>
      </c>
      <c r="C1058" s="0" t="s">
        <v>20</v>
      </c>
      <c r="D1058" s="0" t="s">
        <v>42</v>
      </c>
      <c r="E1058" s="10" t="n">
        <v>45764.4076388889</v>
      </c>
      <c r="F1058" s="10" t="n">
        <v>45764.6930555556</v>
      </c>
      <c r="G1058" s="0" t="n">
        <v>217.62</v>
      </c>
      <c r="H1058" s="0" t="n">
        <v>221.31</v>
      </c>
      <c r="I1058" s="11" t="n">
        <f aca="false">H1058-G1058</f>
        <v>3.69</v>
      </c>
      <c r="J1058" s="5" t="n">
        <f aca="false">IF(G1058=0,"",I1058/G1058)</f>
        <v>0.0169561621174524</v>
      </c>
      <c r="K1058" s="0" t="n">
        <v>33.6</v>
      </c>
      <c r="L1058" s="0" t="n">
        <v>6.85</v>
      </c>
      <c r="M1058" s="11" t="s">
        <v>1332</v>
      </c>
      <c r="N1058" s="12" t="n">
        <f aca="false">INT(E1058)</f>
        <v>45764</v>
      </c>
      <c r="O1058" s="12" t="n">
        <f aca="false">IF(F1058="","",INT(F1058))</f>
        <v>45764</v>
      </c>
    </row>
    <row r="1059" customFormat="false" ht="15" hidden="false" customHeight="false" outlineLevel="0" collapsed="false">
      <c r="A1059" s="0" t="s">
        <v>2159</v>
      </c>
      <c r="B1059" s="0" t="s">
        <v>2160</v>
      </c>
      <c r="C1059" s="0" t="s">
        <v>21</v>
      </c>
      <c r="D1059" s="0" t="s">
        <v>42</v>
      </c>
      <c r="E1059" s="10" t="n">
        <v>45764.4333333333</v>
      </c>
      <c r="F1059" s="10" t="n">
        <v>45765.4249537037</v>
      </c>
      <c r="G1059" s="0" t="n">
        <v>88.32</v>
      </c>
      <c r="H1059" s="0" t="n">
        <v>86.35</v>
      </c>
      <c r="I1059" s="11" t="n">
        <f aca="false">H1059-G1059</f>
        <v>-1.97</v>
      </c>
      <c r="J1059" s="5" t="n">
        <f aca="false">IF(G1059=0,"",I1059/G1059)</f>
        <v>-0.0223052536231884</v>
      </c>
      <c r="K1059" s="0" t="n">
        <v>21.5</v>
      </c>
      <c r="L1059" s="0" t="n">
        <v>23.8</v>
      </c>
      <c r="M1059" s="11" t="s">
        <v>1332</v>
      </c>
      <c r="N1059" s="12" t="n">
        <f aca="false">INT(E1059)</f>
        <v>45764</v>
      </c>
      <c r="O1059" s="12" t="n">
        <f aca="false">IF(F1059="","",INT(F1059))</f>
        <v>45765</v>
      </c>
    </row>
    <row r="1060" customFormat="false" ht="15" hidden="false" customHeight="false" outlineLevel="0" collapsed="false">
      <c r="A1060" s="0" t="s">
        <v>2161</v>
      </c>
      <c r="B1060" s="0" t="s">
        <v>2162</v>
      </c>
      <c r="C1060" s="0" t="s">
        <v>23</v>
      </c>
      <c r="D1060" s="0" t="s">
        <v>42</v>
      </c>
      <c r="E1060" s="10" t="n">
        <v>45764.4451388889</v>
      </c>
      <c r="F1060" s="10" t="n">
        <v>45765.0068055556</v>
      </c>
      <c r="G1060" s="0" t="n">
        <v>1827.33</v>
      </c>
      <c r="H1060" s="0" t="n">
        <v>1823.79</v>
      </c>
      <c r="I1060" s="11" t="n">
        <f aca="false">H1060-G1060</f>
        <v>-3.53999999999996</v>
      </c>
      <c r="J1060" s="5" t="n">
        <f aca="false">IF(G1060=0,"",I1060/G1060)</f>
        <v>-0.00193725271297465</v>
      </c>
      <c r="K1060" s="0" t="n">
        <v>542.7</v>
      </c>
      <c r="L1060" s="0" t="n">
        <v>13.48</v>
      </c>
      <c r="M1060" s="11" t="s">
        <v>1332</v>
      </c>
      <c r="N1060" s="12" t="n">
        <f aca="false">INT(E1060)</f>
        <v>45764</v>
      </c>
      <c r="O1060" s="12" t="n">
        <f aca="false">IF(F1060="","",INT(F1060))</f>
        <v>45765</v>
      </c>
    </row>
    <row r="1061" customFormat="false" ht="15" hidden="false" customHeight="false" outlineLevel="0" collapsed="false">
      <c r="A1061" s="0" t="s">
        <v>2163</v>
      </c>
      <c r="B1061" s="0" t="s">
        <v>2164</v>
      </c>
      <c r="C1061" s="0" t="s">
        <v>24</v>
      </c>
      <c r="D1061" s="0" t="s">
        <v>42</v>
      </c>
      <c r="E1061" s="10" t="n">
        <v>45764.4506944444</v>
      </c>
      <c r="F1061" s="10" t="n">
        <v>45765.242025463</v>
      </c>
      <c r="G1061" s="0" t="n">
        <v>482.51</v>
      </c>
      <c r="H1061" s="0" t="n">
        <v>497.64</v>
      </c>
      <c r="I1061" s="11" t="n">
        <f aca="false">H1061-G1061</f>
        <v>15.13</v>
      </c>
      <c r="J1061" s="5" t="n">
        <f aca="false">IF(G1061=0,"",I1061/G1061)</f>
        <v>0.0313568630701954</v>
      </c>
      <c r="K1061" s="0" t="n">
        <v>190.9</v>
      </c>
      <c r="L1061" s="0" t="n">
        <v>18.99</v>
      </c>
      <c r="M1061" s="11" t="s">
        <v>1332</v>
      </c>
      <c r="N1061" s="12" t="n">
        <f aca="false">INT(E1061)</f>
        <v>45764</v>
      </c>
      <c r="O1061" s="12" t="n">
        <f aca="false">IF(F1061="","",INT(F1061))</f>
        <v>45765</v>
      </c>
    </row>
    <row r="1062" customFormat="false" ht="15" hidden="false" customHeight="false" outlineLevel="0" collapsed="false">
      <c r="A1062" s="0" t="s">
        <v>2165</v>
      </c>
      <c r="B1062" s="0" t="s">
        <v>2166</v>
      </c>
      <c r="C1062" s="0" t="s">
        <v>19</v>
      </c>
      <c r="D1062" s="0" t="s">
        <v>42</v>
      </c>
      <c r="E1062" s="10" t="n">
        <v>45764.4548611111</v>
      </c>
      <c r="F1062" s="10" t="n">
        <v>45765.6713541667</v>
      </c>
      <c r="G1062" s="0" t="n">
        <v>1233.09</v>
      </c>
      <c r="H1062" s="0" t="n">
        <v>1191.86</v>
      </c>
      <c r="I1062" s="11" t="n">
        <f aca="false">H1062-G1062</f>
        <v>-41.23</v>
      </c>
      <c r="J1062" s="5" t="n">
        <f aca="false">IF(G1062=0,"",I1062/G1062)</f>
        <v>-0.0334363266266047</v>
      </c>
      <c r="K1062" s="0" t="n">
        <v>209.5</v>
      </c>
      <c r="L1062" s="0" t="n">
        <v>29.2</v>
      </c>
      <c r="M1062" s="11" t="s">
        <v>1332</v>
      </c>
      <c r="N1062" s="12" t="n">
        <f aca="false">INT(E1062)</f>
        <v>45764</v>
      </c>
      <c r="O1062" s="12" t="n">
        <f aca="false">IF(F1062="","",INT(F1062))</f>
        <v>45765</v>
      </c>
    </row>
    <row r="1063" customFormat="false" ht="15" hidden="false" customHeight="false" outlineLevel="0" collapsed="false">
      <c r="A1063" s="0" t="s">
        <v>2167</v>
      </c>
      <c r="B1063" s="0" t="s">
        <v>2168</v>
      </c>
      <c r="C1063" s="0" t="s">
        <v>19</v>
      </c>
      <c r="D1063" s="0" t="s">
        <v>42</v>
      </c>
      <c r="E1063" s="10" t="n">
        <v>45764.4631944444</v>
      </c>
      <c r="F1063" s="10" t="n">
        <v>45764.8645833333</v>
      </c>
      <c r="G1063" s="0" t="n">
        <v>286.33</v>
      </c>
      <c r="H1063" s="0" t="n">
        <v>298.1</v>
      </c>
      <c r="I1063" s="11" t="n">
        <f aca="false">H1063-G1063</f>
        <v>11.77</v>
      </c>
      <c r="J1063" s="5" t="n">
        <f aca="false">IF(G1063=0,"",I1063/G1063)</f>
        <v>0.0411064156742222</v>
      </c>
      <c r="K1063" s="0" t="n">
        <v>32.4</v>
      </c>
      <c r="L1063" s="0" t="n">
        <v>9.63</v>
      </c>
      <c r="M1063" s="11" t="s">
        <v>1332</v>
      </c>
      <c r="N1063" s="12" t="n">
        <f aca="false">INT(E1063)</f>
        <v>45764</v>
      </c>
      <c r="O1063" s="12" t="n">
        <f aca="false">IF(F1063="","",INT(F1063))</f>
        <v>45764</v>
      </c>
    </row>
    <row r="1064" customFormat="false" ht="15" hidden="false" customHeight="false" outlineLevel="0" collapsed="false">
      <c r="A1064" s="0" t="s">
        <v>2169</v>
      </c>
      <c r="B1064" s="0" t="s">
        <v>2170</v>
      </c>
      <c r="C1064" s="0" t="s">
        <v>21</v>
      </c>
      <c r="D1064" s="0" t="s">
        <v>42</v>
      </c>
      <c r="E1064" s="10" t="n">
        <v>45764.4798611111</v>
      </c>
      <c r="F1064" s="10" t="n">
        <v>45765.5763888889</v>
      </c>
      <c r="G1064" s="0" t="n">
        <v>328.64</v>
      </c>
      <c r="H1064" s="0" t="n">
        <v>315.4</v>
      </c>
      <c r="I1064" s="11" t="n">
        <f aca="false">H1064-G1064</f>
        <v>-13.24</v>
      </c>
      <c r="J1064" s="5" t="n">
        <f aca="false">IF(G1064=0,"",I1064/G1064)</f>
        <v>-0.0402872444011685</v>
      </c>
      <c r="K1064" s="0" t="n">
        <v>43</v>
      </c>
      <c r="L1064" s="0" t="n">
        <v>26.32</v>
      </c>
      <c r="M1064" s="11" t="s">
        <v>1332</v>
      </c>
      <c r="N1064" s="12" t="n">
        <f aca="false">INT(E1064)</f>
        <v>45764</v>
      </c>
      <c r="O1064" s="12" t="n">
        <f aca="false">IF(F1064="","",INT(F1064))</f>
        <v>45765</v>
      </c>
    </row>
    <row r="1065" customFormat="false" ht="15" hidden="false" customHeight="false" outlineLevel="0" collapsed="false">
      <c r="A1065" s="0" t="s">
        <v>2171</v>
      </c>
      <c r="B1065" s="0" t="s">
        <v>2172</v>
      </c>
      <c r="C1065" s="0" t="s">
        <v>20</v>
      </c>
      <c r="D1065" s="0" t="s">
        <v>42</v>
      </c>
      <c r="E1065" s="10" t="n">
        <v>45764.4854166667</v>
      </c>
      <c r="F1065" s="10" t="n">
        <v>45765.0181365741</v>
      </c>
      <c r="G1065" s="0" t="n">
        <v>257.02</v>
      </c>
      <c r="H1065" s="0" t="n">
        <v>253.88</v>
      </c>
      <c r="I1065" s="11" t="n">
        <f aca="false">H1065-G1065</f>
        <v>-3.13999999999999</v>
      </c>
      <c r="J1065" s="5" t="n">
        <f aca="false">IF(G1065=0,"",I1065/G1065)</f>
        <v>-0.0122169480974243</v>
      </c>
      <c r="K1065" s="0" t="n">
        <v>36.2</v>
      </c>
      <c r="L1065" s="0" t="n">
        <v>12.79</v>
      </c>
      <c r="M1065" s="11" t="s">
        <v>1332</v>
      </c>
      <c r="N1065" s="12" t="n">
        <f aca="false">INT(E1065)</f>
        <v>45764</v>
      </c>
      <c r="O1065" s="12" t="n">
        <f aca="false">IF(F1065="","",INT(F1065))</f>
        <v>45765</v>
      </c>
    </row>
    <row r="1066" customFormat="false" ht="15" hidden="false" customHeight="false" outlineLevel="0" collapsed="false">
      <c r="A1066" s="0" t="s">
        <v>2173</v>
      </c>
      <c r="B1066" s="0" t="s">
        <v>2174</v>
      </c>
      <c r="C1066" s="0" t="s">
        <v>19</v>
      </c>
      <c r="D1066" s="0" t="s">
        <v>42</v>
      </c>
      <c r="E1066" s="10" t="n">
        <v>45764.4868055556</v>
      </c>
      <c r="F1066" s="10" t="n">
        <v>45765.1555555556</v>
      </c>
      <c r="G1066" s="0" t="n">
        <v>1075.51</v>
      </c>
      <c r="H1066" s="0" t="n">
        <v>1051.81</v>
      </c>
      <c r="I1066" s="11" t="n">
        <f aca="false">H1066-G1066</f>
        <v>-23.7</v>
      </c>
      <c r="J1066" s="5" t="n">
        <f aca="false">IF(G1066=0,"",I1066/G1066)</f>
        <v>-0.0220360573123449</v>
      </c>
      <c r="K1066" s="0" t="n">
        <v>115</v>
      </c>
      <c r="L1066" s="0" t="n">
        <v>16.05</v>
      </c>
      <c r="M1066" s="11" t="s">
        <v>1332</v>
      </c>
      <c r="N1066" s="12" t="n">
        <f aca="false">INT(E1066)</f>
        <v>45764</v>
      </c>
      <c r="O1066" s="12" t="n">
        <f aca="false">IF(F1066="","",INT(F1066))</f>
        <v>45765</v>
      </c>
    </row>
    <row r="1067" customFormat="false" ht="15" hidden="false" customHeight="false" outlineLevel="0" collapsed="false">
      <c r="A1067" s="0" t="s">
        <v>2175</v>
      </c>
      <c r="B1067" s="0" t="s">
        <v>2176</v>
      </c>
      <c r="C1067" s="0" t="s">
        <v>22</v>
      </c>
      <c r="D1067" s="0" t="s">
        <v>42</v>
      </c>
      <c r="E1067" s="10" t="n">
        <v>45764.4930555556</v>
      </c>
      <c r="F1067" s="10" t="n">
        <v>45764.9076388889</v>
      </c>
      <c r="G1067" s="0" t="n">
        <v>379.17</v>
      </c>
      <c r="H1067" s="0" t="n">
        <v>381.87</v>
      </c>
      <c r="I1067" s="11" t="n">
        <f aca="false">H1067-G1067</f>
        <v>2.69999999999999</v>
      </c>
      <c r="J1067" s="5" t="n">
        <f aca="false">IF(G1067=0,"",I1067/G1067)</f>
        <v>0.0071208165202943</v>
      </c>
      <c r="K1067" s="0" t="n">
        <v>57.8</v>
      </c>
      <c r="L1067" s="0" t="n">
        <v>9.95</v>
      </c>
      <c r="M1067" s="11" t="s">
        <v>1332</v>
      </c>
      <c r="N1067" s="12" t="n">
        <f aca="false">INT(E1067)</f>
        <v>45764</v>
      </c>
      <c r="O1067" s="12" t="n">
        <f aca="false">IF(F1067="","",INT(F1067))</f>
        <v>45764</v>
      </c>
    </row>
    <row r="1068" customFormat="false" ht="15" hidden="false" customHeight="false" outlineLevel="0" collapsed="false">
      <c r="A1068" s="0" t="s">
        <v>2177</v>
      </c>
      <c r="B1068" s="0" t="s">
        <v>2178</v>
      </c>
      <c r="C1068" s="0" t="s">
        <v>19</v>
      </c>
      <c r="D1068" s="0" t="s">
        <v>42</v>
      </c>
      <c r="E1068" s="10" t="n">
        <v>45764.5152777778</v>
      </c>
      <c r="F1068" s="10" t="n">
        <v>45764.9859953704</v>
      </c>
      <c r="G1068" s="0" t="n">
        <v>784.3</v>
      </c>
      <c r="H1068" s="0" t="n">
        <v>787.93</v>
      </c>
      <c r="I1068" s="11" t="n">
        <f aca="false">H1068-G1068</f>
        <v>3.63</v>
      </c>
      <c r="J1068" s="5" t="n">
        <f aca="false">IF(G1068=0,"",I1068/G1068)</f>
        <v>0.00462833099579242</v>
      </c>
      <c r="K1068" s="0" t="n">
        <v>90.8</v>
      </c>
      <c r="L1068" s="0" t="n">
        <v>11.3</v>
      </c>
      <c r="M1068" s="11" t="s">
        <v>1332</v>
      </c>
      <c r="N1068" s="12" t="n">
        <f aca="false">INT(E1068)</f>
        <v>45764</v>
      </c>
      <c r="O1068" s="12" t="n">
        <f aca="false">IF(F1068="","",INT(F1068))</f>
        <v>45764</v>
      </c>
    </row>
    <row r="1069" customFormat="false" ht="15" hidden="false" customHeight="false" outlineLevel="0" collapsed="false">
      <c r="A1069" s="0" t="s">
        <v>2179</v>
      </c>
      <c r="B1069" s="0" t="s">
        <v>2180</v>
      </c>
      <c r="C1069" s="0" t="s">
        <v>23</v>
      </c>
      <c r="D1069" s="0" t="s">
        <v>42</v>
      </c>
      <c r="E1069" s="10" t="n">
        <v>45764.5333333333</v>
      </c>
      <c r="F1069" s="10" t="n">
        <v>45766.3327083333</v>
      </c>
      <c r="G1069" s="0" t="n">
        <v>1098.04</v>
      </c>
      <c r="H1069" s="0" t="n">
        <v>1100.53</v>
      </c>
      <c r="I1069" s="11" t="n">
        <f aca="false">H1069-G1069</f>
        <v>2.49000000000001</v>
      </c>
      <c r="J1069" s="5" t="n">
        <f aca="false">IF(G1069=0,"",I1069/G1069)</f>
        <v>0.00226767695165933</v>
      </c>
      <c r="K1069" s="0" t="n">
        <v>294.4</v>
      </c>
      <c r="L1069" s="0" t="n">
        <v>35.2</v>
      </c>
      <c r="M1069" s="11" t="s">
        <v>1332</v>
      </c>
      <c r="N1069" s="12" t="n">
        <f aca="false">INT(E1069)</f>
        <v>45764</v>
      </c>
      <c r="O1069" s="12" t="n">
        <f aca="false">IF(F1069="","",INT(F1069))</f>
        <v>45766</v>
      </c>
    </row>
    <row r="1070" customFormat="false" ht="15" hidden="false" customHeight="false" outlineLevel="0" collapsed="false">
      <c r="A1070" s="0" t="s">
        <v>2181</v>
      </c>
      <c r="B1070" s="0" t="s">
        <v>2182</v>
      </c>
      <c r="C1070" s="0" t="s">
        <v>21</v>
      </c>
      <c r="D1070" s="0" t="s">
        <v>42</v>
      </c>
      <c r="E1070" s="10" t="n">
        <v>45764.5583333333</v>
      </c>
      <c r="F1070" s="10" t="n">
        <v>45765.5826388889</v>
      </c>
      <c r="G1070" s="0" t="n">
        <v>816.04</v>
      </c>
      <c r="H1070" s="0" t="n">
        <v>656.99</v>
      </c>
      <c r="I1070" s="11" t="n">
        <f aca="false">H1070-G1070</f>
        <v>-159.05</v>
      </c>
      <c r="J1070" s="5" t="n">
        <f aca="false">IF(G1070=0,"",I1070/G1070)</f>
        <v>-0.194904661536199</v>
      </c>
      <c r="K1070" s="0" t="n">
        <v>151.5</v>
      </c>
      <c r="L1070" s="0" t="n">
        <v>24.58</v>
      </c>
      <c r="M1070" s="11" t="s">
        <v>1332</v>
      </c>
      <c r="N1070" s="12" t="n">
        <f aca="false">INT(E1070)</f>
        <v>45764</v>
      </c>
      <c r="O1070" s="12" t="n">
        <f aca="false">IF(F1070="","",INT(F1070))</f>
        <v>45765</v>
      </c>
    </row>
    <row r="1071" customFormat="false" ht="15" hidden="false" customHeight="false" outlineLevel="0" collapsed="false">
      <c r="A1071" s="0" t="s">
        <v>2183</v>
      </c>
      <c r="B1071" s="0" t="s">
        <v>2184</v>
      </c>
      <c r="C1071" s="0" t="s">
        <v>22</v>
      </c>
      <c r="D1071" s="0" t="s">
        <v>42</v>
      </c>
      <c r="E1071" s="10" t="n">
        <v>45764.5715277778</v>
      </c>
      <c r="F1071" s="10" t="n">
        <v>45765.6663888889</v>
      </c>
      <c r="G1071" s="0" t="n">
        <v>193.56</v>
      </c>
      <c r="H1071" s="0" t="n">
        <v>188.11</v>
      </c>
      <c r="I1071" s="11" t="n">
        <f aca="false">H1071-G1071</f>
        <v>-5.44999999999999</v>
      </c>
      <c r="J1071" s="5" t="n">
        <f aca="false">IF(G1071=0,"",I1071/G1071)</f>
        <v>-0.0281566439346972</v>
      </c>
      <c r="K1071" s="0" t="n">
        <v>20.7</v>
      </c>
      <c r="L1071" s="0" t="n">
        <v>26.28</v>
      </c>
      <c r="M1071" s="11" t="s">
        <v>1332</v>
      </c>
      <c r="N1071" s="12" t="n">
        <f aca="false">INT(E1071)</f>
        <v>45764</v>
      </c>
      <c r="O1071" s="12" t="n">
        <f aca="false">IF(F1071="","",INT(F1071))</f>
        <v>45765</v>
      </c>
    </row>
    <row r="1072" customFormat="false" ht="15" hidden="false" customHeight="false" outlineLevel="0" collapsed="false">
      <c r="A1072" s="0" t="s">
        <v>2185</v>
      </c>
      <c r="B1072" s="0" t="s">
        <v>2186</v>
      </c>
      <c r="C1072" s="0" t="s">
        <v>24</v>
      </c>
      <c r="D1072" s="0" t="s">
        <v>42</v>
      </c>
      <c r="E1072" s="10" t="n">
        <v>45764.6534722222</v>
      </c>
      <c r="F1072" s="10" t="n">
        <v>45765.8932986111</v>
      </c>
      <c r="G1072" s="0" t="n">
        <v>152.89</v>
      </c>
      <c r="H1072" s="0" t="n">
        <v>148.54</v>
      </c>
      <c r="I1072" s="11" t="n">
        <f aca="false">H1072-G1072</f>
        <v>-4.34999999999999</v>
      </c>
      <c r="J1072" s="5" t="n">
        <f aca="false">IF(G1072=0,"",I1072/G1072)</f>
        <v>-0.0284518281117143</v>
      </c>
      <c r="K1072" s="0" t="n">
        <v>63.3</v>
      </c>
      <c r="L1072" s="0" t="n">
        <v>29.76</v>
      </c>
      <c r="M1072" s="11" t="s">
        <v>1332</v>
      </c>
      <c r="N1072" s="12" t="n">
        <f aca="false">INT(E1072)</f>
        <v>45764</v>
      </c>
      <c r="O1072" s="12" t="n">
        <f aca="false">IF(F1072="","",INT(F1072))</f>
        <v>45765</v>
      </c>
    </row>
    <row r="1073" customFormat="false" ht="15" hidden="false" customHeight="false" outlineLevel="0" collapsed="false">
      <c r="A1073" s="0" t="s">
        <v>2187</v>
      </c>
      <c r="B1073" s="0" t="s">
        <v>2188</v>
      </c>
      <c r="C1073" s="0" t="s">
        <v>23</v>
      </c>
      <c r="D1073" s="0" t="s">
        <v>42</v>
      </c>
      <c r="E1073" s="10" t="n">
        <v>45764.6534722222</v>
      </c>
      <c r="F1073" s="10" t="n">
        <v>45765.5319212963</v>
      </c>
      <c r="G1073" s="0" t="n">
        <v>711.02</v>
      </c>
      <c r="H1073" s="0" t="n">
        <v>713.44</v>
      </c>
      <c r="I1073" s="11" t="n">
        <f aca="false">H1073-G1073</f>
        <v>2.42000000000007</v>
      </c>
      <c r="J1073" s="5" t="n">
        <f aca="false">IF(G1073=0,"",I1073/G1073)</f>
        <v>0.00340356108126364</v>
      </c>
      <c r="K1073" s="0" t="n">
        <v>282.5</v>
      </c>
      <c r="L1073" s="0" t="n">
        <v>21.08</v>
      </c>
      <c r="M1073" s="11" t="s">
        <v>1332</v>
      </c>
      <c r="N1073" s="12" t="n">
        <f aca="false">INT(E1073)</f>
        <v>45764</v>
      </c>
      <c r="O1073" s="12" t="n">
        <f aca="false">IF(F1073="","",INT(F1073))</f>
        <v>45765</v>
      </c>
    </row>
    <row r="1074" customFormat="false" ht="15" hidden="false" customHeight="false" outlineLevel="0" collapsed="false">
      <c r="A1074" s="0" t="s">
        <v>2189</v>
      </c>
      <c r="B1074" s="0" t="s">
        <v>2190</v>
      </c>
      <c r="C1074" s="0" t="s">
        <v>22</v>
      </c>
      <c r="D1074" s="0" t="s">
        <v>48</v>
      </c>
      <c r="E1074" s="10" t="n">
        <v>45764.6638888889</v>
      </c>
      <c r="F1074" s="10"/>
      <c r="G1074" s="0" t="n">
        <v>1402.19</v>
      </c>
      <c r="H1074" s="0" t="n">
        <v>1428.18</v>
      </c>
      <c r="I1074" s="11" t="n">
        <f aca="false">H1074-G1074</f>
        <v>25.99</v>
      </c>
      <c r="J1074" s="5" t="n">
        <f aca="false">IF(G1074=0,"",I1074/G1074)</f>
        <v>0.0185352912230154</v>
      </c>
      <c r="K1074" s="0" t="n">
        <v>179.8</v>
      </c>
      <c r="M1074" s="11" t="s">
        <v>1332</v>
      </c>
      <c r="N1074" s="12" t="n">
        <f aca="false">INT(E1074)</f>
        <v>45764</v>
      </c>
      <c r="O1074" s="12" t="str">
        <f aca="false">IF(F1074="","",INT(F1074))</f>
        <v/>
      </c>
    </row>
    <row r="1075" customFormat="false" ht="15" hidden="false" customHeight="false" outlineLevel="0" collapsed="false">
      <c r="A1075" s="0" t="s">
        <v>2191</v>
      </c>
      <c r="B1075" s="0" t="s">
        <v>2192</v>
      </c>
      <c r="C1075" s="0" t="s">
        <v>21</v>
      </c>
      <c r="D1075" s="0" t="s">
        <v>42</v>
      </c>
      <c r="E1075" s="10" t="n">
        <v>45764.6958333333</v>
      </c>
      <c r="F1075" s="10" t="n">
        <v>45764.9527777778</v>
      </c>
      <c r="G1075" s="0" t="n">
        <v>385.84</v>
      </c>
      <c r="H1075" s="0" t="n">
        <v>328.35</v>
      </c>
      <c r="I1075" s="11" t="n">
        <f aca="false">H1075-G1075</f>
        <v>-57.49</v>
      </c>
      <c r="J1075" s="5" t="n">
        <f aca="false">IF(G1075=0,"",I1075/G1075)</f>
        <v>-0.14899958532034</v>
      </c>
      <c r="K1075" s="0" t="n">
        <v>91.5</v>
      </c>
      <c r="L1075" s="0" t="n">
        <v>6.17</v>
      </c>
      <c r="M1075" s="11" t="s">
        <v>1332</v>
      </c>
      <c r="N1075" s="12" t="n">
        <f aca="false">INT(E1075)</f>
        <v>45764</v>
      </c>
      <c r="O1075" s="12" t="n">
        <f aca="false">IF(F1075="","",INT(F1075))</f>
        <v>45764</v>
      </c>
    </row>
    <row r="1076" customFormat="false" ht="15" hidden="false" customHeight="false" outlineLevel="0" collapsed="false">
      <c r="A1076" s="0" t="s">
        <v>2193</v>
      </c>
      <c r="B1076" s="0" t="s">
        <v>2194</v>
      </c>
      <c r="C1076" s="0" t="s">
        <v>21</v>
      </c>
      <c r="D1076" s="0" t="s">
        <v>42</v>
      </c>
      <c r="E1076" s="10" t="n">
        <v>45764.6972222222</v>
      </c>
      <c r="F1076" s="10" t="n">
        <v>45765.8930555556</v>
      </c>
      <c r="G1076" s="0" t="n">
        <v>174.94</v>
      </c>
      <c r="H1076" s="0" t="n">
        <v>174.08</v>
      </c>
      <c r="I1076" s="11" t="n">
        <f aca="false">H1076-G1076</f>
        <v>-0.859999999999985</v>
      </c>
      <c r="J1076" s="5" t="n">
        <f aca="false">IF(G1076=0,"",I1076/G1076)</f>
        <v>-0.00491597119012224</v>
      </c>
      <c r="K1076" s="0" t="n">
        <v>34.9</v>
      </c>
      <c r="L1076" s="0" t="n">
        <v>28.7</v>
      </c>
      <c r="M1076" s="11" t="s">
        <v>1332</v>
      </c>
      <c r="N1076" s="12" t="n">
        <f aca="false">INT(E1076)</f>
        <v>45764</v>
      </c>
      <c r="O1076" s="12" t="n">
        <f aca="false">IF(F1076="","",INT(F1076))</f>
        <v>45765</v>
      </c>
    </row>
    <row r="1077" customFormat="false" ht="15" hidden="false" customHeight="false" outlineLevel="0" collapsed="false">
      <c r="A1077" s="0" t="s">
        <v>2195</v>
      </c>
      <c r="B1077" s="0" t="s">
        <v>2196</v>
      </c>
      <c r="C1077" s="0" t="s">
        <v>21</v>
      </c>
      <c r="D1077" s="0" t="s">
        <v>42</v>
      </c>
      <c r="E1077" s="10" t="n">
        <v>45764.7118055556</v>
      </c>
      <c r="F1077" s="10" t="n">
        <v>45765.0091319445</v>
      </c>
      <c r="G1077" s="0" t="n">
        <v>288.87</v>
      </c>
      <c r="H1077" s="0" t="n">
        <v>292.43</v>
      </c>
      <c r="I1077" s="11" t="n">
        <f aca="false">H1077-G1077</f>
        <v>3.56</v>
      </c>
      <c r="J1077" s="5" t="n">
        <f aca="false">IF(G1077=0,"",I1077/G1077)</f>
        <v>0.0123238827154083</v>
      </c>
      <c r="K1077" s="0" t="n">
        <v>77.5</v>
      </c>
      <c r="L1077" s="0" t="n">
        <v>7.14</v>
      </c>
      <c r="M1077" s="11" t="s">
        <v>1332</v>
      </c>
      <c r="N1077" s="12" t="n">
        <f aca="false">INT(E1077)</f>
        <v>45764</v>
      </c>
      <c r="O1077" s="12" t="n">
        <f aca="false">IF(F1077="","",INT(F1077))</f>
        <v>45765</v>
      </c>
    </row>
    <row r="1078" customFormat="false" ht="15" hidden="false" customHeight="false" outlineLevel="0" collapsed="false">
      <c r="A1078" s="0" t="s">
        <v>2197</v>
      </c>
      <c r="B1078" s="0" t="s">
        <v>2198</v>
      </c>
      <c r="C1078" s="0" t="s">
        <v>23</v>
      </c>
      <c r="D1078" s="0" t="s">
        <v>42</v>
      </c>
      <c r="E1078" s="10" t="n">
        <v>45764.75625</v>
      </c>
      <c r="F1078" s="10" t="n">
        <v>45765.7527777778</v>
      </c>
      <c r="G1078" s="0" t="n">
        <v>271.31</v>
      </c>
      <c r="H1078" s="0" t="n">
        <v>272.79</v>
      </c>
      <c r="I1078" s="11" t="n">
        <f aca="false">H1078-G1078</f>
        <v>1.48000000000002</v>
      </c>
      <c r="J1078" s="5" t="n">
        <f aca="false">IF(G1078=0,"",I1078/G1078)</f>
        <v>0.00545501455899163</v>
      </c>
      <c r="K1078" s="0" t="n">
        <v>67.6</v>
      </c>
      <c r="L1078" s="0" t="n">
        <v>23.92</v>
      </c>
      <c r="M1078" s="11" t="s">
        <v>1332</v>
      </c>
      <c r="N1078" s="12" t="n">
        <f aca="false">INT(E1078)</f>
        <v>45764</v>
      </c>
      <c r="O1078" s="12" t="n">
        <f aca="false">IF(F1078="","",INT(F1078))</f>
        <v>45765</v>
      </c>
    </row>
    <row r="1079" customFormat="false" ht="15" hidden="false" customHeight="false" outlineLevel="0" collapsed="false">
      <c r="A1079" s="0" t="s">
        <v>2199</v>
      </c>
      <c r="B1079" s="0" t="s">
        <v>2200</v>
      </c>
      <c r="C1079" s="0" t="s">
        <v>24</v>
      </c>
      <c r="D1079" s="0" t="s">
        <v>42</v>
      </c>
      <c r="E1079" s="10" t="n">
        <v>45764.7590277778</v>
      </c>
      <c r="F1079" s="10" t="n">
        <v>45765.6013888889</v>
      </c>
      <c r="G1079" s="0" t="n">
        <v>491.39</v>
      </c>
      <c r="H1079" s="0" t="n">
        <v>478.3</v>
      </c>
      <c r="I1079" s="11" t="n">
        <f aca="false">H1079-G1079</f>
        <v>-13.09</v>
      </c>
      <c r="J1079" s="5" t="n">
        <f aca="false">IF(G1079=0,"",I1079/G1079)</f>
        <v>-0.026638718736645</v>
      </c>
      <c r="K1079" s="0" t="n">
        <v>157.9</v>
      </c>
      <c r="L1079" s="0" t="n">
        <v>20.22</v>
      </c>
      <c r="M1079" s="11" t="s">
        <v>1332</v>
      </c>
      <c r="N1079" s="12" t="n">
        <f aca="false">INT(E1079)</f>
        <v>45764</v>
      </c>
      <c r="O1079" s="12" t="n">
        <f aca="false">IF(F1079="","",INT(F1079))</f>
        <v>45765</v>
      </c>
    </row>
    <row r="1080" customFormat="false" ht="15" hidden="false" customHeight="false" outlineLevel="0" collapsed="false">
      <c r="A1080" s="0" t="s">
        <v>2201</v>
      </c>
      <c r="B1080" s="0" t="s">
        <v>2202</v>
      </c>
      <c r="C1080" s="0" t="s">
        <v>23</v>
      </c>
      <c r="D1080" s="0" t="s">
        <v>42</v>
      </c>
      <c r="E1080" s="10" t="n">
        <v>45764.7611111111</v>
      </c>
      <c r="F1080" s="10" t="n">
        <v>45765.475</v>
      </c>
      <c r="G1080" s="0" t="n">
        <v>504.54</v>
      </c>
      <c r="H1080" s="0" t="n">
        <v>506.55</v>
      </c>
      <c r="I1080" s="11" t="n">
        <f aca="false">H1080-G1080</f>
        <v>2.00999999999999</v>
      </c>
      <c r="J1080" s="5" t="n">
        <f aca="false">IF(G1080=0,"",I1080/G1080)</f>
        <v>0.00398382685218217</v>
      </c>
      <c r="K1080" s="0" t="n">
        <v>194.2</v>
      </c>
      <c r="L1080" s="0" t="n">
        <v>17.13</v>
      </c>
      <c r="M1080" s="11" t="s">
        <v>1332</v>
      </c>
      <c r="N1080" s="12" t="n">
        <f aca="false">INT(E1080)</f>
        <v>45764</v>
      </c>
      <c r="O1080" s="12" t="n">
        <f aca="false">IF(F1080="","",INT(F1080))</f>
        <v>45765</v>
      </c>
    </row>
    <row r="1081" customFormat="false" ht="15" hidden="false" customHeight="false" outlineLevel="0" collapsed="false">
      <c r="A1081" s="0" t="s">
        <v>2203</v>
      </c>
      <c r="B1081" s="0" t="s">
        <v>2204</v>
      </c>
      <c r="C1081" s="0" t="s">
        <v>23</v>
      </c>
      <c r="D1081" s="0" t="s">
        <v>42</v>
      </c>
      <c r="E1081" s="10" t="n">
        <v>45764.7715277778</v>
      </c>
      <c r="F1081" s="10" t="n">
        <v>45765.5425462963</v>
      </c>
      <c r="G1081" s="0" t="n">
        <v>313.11</v>
      </c>
      <c r="H1081" s="0" t="n">
        <v>312.38</v>
      </c>
      <c r="I1081" s="11" t="n">
        <f aca="false">H1081-G1081</f>
        <v>-0.730000000000018</v>
      </c>
      <c r="J1081" s="5" t="n">
        <f aca="false">IF(G1081=0,"",I1081/G1081)</f>
        <v>-0.00233144901152955</v>
      </c>
      <c r="K1081" s="0" t="n">
        <v>100.2</v>
      </c>
      <c r="L1081" s="0" t="n">
        <v>18.5</v>
      </c>
      <c r="M1081" s="11" t="s">
        <v>1332</v>
      </c>
      <c r="N1081" s="12" t="n">
        <f aca="false">INT(E1081)</f>
        <v>45764</v>
      </c>
      <c r="O1081" s="12" t="n">
        <f aca="false">IF(F1081="","",INT(F1081))</f>
        <v>45765</v>
      </c>
    </row>
    <row r="1082" customFormat="false" ht="15" hidden="false" customHeight="false" outlineLevel="0" collapsed="false">
      <c r="A1082" s="0" t="s">
        <v>2205</v>
      </c>
      <c r="B1082" s="0" t="s">
        <v>2206</v>
      </c>
      <c r="C1082" s="0" t="s">
        <v>23</v>
      </c>
      <c r="D1082" s="0" t="s">
        <v>42</v>
      </c>
      <c r="E1082" s="10" t="n">
        <v>45765.3402777778</v>
      </c>
      <c r="F1082" s="10" t="n">
        <v>45766.0756944444</v>
      </c>
      <c r="G1082" s="0" t="n">
        <v>517.69</v>
      </c>
      <c r="H1082" s="0" t="n">
        <v>519.52</v>
      </c>
      <c r="I1082" s="11" t="n">
        <f aca="false">H1082-G1082</f>
        <v>1.82999999999993</v>
      </c>
      <c r="J1082" s="5" t="n">
        <f aca="false">IF(G1082=0,"",I1082/G1082)</f>
        <v>0.00353493403388114</v>
      </c>
      <c r="K1082" s="0" t="n">
        <v>202.6</v>
      </c>
      <c r="L1082" s="0" t="n">
        <v>15.83</v>
      </c>
      <c r="M1082" s="11" t="s">
        <v>1332</v>
      </c>
      <c r="N1082" s="12" t="n">
        <f aca="false">INT(E1082)</f>
        <v>45765</v>
      </c>
      <c r="O1082" s="12" t="n">
        <f aca="false">IF(F1082="","",INT(F1082))</f>
        <v>45766</v>
      </c>
    </row>
    <row r="1083" customFormat="false" ht="15" hidden="false" customHeight="false" outlineLevel="0" collapsed="false">
      <c r="A1083" s="0" t="s">
        <v>2207</v>
      </c>
      <c r="B1083" s="0" t="s">
        <v>2208</v>
      </c>
      <c r="C1083" s="0" t="s">
        <v>23</v>
      </c>
      <c r="D1083" s="0" t="s">
        <v>42</v>
      </c>
      <c r="E1083" s="10" t="n">
        <v>45765.3659722222</v>
      </c>
      <c r="F1083" s="10" t="n">
        <v>45767.15</v>
      </c>
      <c r="G1083" s="0" t="n">
        <v>607.86</v>
      </c>
      <c r="H1083" s="0" t="n">
        <v>615.96</v>
      </c>
      <c r="I1083" s="11" t="n">
        <f aca="false">H1083-G1083</f>
        <v>8.10000000000002</v>
      </c>
      <c r="J1083" s="5" t="n">
        <f aca="false">IF(G1083=0,"",I1083/G1083)</f>
        <v>0.0133254367782055</v>
      </c>
      <c r="K1083" s="0" t="n">
        <v>125.2</v>
      </c>
      <c r="L1083" s="0" t="n">
        <v>15.22</v>
      </c>
      <c r="M1083" s="11" t="s">
        <v>1332</v>
      </c>
      <c r="N1083" s="12" t="n">
        <f aca="false">INT(E1083)</f>
        <v>45765</v>
      </c>
      <c r="O1083" s="12" t="n">
        <f aca="false">IF(F1083="","",INT(F1083))</f>
        <v>45767</v>
      </c>
    </row>
    <row r="1084" customFormat="false" ht="15" hidden="false" customHeight="false" outlineLevel="0" collapsed="false">
      <c r="A1084" s="0" t="s">
        <v>2209</v>
      </c>
      <c r="B1084" s="0" t="s">
        <v>2210</v>
      </c>
      <c r="C1084" s="0" t="s">
        <v>20</v>
      </c>
      <c r="D1084" s="0" t="s">
        <v>42</v>
      </c>
      <c r="E1084" s="10" t="n">
        <v>45765.3895833333</v>
      </c>
      <c r="F1084" s="10" t="n">
        <v>45765.9335648148</v>
      </c>
      <c r="G1084" s="0" t="n">
        <v>157.99</v>
      </c>
      <c r="H1084" s="0" t="n">
        <v>164.02</v>
      </c>
      <c r="I1084" s="11" t="n">
        <f aca="false">H1084-G1084</f>
        <v>6.03</v>
      </c>
      <c r="J1084" s="5" t="n">
        <f aca="false">IF(G1084=0,"",I1084/G1084)</f>
        <v>0.0381669725932021</v>
      </c>
      <c r="K1084" s="0" t="n">
        <v>30.4</v>
      </c>
      <c r="L1084" s="0" t="n">
        <v>13.06</v>
      </c>
      <c r="M1084" s="11" t="s">
        <v>1332</v>
      </c>
      <c r="N1084" s="12" t="n">
        <f aca="false">INT(E1084)</f>
        <v>45765</v>
      </c>
      <c r="O1084" s="12" t="n">
        <f aca="false">IF(F1084="","",INT(F1084))</f>
        <v>45765</v>
      </c>
    </row>
    <row r="1085" customFormat="false" ht="15" hidden="false" customHeight="false" outlineLevel="0" collapsed="false">
      <c r="A1085" s="0" t="s">
        <v>2211</v>
      </c>
      <c r="B1085" s="0" t="s">
        <v>2212</v>
      </c>
      <c r="C1085" s="0" t="s">
        <v>23</v>
      </c>
      <c r="D1085" s="0" t="s">
        <v>42</v>
      </c>
      <c r="E1085" s="10" t="n">
        <v>45765.4013888889</v>
      </c>
      <c r="F1085" s="10" t="n">
        <v>45766.1409722222</v>
      </c>
      <c r="G1085" s="0" t="n">
        <v>341.4</v>
      </c>
      <c r="H1085" s="0" t="n">
        <v>340.09</v>
      </c>
      <c r="I1085" s="11" t="n">
        <f aca="false">H1085-G1085</f>
        <v>-1.31</v>
      </c>
      <c r="J1085" s="5" t="n">
        <f aca="false">IF(G1085=0,"",I1085/G1085)</f>
        <v>-0.00383714118336263</v>
      </c>
      <c r="K1085" s="0" t="n">
        <v>69.3</v>
      </c>
      <c r="L1085" s="0" t="n">
        <v>14.37</v>
      </c>
      <c r="M1085" s="11" t="s">
        <v>1332</v>
      </c>
      <c r="N1085" s="12" t="n">
        <f aca="false">INT(E1085)</f>
        <v>45765</v>
      </c>
      <c r="O1085" s="12" t="n">
        <f aca="false">IF(F1085="","",INT(F1085))</f>
        <v>45766</v>
      </c>
    </row>
    <row r="1086" customFormat="false" ht="15" hidden="false" customHeight="false" outlineLevel="0" collapsed="false">
      <c r="A1086" s="0" t="s">
        <v>2213</v>
      </c>
      <c r="B1086" s="0" t="s">
        <v>2214</v>
      </c>
      <c r="C1086" s="0" t="s">
        <v>23</v>
      </c>
      <c r="D1086" s="0" t="s">
        <v>42</v>
      </c>
      <c r="E1086" s="10" t="n">
        <v>45765.4180555556</v>
      </c>
      <c r="F1086" s="10" t="n">
        <v>45766.7799074074</v>
      </c>
      <c r="G1086" s="0" t="n">
        <v>373.12</v>
      </c>
      <c r="H1086" s="0" t="n">
        <v>367.1</v>
      </c>
      <c r="I1086" s="11" t="n">
        <f aca="false">H1086-G1086</f>
        <v>-6.01999999999998</v>
      </c>
      <c r="J1086" s="5" t="n">
        <f aca="false">IF(G1086=0,"",I1086/G1086)</f>
        <v>-0.0161342195540308</v>
      </c>
      <c r="K1086" s="0" t="n">
        <v>138</v>
      </c>
      <c r="L1086" s="0" t="n">
        <v>13.97</v>
      </c>
      <c r="M1086" s="11" t="s">
        <v>1332</v>
      </c>
      <c r="N1086" s="12" t="n">
        <f aca="false">INT(E1086)</f>
        <v>45765</v>
      </c>
      <c r="O1086" s="12" t="n">
        <f aca="false">IF(F1086="","",INT(F1086))</f>
        <v>45766</v>
      </c>
    </row>
    <row r="1087" customFormat="false" ht="15" hidden="false" customHeight="false" outlineLevel="0" collapsed="false">
      <c r="A1087" s="0" t="s">
        <v>2215</v>
      </c>
      <c r="B1087" s="0" t="s">
        <v>2216</v>
      </c>
      <c r="C1087" s="0" t="s">
        <v>20</v>
      </c>
      <c r="D1087" s="0" t="s">
        <v>42</v>
      </c>
      <c r="E1087" s="10" t="n">
        <v>45765.4354166667</v>
      </c>
      <c r="F1087" s="10" t="n">
        <v>45766.6305555556</v>
      </c>
      <c r="G1087" s="0" t="n">
        <v>639.1</v>
      </c>
      <c r="H1087" s="0" t="n">
        <v>650.8</v>
      </c>
      <c r="I1087" s="11" t="n">
        <f aca="false">H1087-G1087</f>
        <v>11.6999999999999</v>
      </c>
      <c r="J1087" s="5" t="n">
        <f aca="false">IF(G1087=0,"",I1087/G1087)</f>
        <v>0.0183069942106086</v>
      </c>
      <c r="K1087" s="0" t="n">
        <v>94.2</v>
      </c>
      <c r="L1087" s="0" t="n">
        <v>13.55</v>
      </c>
      <c r="M1087" s="11" t="s">
        <v>1332</v>
      </c>
      <c r="N1087" s="12" t="n">
        <f aca="false">INT(E1087)</f>
        <v>45765</v>
      </c>
      <c r="O1087" s="12" t="n">
        <f aca="false">IF(F1087="","",INT(F1087))</f>
        <v>45766</v>
      </c>
    </row>
    <row r="1088" customFormat="false" ht="15" hidden="false" customHeight="false" outlineLevel="0" collapsed="false">
      <c r="A1088" s="0" t="s">
        <v>2217</v>
      </c>
      <c r="B1088" s="0" t="s">
        <v>2218</v>
      </c>
      <c r="C1088" s="0" t="s">
        <v>23</v>
      </c>
      <c r="D1088" s="0" t="s">
        <v>42</v>
      </c>
      <c r="E1088" s="10" t="n">
        <v>45765.4652777778</v>
      </c>
      <c r="F1088" s="10" t="n">
        <v>45766.7847222222</v>
      </c>
      <c r="G1088" s="0" t="n">
        <v>158.35</v>
      </c>
      <c r="H1088" s="0" t="n">
        <v>163.7</v>
      </c>
      <c r="I1088" s="11" t="n">
        <f aca="false">H1088-G1088</f>
        <v>5.34999999999999</v>
      </c>
      <c r="J1088" s="5" t="n">
        <f aca="false">IF(G1088=0,"",I1088/G1088)</f>
        <v>0.0337859172718661</v>
      </c>
      <c r="K1088" s="0" t="n">
        <v>64.2</v>
      </c>
      <c r="L1088" s="0" t="n">
        <v>12.83</v>
      </c>
      <c r="M1088" s="11" t="s">
        <v>1332</v>
      </c>
      <c r="N1088" s="12" t="n">
        <f aca="false">INT(E1088)</f>
        <v>45765</v>
      </c>
      <c r="O1088" s="12" t="n">
        <f aca="false">IF(F1088="","",INT(F1088))</f>
        <v>45766</v>
      </c>
    </row>
    <row r="1089" customFormat="false" ht="15" hidden="false" customHeight="false" outlineLevel="0" collapsed="false">
      <c r="A1089" s="0" t="s">
        <v>2219</v>
      </c>
      <c r="B1089" s="0" t="s">
        <v>2220</v>
      </c>
      <c r="C1089" s="0" t="s">
        <v>20</v>
      </c>
      <c r="D1089" s="0" t="s">
        <v>42</v>
      </c>
      <c r="E1089" s="10" t="n">
        <v>45765.4666666667</v>
      </c>
      <c r="F1089" s="10" t="n">
        <v>45768.3291666667</v>
      </c>
      <c r="G1089" s="0" t="n">
        <v>183.76</v>
      </c>
      <c r="H1089" s="0" t="n">
        <v>183.32</v>
      </c>
      <c r="I1089" s="11" t="n">
        <f aca="false">H1089-G1089</f>
        <v>-0.439999999999998</v>
      </c>
      <c r="J1089" s="5" t="n">
        <f aca="false">IF(G1089=0,"",I1089/G1089)</f>
        <v>-0.00239442751414888</v>
      </c>
      <c r="K1089" s="0" t="n">
        <v>35.7</v>
      </c>
      <c r="L1089" s="0" t="n">
        <v>20.7</v>
      </c>
      <c r="M1089" s="11" t="s">
        <v>1332</v>
      </c>
      <c r="N1089" s="12" t="n">
        <f aca="false">INT(E1089)</f>
        <v>45765</v>
      </c>
      <c r="O1089" s="12" t="n">
        <f aca="false">IF(F1089="","",INT(F1089))</f>
        <v>45768</v>
      </c>
    </row>
    <row r="1090" customFormat="false" ht="15" hidden="false" customHeight="false" outlineLevel="0" collapsed="false">
      <c r="A1090" s="0" t="s">
        <v>2221</v>
      </c>
      <c r="B1090" s="0" t="s">
        <v>2222</v>
      </c>
      <c r="C1090" s="0" t="s">
        <v>21</v>
      </c>
      <c r="D1090" s="0" t="s">
        <v>42</v>
      </c>
      <c r="E1090" s="10" t="n">
        <v>45765.4763888889</v>
      </c>
      <c r="F1090" s="10" t="n">
        <v>45766.4520833333</v>
      </c>
      <c r="G1090" s="0" t="n">
        <v>256.29</v>
      </c>
      <c r="H1090" s="0" t="n">
        <v>253.34</v>
      </c>
      <c r="I1090" s="11" t="n">
        <f aca="false">H1090-G1090</f>
        <v>-2.95000000000002</v>
      </c>
      <c r="J1090" s="5" t="n">
        <f aca="false">IF(G1090=0,"",I1090/G1090)</f>
        <v>-0.0115103983768388</v>
      </c>
      <c r="K1090" s="0" t="n">
        <v>69.5</v>
      </c>
      <c r="L1090" s="0" t="n">
        <v>12.57</v>
      </c>
      <c r="M1090" s="11" t="s">
        <v>1332</v>
      </c>
      <c r="N1090" s="12" t="n">
        <f aca="false">INT(E1090)</f>
        <v>45765</v>
      </c>
      <c r="O1090" s="12" t="n">
        <f aca="false">IF(F1090="","",INT(F1090))</f>
        <v>45766</v>
      </c>
    </row>
    <row r="1091" customFormat="false" ht="15" hidden="false" customHeight="false" outlineLevel="0" collapsed="false">
      <c r="A1091" s="0" t="s">
        <v>2223</v>
      </c>
      <c r="B1091" s="0" t="s">
        <v>2224</v>
      </c>
      <c r="C1091" s="0" t="s">
        <v>22</v>
      </c>
      <c r="D1091" s="0" t="s">
        <v>42</v>
      </c>
      <c r="E1091" s="10" t="n">
        <v>45765.4777777778</v>
      </c>
      <c r="F1091" s="10" t="n">
        <v>45766.1211921296</v>
      </c>
      <c r="G1091" s="0" t="n">
        <v>638.01</v>
      </c>
      <c r="H1091" s="0" t="n">
        <v>629.31</v>
      </c>
      <c r="I1091" s="11" t="n">
        <f aca="false">H1091-G1091</f>
        <v>-8.70000000000005</v>
      </c>
      <c r="J1091" s="5" t="n">
        <f aca="false">IF(G1091=0,"",I1091/G1091)</f>
        <v>-0.0136361499036066</v>
      </c>
      <c r="K1091" s="0" t="n">
        <v>96.7</v>
      </c>
      <c r="L1091" s="0" t="n">
        <v>12.53</v>
      </c>
      <c r="M1091" s="11" t="s">
        <v>1332</v>
      </c>
      <c r="N1091" s="12" t="n">
        <f aca="false">INT(E1091)</f>
        <v>45765</v>
      </c>
      <c r="O1091" s="12" t="n">
        <f aca="false">IF(F1091="","",INT(F1091))</f>
        <v>45766</v>
      </c>
    </row>
    <row r="1092" customFormat="false" ht="15" hidden="false" customHeight="false" outlineLevel="0" collapsed="false">
      <c r="A1092" s="0" t="s">
        <v>2225</v>
      </c>
      <c r="B1092" s="0" t="s">
        <v>2226</v>
      </c>
      <c r="C1092" s="0" t="s">
        <v>19</v>
      </c>
      <c r="D1092" s="0" t="s">
        <v>42</v>
      </c>
      <c r="E1092" s="10" t="n">
        <v>45765.5041666667</v>
      </c>
      <c r="F1092" s="10" t="n">
        <v>45765.8159722222</v>
      </c>
      <c r="G1092" s="0" t="n">
        <v>243.19</v>
      </c>
      <c r="H1092" s="0" t="n">
        <v>245.13</v>
      </c>
      <c r="I1092" s="11" t="n">
        <f aca="false">H1092-G1092</f>
        <v>1.94</v>
      </c>
      <c r="J1092" s="5" t="n">
        <f aca="false">IF(G1092=0,"",I1092/G1092)</f>
        <v>0.00797730169826061</v>
      </c>
      <c r="K1092" s="0" t="n">
        <v>31.9</v>
      </c>
      <c r="L1092" s="0" t="n">
        <v>7.48</v>
      </c>
      <c r="M1092" s="11" t="s">
        <v>1332</v>
      </c>
      <c r="N1092" s="12" t="n">
        <f aca="false">INT(E1092)</f>
        <v>45765</v>
      </c>
      <c r="O1092" s="12" t="n">
        <f aca="false">IF(F1092="","",INT(F1092))</f>
        <v>45765</v>
      </c>
    </row>
    <row r="1093" customFormat="false" ht="15" hidden="false" customHeight="false" outlineLevel="0" collapsed="false">
      <c r="A1093" s="0" t="s">
        <v>2227</v>
      </c>
      <c r="B1093" s="0" t="s">
        <v>2228</v>
      </c>
      <c r="C1093" s="0" t="s">
        <v>23</v>
      </c>
      <c r="D1093" s="0" t="s">
        <v>42</v>
      </c>
      <c r="E1093" s="10" t="n">
        <v>45765.525</v>
      </c>
      <c r="F1093" s="10" t="n">
        <v>45766.6590277778</v>
      </c>
      <c r="G1093" s="0" t="n">
        <v>143.73</v>
      </c>
      <c r="H1093" s="0" t="n">
        <v>144.1</v>
      </c>
      <c r="I1093" s="11" t="n">
        <f aca="false">H1093-G1093</f>
        <v>0.370000000000005</v>
      </c>
      <c r="J1093" s="5" t="n">
        <f aca="false">IF(G1093=0,"",I1093/G1093)</f>
        <v>0.00257427120295001</v>
      </c>
      <c r="K1093" s="0" t="n">
        <v>37.6</v>
      </c>
      <c r="L1093" s="0" t="n">
        <v>11.4</v>
      </c>
      <c r="M1093" s="11" t="s">
        <v>1332</v>
      </c>
      <c r="N1093" s="12" t="n">
        <f aca="false">INT(E1093)</f>
        <v>45765</v>
      </c>
      <c r="O1093" s="12" t="n">
        <f aca="false">IF(F1093="","",INT(F1093))</f>
        <v>45766</v>
      </c>
    </row>
    <row r="1094" customFormat="false" ht="15" hidden="false" customHeight="false" outlineLevel="0" collapsed="false">
      <c r="A1094" s="0" t="s">
        <v>2229</v>
      </c>
      <c r="B1094" s="0" t="s">
        <v>2230</v>
      </c>
      <c r="C1094" s="0" t="s">
        <v>20</v>
      </c>
      <c r="D1094" s="0" t="s">
        <v>48</v>
      </c>
      <c r="E1094" s="10" t="n">
        <v>45765.525</v>
      </c>
      <c r="F1094" s="10"/>
      <c r="G1094" s="0" t="n">
        <v>1540.6</v>
      </c>
      <c r="H1094" s="0" t="n">
        <v>1559.83</v>
      </c>
      <c r="I1094" s="11" t="n">
        <f aca="false">H1094-G1094</f>
        <v>19.23</v>
      </c>
      <c r="J1094" s="5" t="n">
        <f aca="false">IF(G1094=0,"",I1094/G1094)</f>
        <v>0.0124821498117617</v>
      </c>
      <c r="K1094" s="0" t="n">
        <v>235.4</v>
      </c>
      <c r="M1094" s="11" t="s">
        <v>1332</v>
      </c>
      <c r="N1094" s="12" t="n">
        <f aca="false">INT(E1094)</f>
        <v>45765</v>
      </c>
      <c r="O1094" s="12" t="str">
        <f aca="false">IF(F1094="","",INT(F1094))</f>
        <v/>
      </c>
    </row>
    <row r="1095" customFormat="false" ht="15" hidden="false" customHeight="false" outlineLevel="0" collapsed="false">
      <c r="A1095" s="0" t="s">
        <v>2231</v>
      </c>
      <c r="B1095" s="0" t="s">
        <v>2232</v>
      </c>
      <c r="C1095" s="0" t="s">
        <v>21</v>
      </c>
      <c r="D1095" s="0" t="s">
        <v>42</v>
      </c>
      <c r="E1095" s="10" t="n">
        <v>45765.5534722222</v>
      </c>
      <c r="F1095" s="10" t="n">
        <v>45765.9683564815</v>
      </c>
      <c r="G1095" s="0" t="n">
        <v>358.96</v>
      </c>
      <c r="H1095" s="0" t="n">
        <v>354.44</v>
      </c>
      <c r="I1095" s="11" t="n">
        <f aca="false">H1095-G1095</f>
        <v>-4.51999999999998</v>
      </c>
      <c r="J1095" s="5" t="n">
        <f aca="false">IF(G1095=0,"",I1095/G1095)</f>
        <v>-0.0125919322487185</v>
      </c>
      <c r="K1095" s="0" t="n">
        <v>59.3</v>
      </c>
      <c r="L1095" s="0" t="n">
        <v>9.96</v>
      </c>
      <c r="M1095" s="11" t="s">
        <v>1332</v>
      </c>
      <c r="N1095" s="12" t="n">
        <f aca="false">INT(E1095)</f>
        <v>45765</v>
      </c>
      <c r="O1095" s="12" t="n">
        <f aca="false">IF(F1095="","",INT(F1095))</f>
        <v>45765</v>
      </c>
    </row>
    <row r="1096" customFormat="false" ht="15" hidden="false" customHeight="false" outlineLevel="0" collapsed="false">
      <c r="A1096" s="0" t="s">
        <v>2233</v>
      </c>
      <c r="B1096" s="0" t="s">
        <v>2234</v>
      </c>
      <c r="C1096" s="0" t="s">
        <v>23</v>
      </c>
      <c r="D1096" s="0" t="s">
        <v>42</v>
      </c>
      <c r="E1096" s="10" t="n">
        <v>45765.5715277778</v>
      </c>
      <c r="F1096" s="10" t="n">
        <v>45767.4740162037</v>
      </c>
      <c r="G1096" s="0" t="n">
        <v>1420.85</v>
      </c>
      <c r="H1096" s="0" t="n">
        <v>1378.02</v>
      </c>
      <c r="I1096" s="11" t="n">
        <f aca="false">H1096-G1096</f>
        <v>-42.8299999999999</v>
      </c>
      <c r="J1096" s="5" t="n">
        <f aca="false">IF(G1096=0,"",I1096/G1096)</f>
        <v>-0.0301439279304641</v>
      </c>
      <c r="K1096" s="0" t="n">
        <v>608.7</v>
      </c>
      <c r="L1096" s="0" t="n">
        <v>10.28</v>
      </c>
      <c r="M1096" s="11" t="s">
        <v>1332</v>
      </c>
      <c r="N1096" s="12" t="n">
        <f aca="false">INT(E1096)</f>
        <v>45765</v>
      </c>
      <c r="O1096" s="12" t="n">
        <f aca="false">IF(F1096="","",INT(F1096))</f>
        <v>45767</v>
      </c>
    </row>
    <row r="1097" customFormat="false" ht="15" hidden="false" customHeight="false" outlineLevel="0" collapsed="false">
      <c r="A1097" s="0" t="s">
        <v>2235</v>
      </c>
      <c r="B1097" s="0" t="s">
        <v>2236</v>
      </c>
      <c r="C1097" s="0" t="s">
        <v>23</v>
      </c>
      <c r="D1097" s="0" t="s">
        <v>42</v>
      </c>
      <c r="E1097" s="10" t="n">
        <v>45765.5826388889</v>
      </c>
      <c r="F1097" s="10" t="n">
        <v>45767.8347222222</v>
      </c>
      <c r="G1097" s="0" t="n">
        <v>266.58</v>
      </c>
      <c r="H1097" s="0" t="n">
        <v>268.07</v>
      </c>
      <c r="I1097" s="11" t="n">
        <f aca="false">H1097-G1097</f>
        <v>1.49000000000001</v>
      </c>
      <c r="J1097" s="5" t="n">
        <f aca="false">IF(G1097=0,"",I1097/G1097)</f>
        <v>0.00558931652787159</v>
      </c>
      <c r="K1097" s="0" t="n">
        <v>62.3</v>
      </c>
      <c r="L1097" s="0" t="n">
        <v>10.02</v>
      </c>
      <c r="M1097" s="11" t="s">
        <v>1332</v>
      </c>
      <c r="N1097" s="12" t="n">
        <f aca="false">INT(E1097)</f>
        <v>45765</v>
      </c>
      <c r="O1097" s="12" t="n">
        <f aca="false">IF(F1097="","",INT(F1097))</f>
        <v>45767</v>
      </c>
    </row>
    <row r="1098" customFormat="false" ht="15" hidden="false" customHeight="false" outlineLevel="0" collapsed="false">
      <c r="A1098" s="0" t="s">
        <v>2237</v>
      </c>
      <c r="B1098" s="0" t="s">
        <v>2238</v>
      </c>
      <c r="C1098" s="0" t="s">
        <v>22</v>
      </c>
      <c r="D1098" s="0" t="s">
        <v>42</v>
      </c>
      <c r="E1098" s="10" t="n">
        <v>45765.6152777778</v>
      </c>
      <c r="F1098" s="10" t="n">
        <v>45767.1847222222</v>
      </c>
      <c r="G1098" s="0" t="n">
        <v>512.97</v>
      </c>
      <c r="H1098" s="0" t="n">
        <v>519.37</v>
      </c>
      <c r="I1098" s="11" t="n">
        <f aca="false">H1098-G1098</f>
        <v>6.39999999999998</v>
      </c>
      <c r="J1098" s="5" t="n">
        <f aca="false">IF(G1098=0,"",I1098/G1098)</f>
        <v>0.0124763631401446</v>
      </c>
      <c r="K1098" s="0" t="n">
        <v>71.4</v>
      </c>
      <c r="L1098" s="0" t="n">
        <v>9.23</v>
      </c>
      <c r="M1098" s="11" t="s">
        <v>1332</v>
      </c>
      <c r="N1098" s="12" t="n">
        <f aca="false">INT(E1098)</f>
        <v>45765</v>
      </c>
      <c r="O1098" s="12" t="n">
        <f aca="false">IF(F1098="","",INT(F1098))</f>
        <v>45767</v>
      </c>
    </row>
    <row r="1099" customFormat="false" ht="15" hidden="false" customHeight="false" outlineLevel="0" collapsed="false">
      <c r="A1099" s="0" t="s">
        <v>2239</v>
      </c>
      <c r="B1099" s="0" t="s">
        <v>2240</v>
      </c>
      <c r="C1099" s="0" t="s">
        <v>21</v>
      </c>
      <c r="D1099" s="0" t="s">
        <v>42</v>
      </c>
      <c r="E1099" s="10" t="n">
        <v>45765.6173611111</v>
      </c>
      <c r="F1099" s="10" t="n">
        <v>45766.4097222222</v>
      </c>
      <c r="G1099" s="0" t="n">
        <v>1809.7</v>
      </c>
      <c r="H1099" s="0" t="n">
        <v>1841.47</v>
      </c>
      <c r="I1099" s="11" t="n">
        <f aca="false">H1099-G1099</f>
        <v>31.77</v>
      </c>
      <c r="J1099" s="5" t="n">
        <f aca="false">IF(G1099=0,"",I1099/G1099)</f>
        <v>0.017555395921976</v>
      </c>
      <c r="K1099" s="0" t="n">
        <v>315.6</v>
      </c>
      <c r="L1099" s="0" t="n">
        <v>9.18</v>
      </c>
      <c r="M1099" s="11" t="s">
        <v>1332</v>
      </c>
      <c r="N1099" s="12" t="n">
        <f aca="false">INT(E1099)</f>
        <v>45765</v>
      </c>
      <c r="O1099" s="12" t="n">
        <f aca="false">IF(F1099="","",INT(F1099))</f>
        <v>45766</v>
      </c>
    </row>
    <row r="1100" customFormat="false" ht="15" hidden="false" customHeight="false" outlineLevel="0" collapsed="false">
      <c r="A1100" s="0" t="s">
        <v>2241</v>
      </c>
      <c r="B1100" s="0" t="s">
        <v>2242</v>
      </c>
      <c r="C1100" s="0" t="s">
        <v>22</v>
      </c>
      <c r="D1100" s="0" t="s">
        <v>42</v>
      </c>
      <c r="E1100" s="10" t="n">
        <v>45765.6347222222</v>
      </c>
      <c r="F1100" s="10" t="n">
        <v>45766.7541666667</v>
      </c>
      <c r="G1100" s="0" t="n">
        <v>414.97</v>
      </c>
      <c r="H1100" s="0" t="n">
        <v>427.75</v>
      </c>
      <c r="I1100" s="11" t="n">
        <f aca="false">H1100-G1100</f>
        <v>12.78</v>
      </c>
      <c r="J1100" s="5" t="n">
        <f aca="false">IF(G1100=0,"",I1100/G1100)</f>
        <v>0.0307974070414728</v>
      </c>
      <c r="K1100" s="0" t="n">
        <v>47.9</v>
      </c>
      <c r="L1100" s="0" t="n">
        <v>8.77</v>
      </c>
      <c r="M1100" s="11" t="s">
        <v>1332</v>
      </c>
      <c r="N1100" s="12" t="n">
        <f aca="false">INT(E1100)</f>
        <v>45765</v>
      </c>
      <c r="O1100" s="12" t="n">
        <f aca="false">IF(F1100="","",INT(F1100))</f>
        <v>45766</v>
      </c>
    </row>
    <row r="1101" customFormat="false" ht="15" hidden="false" customHeight="false" outlineLevel="0" collapsed="false">
      <c r="A1101" s="0" t="s">
        <v>2243</v>
      </c>
      <c r="B1101" s="0" t="s">
        <v>2244</v>
      </c>
      <c r="C1101" s="0" t="s">
        <v>20</v>
      </c>
      <c r="D1101" s="0" t="s">
        <v>303</v>
      </c>
      <c r="E1101" s="10" t="n">
        <v>45765.6652777778</v>
      </c>
      <c r="F1101" s="10"/>
      <c r="G1101" s="0" t="n">
        <v>1132.11</v>
      </c>
      <c r="H1101" s="0" t="n">
        <v>1132.18</v>
      </c>
      <c r="I1101" s="11" t="n">
        <f aca="false">H1101-G1101</f>
        <v>0.0700000000001637</v>
      </c>
      <c r="J1101" s="5" t="n">
        <f aca="false">IF(G1101=0,"",I1101/G1101)</f>
        <v>6.183144747433E-005</v>
      </c>
      <c r="K1101" s="0" t="n">
        <v>235.5</v>
      </c>
      <c r="M1101" s="11" t="s">
        <v>1332</v>
      </c>
      <c r="N1101" s="12" t="n">
        <f aca="false">INT(E1101)</f>
        <v>45765</v>
      </c>
      <c r="O1101" s="12" t="str">
        <f aca="false">IF(F1101="","",INT(F1101))</f>
        <v/>
      </c>
    </row>
    <row r="1102" customFormat="false" ht="15" hidden="false" customHeight="false" outlineLevel="0" collapsed="false">
      <c r="A1102" s="0" t="s">
        <v>2245</v>
      </c>
      <c r="B1102" s="0" t="s">
        <v>2246</v>
      </c>
      <c r="C1102" s="0" t="s">
        <v>24</v>
      </c>
      <c r="D1102" s="0" t="s">
        <v>42</v>
      </c>
      <c r="E1102" s="10" t="n">
        <v>45765.6909722222</v>
      </c>
      <c r="F1102" s="10" t="n">
        <v>45766.4740277778</v>
      </c>
      <c r="G1102" s="0" t="n">
        <v>1541.79</v>
      </c>
      <c r="H1102" s="0" t="n">
        <v>1639.31</v>
      </c>
      <c r="I1102" s="11" t="n">
        <f aca="false">H1102-G1102</f>
        <v>97.52</v>
      </c>
      <c r="J1102" s="5" t="n">
        <f aca="false">IF(G1102=0,"",I1102/G1102)</f>
        <v>0.0632511561237263</v>
      </c>
      <c r="K1102" s="0" t="n">
        <v>350</v>
      </c>
      <c r="L1102" s="0" t="n">
        <v>7.42</v>
      </c>
      <c r="M1102" s="11" t="s">
        <v>1332</v>
      </c>
      <c r="N1102" s="12" t="n">
        <f aca="false">INT(E1102)</f>
        <v>45765</v>
      </c>
      <c r="O1102" s="12" t="n">
        <f aca="false">IF(F1102="","",INT(F1102))</f>
        <v>45766</v>
      </c>
    </row>
    <row r="1103" customFormat="false" ht="15" hidden="false" customHeight="false" outlineLevel="0" collapsed="false">
      <c r="A1103" s="0" t="s">
        <v>2247</v>
      </c>
      <c r="B1103" s="0" t="s">
        <v>2248</v>
      </c>
      <c r="C1103" s="0" t="s">
        <v>23</v>
      </c>
      <c r="D1103" s="0" t="s">
        <v>42</v>
      </c>
      <c r="E1103" s="10" t="n">
        <v>45765.7326388889</v>
      </c>
      <c r="F1103" s="10" t="n">
        <v>45766.3517361111</v>
      </c>
      <c r="G1103" s="0" t="n">
        <v>971.6</v>
      </c>
      <c r="H1103" s="0" t="n">
        <v>982</v>
      </c>
      <c r="I1103" s="11" t="n">
        <f aca="false">H1103-G1103</f>
        <v>10.4</v>
      </c>
      <c r="J1103" s="5" t="n">
        <f aca="false">IF(G1103=0,"",I1103/G1103)</f>
        <v>0.0107039934129271</v>
      </c>
      <c r="K1103" s="0" t="n">
        <v>315.2</v>
      </c>
      <c r="L1103" s="0" t="n">
        <v>6.42</v>
      </c>
      <c r="M1103" s="11" t="s">
        <v>1332</v>
      </c>
      <c r="N1103" s="12" t="n">
        <f aca="false">INT(E1103)</f>
        <v>45765</v>
      </c>
      <c r="O1103" s="12" t="n">
        <f aca="false">IF(F1103="","",INT(F1103))</f>
        <v>45766</v>
      </c>
    </row>
    <row r="1104" customFormat="false" ht="15" hidden="false" customHeight="false" outlineLevel="0" collapsed="false">
      <c r="A1104" s="0" t="s">
        <v>2249</v>
      </c>
      <c r="B1104" s="0" t="s">
        <v>2250</v>
      </c>
      <c r="C1104" s="0" t="s">
        <v>23</v>
      </c>
      <c r="D1104" s="0" t="s">
        <v>42</v>
      </c>
      <c r="E1104" s="10" t="n">
        <v>45765.7458333333</v>
      </c>
      <c r="F1104" s="10" t="n">
        <v>45768.1368055556</v>
      </c>
      <c r="G1104" s="0" t="n">
        <v>329.13</v>
      </c>
      <c r="H1104" s="0" t="n">
        <v>323.4</v>
      </c>
      <c r="I1104" s="11" t="n">
        <f aca="false">H1104-G1104</f>
        <v>-5.73000000000002</v>
      </c>
      <c r="J1104" s="5" t="n">
        <f aca="false">IF(G1104=0,"",I1104/G1104)</f>
        <v>-0.0174095342265975</v>
      </c>
      <c r="K1104" s="0" t="n">
        <v>82</v>
      </c>
      <c r="L1104" s="0" t="n">
        <v>9.38</v>
      </c>
      <c r="M1104" s="11" t="s">
        <v>1332</v>
      </c>
      <c r="N1104" s="12" t="n">
        <f aca="false">INT(E1104)</f>
        <v>45765</v>
      </c>
      <c r="O1104" s="12" t="n">
        <f aca="false">IF(F1104="","",INT(F1104))</f>
        <v>45768</v>
      </c>
    </row>
    <row r="1105" customFormat="false" ht="15" hidden="false" customHeight="false" outlineLevel="0" collapsed="false">
      <c r="A1105" s="0" t="s">
        <v>2251</v>
      </c>
      <c r="B1105" s="0" t="s">
        <v>2252</v>
      </c>
      <c r="C1105" s="0" t="s">
        <v>21</v>
      </c>
      <c r="D1105" s="0" t="s">
        <v>42</v>
      </c>
      <c r="E1105" s="10" t="n">
        <v>45765.7798611111</v>
      </c>
      <c r="F1105" s="10" t="n">
        <v>45766.5294097222</v>
      </c>
      <c r="G1105" s="0" t="n">
        <v>324.17</v>
      </c>
      <c r="H1105" s="0" t="n">
        <v>313.85</v>
      </c>
      <c r="I1105" s="11" t="n">
        <f aca="false">H1105-G1105</f>
        <v>-10.32</v>
      </c>
      <c r="J1105" s="5" t="n">
        <f aca="false">IF(G1105=0,"",I1105/G1105)</f>
        <v>-0.0318351482246969</v>
      </c>
      <c r="K1105" s="0" t="n">
        <v>85.5</v>
      </c>
      <c r="L1105" s="0" t="n">
        <v>5.28</v>
      </c>
      <c r="M1105" s="11" t="s">
        <v>1332</v>
      </c>
      <c r="N1105" s="12" t="n">
        <f aca="false">INT(E1105)</f>
        <v>45765</v>
      </c>
      <c r="O1105" s="12" t="n">
        <f aca="false">IF(F1105="","",INT(F1105))</f>
        <v>45766</v>
      </c>
    </row>
    <row r="1106" customFormat="false" ht="15" hidden="false" customHeight="false" outlineLevel="0" collapsed="false">
      <c r="A1106" s="0" t="s">
        <v>2253</v>
      </c>
      <c r="B1106" s="0" t="s">
        <v>2254</v>
      </c>
      <c r="C1106" s="0" t="s">
        <v>22</v>
      </c>
      <c r="D1106" s="0" t="s">
        <v>42</v>
      </c>
      <c r="E1106" s="10" t="n">
        <v>45765.7833333333</v>
      </c>
      <c r="F1106" s="10" t="n">
        <v>45766.4212037037</v>
      </c>
      <c r="G1106" s="0" t="n">
        <v>732.94</v>
      </c>
      <c r="H1106" s="0" t="n">
        <v>723.12</v>
      </c>
      <c r="I1106" s="11" t="n">
        <f aca="false">H1106-G1106</f>
        <v>-9.82000000000005</v>
      </c>
      <c r="J1106" s="5" t="n">
        <f aca="false">IF(G1106=0,"",I1106/G1106)</f>
        <v>-0.0133980953420472</v>
      </c>
      <c r="K1106" s="0" t="n">
        <v>112.5</v>
      </c>
      <c r="L1106" s="0" t="n">
        <v>5.2</v>
      </c>
      <c r="M1106" s="11" t="s">
        <v>1332</v>
      </c>
      <c r="N1106" s="12" t="n">
        <f aca="false">INT(E1106)</f>
        <v>45765</v>
      </c>
      <c r="O1106" s="12" t="n">
        <f aca="false">IF(F1106="","",INT(F1106))</f>
        <v>45766</v>
      </c>
    </row>
    <row r="1107" customFormat="false" ht="15" hidden="false" customHeight="false" outlineLevel="0" collapsed="false">
      <c r="A1107" s="0" t="s">
        <v>2255</v>
      </c>
      <c r="B1107" s="0" t="s">
        <v>2256</v>
      </c>
      <c r="C1107" s="0" t="s">
        <v>23</v>
      </c>
      <c r="D1107" s="0" t="s">
        <v>42</v>
      </c>
      <c r="E1107" s="10" t="n">
        <v>45768.3020833333</v>
      </c>
      <c r="F1107" s="10" t="n">
        <v>45770.0819444444</v>
      </c>
      <c r="G1107" s="0" t="n">
        <v>309.39</v>
      </c>
      <c r="H1107" s="0" t="n">
        <v>313.15</v>
      </c>
      <c r="I1107" s="11" t="n">
        <f aca="false">H1107-G1107</f>
        <v>3.75999999999999</v>
      </c>
      <c r="J1107" s="5" t="n">
        <f aca="false">IF(G1107=0,"",I1107/G1107)</f>
        <v>0.0121529461197841</v>
      </c>
      <c r="K1107" s="0" t="n">
        <v>92.6</v>
      </c>
      <c r="L1107" s="0" t="n">
        <v>42.72</v>
      </c>
      <c r="M1107" s="11" t="s">
        <v>1332</v>
      </c>
      <c r="N1107" s="12" t="n">
        <f aca="false">INT(E1107)</f>
        <v>45768</v>
      </c>
      <c r="O1107" s="12" t="n">
        <f aca="false">IF(F1107="","",INT(F1107))</f>
        <v>45770</v>
      </c>
    </row>
    <row r="1108" customFormat="false" ht="15" hidden="false" customHeight="false" outlineLevel="0" collapsed="false">
      <c r="A1108" s="0" t="s">
        <v>2257</v>
      </c>
      <c r="B1108" s="0" t="s">
        <v>2258</v>
      </c>
      <c r="C1108" s="0" t="s">
        <v>19</v>
      </c>
      <c r="D1108" s="0" t="s">
        <v>42</v>
      </c>
      <c r="E1108" s="10" t="n">
        <v>45768.3319444444</v>
      </c>
      <c r="F1108" s="10" t="n">
        <v>45769.0166666667</v>
      </c>
      <c r="G1108" s="0" t="n">
        <v>736.67</v>
      </c>
      <c r="H1108" s="0" t="n">
        <v>804.33</v>
      </c>
      <c r="I1108" s="11" t="n">
        <f aca="false">H1108-G1108</f>
        <v>67.6600000000001</v>
      </c>
      <c r="J1108" s="5" t="n">
        <f aca="false">IF(G1108=0,"",I1108/G1108)</f>
        <v>0.0918457382545782</v>
      </c>
      <c r="K1108" s="0" t="n">
        <v>129.7</v>
      </c>
      <c r="L1108" s="0" t="n">
        <v>16.43</v>
      </c>
      <c r="M1108" s="11" t="s">
        <v>1332</v>
      </c>
      <c r="N1108" s="12" t="n">
        <f aca="false">INT(E1108)</f>
        <v>45768</v>
      </c>
      <c r="O1108" s="12" t="n">
        <f aca="false">IF(F1108="","",INT(F1108))</f>
        <v>45769</v>
      </c>
    </row>
    <row r="1109" customFormat="false" ht="15" hidden="false" customHeight="false" outlineLevel="0" collapsed="false">
      <c r="A1109" s="0" t="s">
        <v>2259</v>
      </c>
      <c r="B1109" s="0" t="s">
        <v>2260</v>
      </c>
      <c r="C1109" s="0" t="s">
        <v>21</v>
      </c>
      <c r="D1109" s="0" t="s">
        <v>42</v>
      </c>
      <c r="E1109" s="10" t="n">
        <v>45768.3416666667</v>
      </c>
      <c r="F1109" s="10" t="n">
        <v>45768.7479166667</v>
      </c>
      <c r="G1109" s="0" t="n">
        <v>363.34</v>
      </c>
      <c r="H1109" s="0" t="n">
        <v>357.28</v>
      </c>
      <c r="I1109" s="11" t="n">
        <f aca="false">H1109-G1109</f>
        <v>-6.06</v>
      </c>
      <c r="J1109" s="5" t="n">
        <f aca="false">IF(G1109=0,"",I1109/G1109)</f>
        <v>-0.0166785930533385</v>
      </c>
      <c r="K1109" s="0" t="n">
        <v>49.5</v>
      </c>
      <c r="L1109" s="0" t="n">
        <v>9.75</v>
      </c>
      <c r="M1109" s="11" t="s">
        <v>1332</v>
      </c>
      <c r="N1109" s="12" t="n">
        <f aca="false">INT(E1109)</f>
        <v>45768</v>
      </c>
      <c r="O1109" s="12" t="n">
        <f aca="false">IF(F1109="","",INT(F1109))</f>
        <v>45768</v>
      </c>
    </row>
    <row r="1110" customFormat="false" ht="15" hidden="false" customHeight="false" outlineLevel="0" collapsed="false">
      <c r="A1110" s="0" t="s">
        <v>2261</v>
      </c>
      <c r="B1110" s="0" t="s">
        <v>2262</v>
      </c>
      <c r="C1110" s="0" t="s">
        <v>20</v>
      </c>
      <c r="D1110" s="0" t="s">
        <v>42</v>
      </c>
      <c r="E1110" s="10" t="n">
        <v>45768.3451388889</v>
      </c>
      <c r="F1110" s="10" t="n">
        <v>45768.7743055556</v>
      </c>
      <c r="G1110" s="0" t="n">
        <v>2198.53</v>
      </c>
      <c r="H1110" s="0" t="n">
        <v>2227.93</v>
      </c>
      <c r="I1110" s="11" t="n">
        <f aca="false">H1110-G1110</f>
        <v>29.3999999999996</v>
      </c>
      <c r="J1110" s="5" t="n">
        <f aca="false">IF(G1110=0,"",I1110/G1110)</f>
        <v>0.0133725716728904</v>
      </c>
      <c r="K1110" s="0" t="n">
        <v>312.5</v>
      </c>
      <c r="L1110" s="0" t="n">
        <v>10.3</v>
      </c>
      <c r="M1110" s="11" t="s">
        <v>1332</v>
      </c>
      <c r="N1110" s="12" t="n">
        <f aca="false">INT(E1110)</f>
        <v>45768</v>
      </c>
      <c r="O1110" s="12" t="n">
        <f aca="false">IF(F1110="","",INT(F1110))</f>
        <v>45768</v>
      </c>
    </row>
    <row r="1111" customFormat="false" ht="15" hidden="false" customHeight="false" outlineLevel="0" collapsed="false">
      <c r="A1111" s="0" t="s">
        <v>2263</v>
      </c>
      <c r="B1111" s="0" t="s">
        <v>2264</v>
      </c>
      <c r="C1111" s="0" t="s">
        <v>23</v>
      </c>
      <c r="D1111" s="0" t="s">
        <v>42</v>
      </c>
      <c r="E1111" s="10" t="n">
        <v>45768.3534722222</v>
      </c>
      <c r="F1111" s="10" t="n">
        <v>45769.5375</v>
      </c>
      <c r="G1111" s="0" t="n">
        <v>709.94</v>
      </c>
      <c r="H1111" s="0" t="n">
        <v>713.73</v>
      </c>
      <c r="I1111" s="11" t="n">
        <f aca="false">H1111-G1111</f>
        <v>3.78999999999996</v>
      </c>
      <c r="J1111" s="5" t="n">
        <f aca="false">IF(G1111=0,"",I1111/G1111)</f>
        <v>0.00533847930811049</v>
      </c>
      <c r="K1111" s="0" t="n">
        <v>246.5</v>
      </c>
      <c r="L1111" s="0" t="n">
        <v>28.42</v>
      </c>
      <c r="M1111" s="11" t="s">
        <v>1332</v>
      </c>
      <c r="N1111" s="12" t="n">
        <f aca="false">INT(E1111)</f>
        <v>45768</v>
      </c>
      <c r="O1111" s="12" t="n">
        <f aca="false">IF(F1111="","",INT(F1111))</f>
        <v>45769</v>
      </c>
    </row>
    <row r="1112" customFormat="false" ht="15" hidden="false" customHeight="false" outlineLevel="0" collapsed="false">
      <c r="A1112" s="0" t="s">
        <v>2265</v>
      </c>
      <c r="B1112" s="0" t="s">
        <v>2266</v>
      </c>
      <c r="C1112" s="0" t="s">
        <v>20</v>
      </c>
      <c r="D1112" s="0" t="s">
        <v>42</v>
      </c>
      <c r="E1112" s="10" t="n">
        <v>45768.3631944444</v>
      </c>
      <c r="F1112" s="10" t="n">
        <v>45769.1777777778</v>
      </c>
      <c r="G1112" s="0" t="n">
        <v>490.65</v>
      </c>
      <c r="H1112" s="0" t="n">
        <v>470.96</v>
      </c>
      <c r="I1112" s="11" t="n">
        <f aca="false">H1112-G1112</f>
        <v>-19.69</v>
      </c>
      <c r="J1112" s="5" t="n">
        <f aca="false">IF(G1112=0,"",I1112/G1112)</f>
        <v>-0.0401304392132885</v>
      </c>
      <c r="K1112" s="0" t="n">
        <v>82.2</v>
      </c>
      <c r="L1112" s="0" t="n">
        <v>19.55</v>
      </c>
      <c r="M1112" s="11" t="s">
        <v>1332</v>
      </c>
      <c r="N1112" s="12" t="n">
        <f aca="false">INT(E1112)</f>
        <v>45768</v>
      </c>
      <c r="O1112" s="12" t="n">
        <f aca="false">IF(F1112="","",INT(F1112))</f>
        <v>45769</v>
      </c>
    </row>
    <row r="1113" customFormat="false" ht="15" hidden="false" customHeight="false" outlineLevel="0" collapsed="false">
      <c r="A1113" s="0" t="s">
        <v>2267</v>
      </c>
      <c r="B1113" s="0" t="s">
        <v>2268</v>
      </c>
      <c r="C1113" s="0" t="s">
        <v>23</v>
      </c>
      <c r="D1113" s="0" t="s">
        <v>42</v>
      </c>
      <c r="E1113" s="10" t="n">
        <v>45768.3694444444</v>
      </c>
      <c r="F1113" s="10" t="n">
        <v>45770.1604166667</v>
      </c>
      <c r="G1113" s="0" t="n">
        <v>285.37</v>
      </c>
      <c r="H1113" s="0" t="n">
        <v>283.6</v>
      </c>
      <c r="I1113" s="11" t="n">
        <f aca="false">H1113-G1113</f>
        <v>-1.76999999999998</v>
      </c>
      <c r="J1113" s="5" t="n">
        <f aca="false">IF(G1113=0,"",I1113/G1113)</f>
        <v>-0.00620247398114722</v>
      </c>
      <c r="K1113" s="0" t="n">
        <v>59.4</v>
      </c>
      <c r="L1113" s="0" t="n">
        <v>42.98</v>
      </c>
      <c r="M1113" s="11" t="s">
        <v>1332</v>
      </c>
      <c r="N1113" s="12" t="n">
        <f aca="false">INT(E1113)</f>
        <v>45768</v>
      </c>
      <c r="O1113" s="12" t="n">
        <f aca="false">IF(F1113="","",INT(F1113))</f>
        <v>45770</v>
      </c>
    </row>
    <row r="1114" customFormat="false" ht="15" hidden="false" customHeight="false" outlineLevel="0" collapsed="false">
      <c r="A1114" s="0" t="s">
        <v>2269</v>
      </c>
      <c r="B1114" s="0" t="s">
        <v>2270</v>
      </c>
      <c r="C1114" s="0" t="s">
        <v>21</v>
      </c>
      <c r="D1114" s="0" t="s">
        <v>42</v>
      </c>
      <c r="E1114" s="10" t="n">
        <v>45768.3722222222</v>
      </c>
      <c r="F1114" s="10" t="n">
        <v>45769.3982523148</v>
      </c>
      <c r="G1114" s="0" t="n">
        <v>595.31</v>
      </c>
      <c r="H1114" s="0" t="n">
        <v>596.05</v>
      </c>
      <c r="I1114" s="11" t="n">
        <f aca="false">H1114-G1114</f>
        <v>0.740000000000009</v>
      </c>
      <c r="J1114" s="5" t="n">
        <f aca="false">IF(G1114=0,"",I1114/G1114)</f>
        <v>0.00124304983957939</v>
      </c>
      <c r="K1114" s="0" t="n">
        <v>149.2</v>
      </c>
      <c r="L1114" s="0" t="n">
        <v>24.62</v>
      </c>
      <c r="M1114" s="11" t="s">
        <v>1332</v>
      </c>
      <c r="N1114" s="12" t="n">
        <f aca="false">INT(E1114)</f>
        <v>45768</v>
      </c>
      <c r="O1114" s="12" t="n">
        <f aca="false">IF(F1114="","",INT(F1114))</f>
        <v>45769</v>
      </c>
    </row>
    <row r="1115" customFormat="false" ht="15" hidden="false" customHeight="false" outlineLevel="0" collapsed="false">
      <c r="A1115" s="0" t="s">
        <v>2271</v>
      </c>
      <c r="B1115" s="0" t="s">
        <v>2272</v>
      </c>
      <c r="C1115" s="0" t="s">
        <v>24</v>
      </c>
      <c r="D1115" s="0" t="s">
        <v>42</v>
      </c>
      <c r="E1115" s="10" t="n">
        <v>45768.3944444444</v>
      </c>
      <c r="F1115" s="10" t="n">
        <v>45769.6368055556</v>
      </c>
      <c r="G1115" s="0" t="n">
        <v>108.63</v>
      </c>
      <c r="H1115" s="0" t="n">
        <v>111.07</v>
      </c>
      <c r="I1115" s="11" t="n">
        <f aca="false">H1115-G1115</f>
        <v>2.44</v>
      </c>
      <c r="J1115" s="5" t="n">
        <f aca="false">IF(G1115=0,"",I1115/G1115)</f>
        <v>0.0224615667863389</v>
      </c>
      <c r="K1115" s="0" t="n">
        <v>23.6</v>
      </c>
      <c r="L1115" s="0" t="n">
        <v>29.82</v>
      </c>
      <c r="M1115" s="11" t="s">
        <v>1332</v>
      </c>
      <c r="N1115" s="12" t="n">
        <f aca="false">INT(E1115)</f>
        <v>45768</v>
      </c>
      <c r="O1115" s="12" t="n">
        <f aca="false">IF(F1115="","",INT(F1115))</f>
        <v>45769</v>
      </c>
    </row>
    <row r="1116" customFormat="false" ht="15" hidden="false" customHeight="false" outlineLevel="0" collapsed="false">
      <c r="A1116" s="0" t="s">
        <v>2273</v>
      </c>
      <c r="B1116" s="0" t="s">
        <v>2274</v>
      </c>
      <c r="C1116" s="0" t="s">
        <v>24</v>
      </c>
      <c r="D1116" s="0" t="s">
        <v>48</v>
      </c>
      <c r="E1116" s="10" t="n">
        <v>45768.4027777778</v>
      </c>
      <c r="F1116" s="10"/>
      <c r="G1116" s="0" t="n">
        <v>1471.86</v>
      </c>
      <c r="H1116" s="0" t="n">
        <v>1597.06</v>
      </c>
      <c r="I1116" s="11" t="n">
        <f aca="false">H1116-G1116</f>
        <v>125.2</v>
      </c>
      <c r="J1116" s="5" t="n">
        <f aca="false">IF(G1116=0,"",I1116/G1116)</f>
        <v>0.0850624380036145</v>
      </c>
      <c r="K1116" s="0" t="n">
        <v>497.5</v>
      </c>
      <c r="M1116" s="11" t="s">
        <v>1332</v>
      </c>
      <c r="N1116" s="12" t="n">
        <f aca="false">INT(E1116)</f>
        <v>45768</v>
      </c>
      <c r="O1116" s="12" t="str">
        <f aca="false">IF(F1116="","",INT(F1116))</f>
        <v/>
      </c>
    </row>
    <row r="1117" customFormat="false" ht="15" hidden="false" customHeight="false" outlineLevel="0" collapsed="false">
      <c r="A1117" s="0" t="s">
        <v>2275</v>
      </c>
      <c r="B1117" s="0" t="s">
        <v>2276</v>
      </c>
      <c r="C1117" s="0" t="s">
        <v>23</v>
      </c>
      <c r="D1117" s="0" t="s">
        <v>42</v>
      </c>
      <c r="E1117" s="10" t="n">
        <v>45768.4166666667</v>
      </c>
      <c r="F1117" s="10" t="n">
        <v>45771.287974537</v>
      </c>
      <c r="G1117" s="0" t="n">
        <v>103.74</v>
      </c>
      <c r="H1117" s="0" t="n">
        <v>102.77</v>
      </c>
      <c r="I1117" s="11" t="n">
        <f aca="false">H1117-G1117</f>
        <v>-0.969999999999999</v>
      </c>
      <c r="J1117" s="5" t="n">
        <f aca="false">IF(G1117=0,"",I1117/G1117)</f>
        <v>-0.00935029882398302</v>
      </c>
      <c r="K1117" s="0" t="n">
        <v>26.7</v>
      </c>
      <c r="L1117" s="0" t="n">
        <v>68.91</v>
      </c>
      <c r="M1117" s="11" t="s">
        <v>1332</v>
      </c>
      <c r="N1117" s="12" t="n">
        <f aca="false">INT(E1117)</f>
        <v>45768</v>
      </c>
      <c r="O1117" s="12" t="n">
        <f aca="false">IF(F1117="","",INT(F1117))</f>
        <v>45771</v>
      </c>
    </row>
    <row r="1118" customFormat="false" ht="15" hidden="false" customHeight="false" outlineLevel="0" collapsed="false">
      <c r="A1118" s="0" t="s">
        <v>2277</v>
      </c>
      <c r="B1118" s="0" t="s">
        <v>2278</v>
      </c>
      <c r="C1118" s="0" t="s">
        <v>20</v>
      </c>
      <c r="D1118" s="0" t="s">
        <v>42</v>
      </c>
      <c r="E1118" s="10" t="n">
        <v>45768.4402777778</v>
      </c>
      <c r="F1118" s="10" t="n">
        <v>45769.5570601852</v>
      </c>
      <c r="G1118" s="0" t="n">
        <v>563.22</v>
      </c>
      <c r="H1118" s="0" t="n">
        <v>552.28</v>
      </c>
      <c r="I1118" s="11" t="n">
        <f aca="false">H1118-G1118</f>
        <v>-10.9400000000001</v>
      </c>
      <c r="J1118" s="5" t="n">
        <f aca="false">IF(G1118=0,"",I1118/G1118)</f>
        <v>-0.0194240261354356</v>
      </c>
      <c r="K1118" s="0" t="n">
        <v>70.5</v>
      </c>
      <c r="L1118" s="0" t="n">
        <v>26.8</v>
      </c>
      <c r="M1118" s="11" t="s">
        <v>1332</v>
      </c>
      <c r="N1118" s="12" t="n">
        <f aca="false">INT(E1118)</f>
        <v>45768</v>
      </c>
      <c r="O1118" s="12" t="n">
        <f aca="false">IF(F1118="","",INT(F1118))</f>
        <v>45769</v>
      </c>
    </row>
    <row r="1119" customFormat="false" ht="15" hidden="false" customHeight="false" outlineLevel="0" collapsed="false">
      <c r="A1119" s="0" t="s">
        <v>2279</v>
      </c>
      <c r="B1119" s="0" t="s">
        <v>2280</v>
      </c>
      <c r="C1119" s="0" t="s">
        <v>19</v>
      </c>
      <c r="D1119" s="0" t="s">
        <v>42</v>
      </c>
      <c r="E1119" s="10" t="n">
        <v>45768.4618055556</v>
      </c>
      <c r="F1119" s="10" t="n">
        <v>45769.11875</v>
      </c>
      <c r="G1119" s="0" t="n">
        <v>333.32</v>
      </c>
      <c r="H1119" s="0" t="n">
        <v>333.63</v>
      </c>
      <c r="I1119" s="11" t="n">
        <f aca="false">H1119-G1119</f>
        <v>0.310000000000002</v>
      </c>
      <c r="J1119" s="5" t="n">
        <f aca="false">IF(G1119=0,"",I1119/G1119)</f>
        <v>0.000930037201488066</v>
      </c>
      <c r="K1119" s="0" t="n">
        <v>55.1</v>
      </c>
      <c r="L1119" s="0" t="n">
        <v>15.77</v>
      </c>
      <c r="M1119" s="11" t="s">
        <v>1332</v>
      </c>
      <c r="N1119" s="12" t="n">
        <f aca="false">INT(E1119)</f>
        <v>45768</v>
      </c>
      <c r="O1119" s="12" t="n">
        <f aca="false">IF(F1119="","",INT(F1119))</f>
        <v>45769</v>
      </c>
    </row>
    <row r="1120" customFormat="false" ht="15" hidden="false" customHeight="false" outlineLevel="0" collapsed="false">
      <c r="A1120" s="0" t="s">
        <v>2281</v>
      </c>
      <c r="B1120" s="0" t="s">
        <v>2282</v>
      </c>
      <c r="C1120" s="0" t="s">
        <v>22</v>
      </c>
      <c r="D1120" s="0" t="s">
        <v>42</v>
      </c>
      <c r="E1120" s="10" t="n">
        <v>45768.4680555556</v>
      </c>
      <c r="F1120" s="10" t="n">
        <v>45768.7205092593</v>
      </c>
      <c r="G1120" s="0" t="n">
        <v>184.33</v>
      </c>
      <c r="H1120" s="0" t="n">
        <v>183.58</v>
      </c>
      <c r="I1120" s="11" t="n">
        <f aca="false">H1120-G1120</f>
        <v>-0.75</v>
      </c>
      <c r="J1120" s="5" t="n">
        <f aca="false">IF(G1120=0,"",I1120/G1120)</f>
        <v>-0.00406878967069929</v>
      </c>
      <c r="K1120" s="0" t="n">
        <v>23</v>
      </c>
      <c r="L1120" s="0" t="n">
        <v>6.06</v>
      </c>
      <c r="M1120" s="11" t="s">
        <v>1332</v>
      </c>
      <c r="N1120" s="12" t="n">
        <f aca="false">INT(E1120)</f>
        <v>45768</v>
      </c>
      <c r="O1120" s="12" t="n">
        <f aca="false">IF(F1120="","",INT(F1120))</f>
        <v>45768</v>
      </c>
    </row>
    <row r="1121" customFormat="false" ht="15" hidden="false" customHeight="false" outlineLevel="0" collapsed="false">
      <c r="A1121" s="0" t="s">
        <v>2283</v>
      </c>
      <c r="B1121" s="0" t="s">
        <v>2284</v>
      </c>
      <c r="C1121" s="0" t="s">
        <v>24</v>
      </c>
      <c r="D1121" s="0" t="s">
        <v>42</v>
      </c>
      <c r="E1121" s="10" t="n">
        <v>45768.46875</v>
      </c>
      <c r="F1121" s="10" t="n">
        <v>45770.9138888889</v>
      </c>
      <c r="G1121" s="0" t="n">
        <v>445.1</v>
      </c>
      <c r="H1121" s="0" t="n">
        <v>393.48</v>
      </c>
      <c r="I1121" s="11" t="n">
        <f aca="false">H1121-G1121</f>
        <v>-51.62</v>
      </c>
      <c r="J1121" s="5" t="n">
        <f aca="false">IF(G1121=0,"",I1121/G1121)</f>
        <v>-0.1159739384408</v>
      </c>
      <c r="K1121" s="0" t="n">
        <v>96.2</v>
      </c>
      <c r="L1121" s="0" t="n">
        <v>58.68</v>
      </c>
      <c r="M1121" s="11" t="s">
        <v>1332</v>
      </c>
      <c r="N1121" s="12" t="n">
        <f aca="false">INT(E1121)</f>
        <v>45768</v>
      </c>
      <c r="O1121" s="12" t="n">
        <f aca="false">IF(F1121="","",INT(F1121))</f>
        <v>45770</v>
      </c>
    </row>
    <row r="1122" customFormat="false" ht="15" hidden="false" customHeight="false" outlineLevel="0" collapsed="false">
      <c r="A1122" s="0" t="s">
        <v>2285</v>
      </c>
      <c r="B1122" s="0" t="s">
        <v>2286</v>
      </c>
      <c r="C1122" s="0" t="s">
        <v>23</v>
      </c>
      <c r="D1122" s="0" t="s">
        <v>42</v>
      </c>
      <c r="E1122" s="10" t="n">
        <v>45768.5180555556</v>
      </c>
      <c r="F1122" s="10" t="n">
        <v>45769.1808912037</v>
      </c>
      <c r="G1122" s="0" t="n">
        <v>201.92</v>
      </c>
      <c r="H1122" s="0" t="n">
        <v>202.28</v>
      </c>
      <c r="I1122" s="11" t="n">
        <f aca="false">H1122-G1122</f>
        <v>0.360000000000014</v>
      </c>
      <c r="J1122" s="5" t="n">
        <f aca="false">IF(G1122=0,"",I1122/G1122)</f>
        <v>0.00178288431061813</v>
      </c>
      <c r="K1122" s="0" t="n">
        <v>81.8</v>
      </c>
      <c r="L1122" s="0" t="n">
        <v>15.91</v>
      </c>
      <c r="M1122" s="11" t="s">
        <v>1332</v>
      </c>
      <c r="N1122" s="12" t="n">
        <f aca="false">INT(E1122)</f>
        <v>45768</v>
      </c>
      <c r="O1122" s="12" t="n">
        <f aca="false">IF(F1122="","",INT(F1122))</f>
        <v>45769</v>
      </c>
    </row>
    <row r="1123" customFormat="false" ht="15" hidden="false" customHeight="false" outlineLevel="0" collapsed="false">
      <c r="A1123" s="0" t="s">
        <v>2287</v>
      </c>
      <c r="B1123" s="0" t="s">
        <v>2288</v>
      </c>
      <c r="C1123" s="0" t="s">
        <v>20</v>
      </c>
      <c r="D1123" s="0" t="s">
        <v>42</v>
      </c>
      <c r="E1123" s="10" t="n">
        <v>45768.5722222222</v>
      </c>
      <c r="F1123" s="10" t="n">
        <v>45769.6013888889</v>
      </c>
      <c r="G1123" s="0" t="n">
        <v>1077.18</v>
      </c>
      <c r="H1123" s="0" t="n">
        <v>1074.04</v>
      </c>
      <c r="I1123" s="11" t="n">
        <f aca="false">H1123-G1123</f>
        <v>-3.1400000000001</v>
      </c>
      <c r="J1123" s="5" t="n">
        <f aca="false">IF(G1123=0,"",I1123/G1123)</f>
        <v>-0.00291501884550409</v>
      </c>
      <c r="K1123" s="0" t="n">
        <v>108.1</v>
      </c>
      <c r="L1123" s="0" t="n">
        <v>24.7</v>
      </c>
      <c r="M1123" s="11" t="s">
        <v>1332</v>
      </c>
      <c r="N1123" s="12" t="n">
        <f aca="false">INT(E1123)</f>
        <v>45768</v>
      </c>
      <c r="O1123" s="12" t="n">
        <f aca="false">IF(F1123="","",INT(F1123))</f>
        <v>45769</v>
      </c>
    </row>
    <row r="1124" customFormat="false" ht="15" hidden="false" customHeight="false" outlineLevel="0" collapsed="false">
      <c r="A1124" s="0" t="s">
        <v>2289</v>
      </c>
      <c r="B1124" s="0" t="s">
        <v>2290</v>
      </c>
      <c r="C1124" s="0" t="s">
        <v>21</v>
      </c>
      <c r="D1124" s="0" t="s">
        <v>42</v>
      </c>
      <c r="E1124" s="10" t="n">
        <v>45768.5770833333</v>
      </c>
      <c r="F1124" s="10" t="n">
        <v>45769.5541666667</v>
      </c>
      <c r="G1124" s="0" t="n">
        <v>558.31</v>
      </c>
      <c r="H1124" s="0" t="n">
        <v>558.83</v>
      </c>
      <c r="I1124" s="11" t="n">
        <f aca="false">H1124-G1124</f>
        <v>0.520000000000096</v>
      </c>
      <c r="J1124" s="5" t="n">
        <f aca="false">IF(G1124=0,"",I1124/G1124)</f>
        <v>0.000931382207017778</v>
      </c>
      <c r="K1124" s="0" t="n">
        <v>82.1</v>
      </c>
      <c r="L1124" s="0" t="n">
        <v>23.45</v>
      </c>
      <c r="M1124" s="11" t="s">
        <v>1332</v>
      </c>
      <c r="N1124" s="12" t="n">
        <f aca="false">INT(E1124)</f>
        <v>45768</v>
      </c>
      <c r="O1124" s="12" t="n">
        <f aca="false">IF(F1124="","",INT(F1124))</f>
        <v>45769</v>
      </c>
    </row>
    <row r="1125" customFormat="false" ht="15" hidden="false" customHeight="false" outlineLevel="0" collapsed="false">
      <c r="A1125" s="0" t="s">
        <v>2291</v>
      </c>
      <c r="B1125" s="0" t="s">
        <v>2292</v>
      </c>
      <c r="C1125" s="0" t="s">
        <v>23</v>
      </c>
      <c r="D1125" s="0" t="s">
        <v>42</v>
      </c>
      <c r="E1125" s="10" t="n">
        <v>45768.5798611111</v>
      </c>
      <c r="F1125" s="10" t="n">
        <v>45769.6236574074</v>
      </c>
      <c r="G1125" s="0" t="n">
        <v>1009.26</v>
      </c>
      <c r="H1125" s="0" t="n">
        <v>1027.11</v>
      </c>
      <c r="I1125" s="11" t="n">
        <f aca="false">H1125-G1125</f>
        <v>17.8499999999999</v>
      </c>
      <c r="J1125" s="5" t="n">
        <f aca="false">IF(G1125=0,"",I1125/G1125)</f>
        <v>0.017686225551394</v>
      </c>
      <c r="K1125" s="0" t="n">
        <v>355.9</v>
      </c>
      <c r="L1125" s="0" t="n">
        <v>25.05</v>
      </c>
      <c r="M1125" s="11" t="s">
        <v>1332</v>
      </c>
      <c r="N1125" s="12" t="n">
        <f aca="false">INT(E1125)</f>
        <v>45768</v>
      </c>
      <c r="O1125" s="12" t="n">
        <f aca="false">IF(F1125="","",INT(F1125))</f>
        <v>45769</v>
      </c>
    </row>
    <row r="1126" customFormat="false" ht="15" hidden="false" customHeight="false" outlineLevel="0" collapsed="false">
      <c r="A1126" s="0" t="s">
        <v>2293</v>
      </c>
      <c r="B1126" s="0" t="s">
        <v>2294</v>
      </c>
      <c r="C1126" s="0" t="s">
        <v>22</v>
      </c>
      <c r="D1126" s="0" t="s">
        <v>42</v>
      </c>
      <c r="E1126" s="10" t="n">
        <v>45768.5840277778</v>
      </c>
      <c r="F1126" s="10" t="n">
        <v>45769.7972222222</v>
      </c>
      <c r="G1126" s="0" t="n">
        <v>73.47</v>
      </c>
      <c r="H1126" s="0" t="n">
        <v>69.09</v>
      </c>
      <c r="I1126" s="11" t="n">
        <f aca="false">H1126-G1126</f>
        <v>-4.38</v>
      </c>
      <c r="J1126" s="5" t="n">
        <f aca="false">IF(G1126=0,"",I1126/G1126)</f>
        <v>-0.0596161698652511</v>
      </c>
      <c r="K1126" s="0" t="n">
        <v>12.5</v>
      </c>
      <c r="L1126" s="0" t="n">
        <v>29.12</v>
      </c>
      <c r="M1126" s="11" t="s">
        <v>1332</v>
      </c>
      <c r="N1126" s="12" t="n">
        <f aca="false">INT(E1126)</f>
        <v>45768</v>
      </c>
      <c r="O1126" s="12" t="n">
        <f aca="false">IF(F1126="","",INT(F1126))</f>
        <v>45769</v>
      </c>
    </row>
    <row r="1127" customFormat="false" ht="15" hidden="false" customHeight="false" outlineLevel="0" collapsed="false">
      <c r="A1127" s="0" t="s">
        <v>2295</v>
      </c>
      <c r="B1127" s="0" t="s">
        <v>2296</v>
      </c>
      <c r="C1127" s="0" t="s">
        <v>20</v>
      </c>
      <c r="D1127" s="0" t="s">
        <v>42</v>
      </c>
      <c r="E1127" s="10" t="n">
        <v>45768.5902777778</v>
      </c>
      <c r="F1127" s="10" t="n">
        <v>45769.0861111111</v>
      </c>
      <c r="G1127" s="0" t="n">
        <v>203.82</v>
      </c>
      <c r="H1127" s="0" t="n">
        <v>199.57</v>
      </c>
      <c r="I1127" s="11" t="n">
        <f aca="false">H1127-G1127</f>
        <v>-4.25</v>
      </c>
      <c r="J1127" s="5" t="n">
        <f aca="false">IF(G1127=0,"",I1127/G1127)</f>
        <v>-0.0208517319203219</v>
      </c>
      <c r="K1127" s="0" t="n">
        <v>27.4</v>
      </c>
      <c r="L1127" s="0" t="n">
        <v>11.9</v>
      </c>
      <c r="M1127" s="11" t="s">
        <v>1332</v>
      </c>
      <c r="N1127" s="12" t="n">
        <f aca="false">INT(E1127)</f>
        <v>45768</v>
      </c>
      <c r="O1127" s="12" t="n">
        <f aca="false">IF(F1127="","",INT(F1127))</f>
        <v>45769</v>
      </c>
    </row>
    <row r="1128" customFormat="false" ht="15" hidden="false" customHeight="false" outlineLevel="0" collapsed="false">
      <c r="A1128" s="0" t="s">
        <v>2297</v>
      </c>
      <c r="B1128" s="0" t="s">
        <v>2298</v>
      </c>
      <c r="C1128" s="0" t="s">
        <v>23</v>
      </c>
      <c r="D1128" s="0" t="s">
        <v>42</v>
      </c>
      <c r="E1128" s="10" t="n">
        <v>45768.5930555556</v>
      </c>
      <c r="F1128" s="10" t="n">
        <v>45770.6746064815</v>
      </c>
      <c r="G1128" s="0" t="n">
        <v>336.56</v>
      </c>
      <c r="H1128" s="0" t="n">
        <v>338.91</v>
      </c>
      <c r="I1128" s="11" t="n">
        <f aca="false">H1128-G1128</f>
        <v>2.35000000000002</v>
      </c>
      <c r="J1128" s="5" t="n">
        <f aca="false">IF(G1128=0,"",I1128/G1128)</f>
        <v>0.00698241026860002</v>
      </c>
      <c r="K1128" s="0" t="n">
        <v>127.7</v>
      </c>
      <c r="L1128" s="0" t="n">
        <v>49.96</v>
      </c>
      <c r="M1128" s="11" t="s">
        <v>1332</v>
      </c>
      <c r="N1128" s="12" t="n">
        <f aca="false">INT(E1128)</f>
        <v>45768</v>
      </c>
      <c r="O1128" s="12" t="n">
        <f aca="false">IF(F1128="","",INT(F1128))</f>
        <v>45770</v>
      </c>
    </row>
    <row r="1129" customFormat="false" ht="15" hidden="false" customHeight="false" outlineLevel="0" collapsed="false">
      <c r="A1129" s="0" t="s">
        <v>2299</v>
      </c>
      <c r="B1129" s="0" t="s">
        <v>2300</v>
      </c>
      <c r="C1129" s="0" t="s">
        <v>24</v>
      </c>
      <c r="D1129" s="0" t="s">
        <v>42</v>
      </c>
      <c r="E1129" s="10" t="n">
        <v>45768.6347222222</v>
      </c>
      <c r="F1129" s="10" t="n">
        <v>45770.6314583333</v>
      </c>
      <c r="G1129" s="0" t="n">
        <v>128.6</v>
      </c>
      <c r="H1129" s="0" t="n">
        <v>96.58</v>
      </c>
      <c r="I1129" s="11" t="n">
        <f aca="false">H1129-G1129</f>
        <v>-32.02</v>
      </c>
      <c r="J1129" s="5" t="n">
        <f aca="false">IF(G1129=0,"",I1129/G1129)</f>
        <v>-0.248989113530327</v>
      </c>
      <c r="K1129" s="0" t="n">
        <v>29.7</v>
      </c>
      <c r="L1129" s="0" t="n">
        <v>47.92</v>
      </c>
      <c r="M1129" s="11" t="s">
        <v>1332</v>
      </c>
      <c r="N1129" s="12" t="n">
        <f aca="false">INT(E1129)</f>
        <v>45768</v>
      </c>
      <c r="O1129" s="12" t="n">
        <f aca="false">IF(F1129="","",INT(F1129))</f>
        <v>45770</v>
      </c>
    </row>
    <row r="1130" customFormat="false" ht="15" hidden="false" customHeight="false" outlineLevel="0" collapsed="false">
      <c r="A1130" s="0" t="s">
        <v>2301</v>
      </c>
      <c r="B1130" s="0" t="s">
        <v>2302</v>
      </c>
      <c r="C1130" s="0" t="s">
        <v>23</v>
      </c>
      <c r="D1130" s="0" t="s">
        <v>42</v>
      </c>
      <c r="E1130" s="10" t="n">
        <v>45768.6409722222</v>
      </c>
      <c r="F1130" s="10" t="n">
        <v>45769.9180555556</v>
      </c>
      <c r="G1130" s="0" t="n">
        <v>663.66</v>
      </c>
      <c r="H1130" s="0" t="n">
        <v>685.5</v>
      </c>
      <c r="I1130" s="11" t="n">
        <f aca="false">H1130-G1130</f>
        <v>21.84</v>
      </c>
      <c r="J1130" s="5" t="n">
        <f aca="false">IF(G1130=0,"",I1130/G1130)</f>
        <v>0.0329084169604919</v>
      </c>
      <c r="K1130" s="0" t="n">
        <v>158.5</v>
      </c>
      <c r="L1130" s="0" t="n">
        <v>30.65</v>
      </c>
      <c r="M1130" s="11" t="s">
        <v>1332</v>
      </c>
      <c r="N1130" s="12" t="n">
        <f aca="false">INT(E1130)</f>
        <v>45768</v>
      </c>
      <c r="O1130" s="12" t="n">
        <f aca="false">IF(F1130="","",INT(F1130))</f>
        <v>45769</v>
      </c>
    </row>
    <row r="1131" customFormat="false" ht="15" hidden="false" customHeight="false" outlineLevel="0" collapsed="false">
      <c r="A1131" s="0" t="s">
        <v>2303</v>
      </c>
      <c r="B1131" s="0" t="s">
        <v>2304</v>
      </c>
      <c r="C1131" s="0" t="s">
        <v>19</v>
      </c>
      <c r="D1131" s="0" t="s">
        <v>42</v>
      </c>
      <c r="E1131" s="10" t="n">
        <v>45768.6423611111</v>
      </c>
      <c r="F1131" s="10" t="n">
        <v>45770.1090277778</v>
      </c>
      <c r="G1131" s="0" t="n">
        <v>592.42</v>
      </c>
      <c r="H1131" s="0" t="n">
        <v>590.05</v>
      </c>
      <c r="I1131" s="11" t="n">
        <f aca="false">H1131-G1131</f>
        <v>-2.37</v>
      </c>
      <c r="J1131" s="5" t="n">
        <f aca="false">IF(G1131=0,"",I1131/G1131)</f>
        <v>-0.00400054015732083</v>
      </c>
      <c r="K1131" s="0" t="n">
        <v>67.4</v>
      </c>
      <c r="L1131" s="0" t="n">
        <v>35.2</v>
      </c>
      <c r="M1131" s="11" t="s">
        <v>1332</v>
      </c>
      <c r="N1131" s="12" t="n">
        <f aca="false">INT(E1131)</f>
        <v>45768</v>
      </c>
      <c r="O1131" s="12" t="n">
        <f aca="false">IF(F1131="","",INT(F1131))</f>
        <v>45770</v>
      </c>
    </row>
    <row r="1132" customFormat="false" ht="15" hidden="false" customHeight="false" outlineLevel="0" collapsed="false">
      <c r="A1132" s="0" t="s">
        <v>2305</v>
      </c>
      <c r="B1132" s="0" t="s">
        <v>2306</v>
      </c>
      <c r="C1132" s="0" t="s">
        <v>20</v>
      </c>
      <c r="D1132" s="0" t="s">
        <v>42</v>
      </c>
      <c r="E1132" s="10" t="n">
        <v>45768.6541666667</v>
      </c>
      <c r="F1132" s="10" t="n">
        <v>45769.9032291667</v>
      </c>
      <c r="G1132" s="0" t="n">
        <v>282.48</v>
      </c>
      <c r="H1132" s="0" t="n">
        <v>276.25</v>
      </c>
      <c r="I1132" s="11" t="n">
        <f aca="false">H1132-G1132</f>
        <v>-6.23000000000002</v>
      </c>
      <c r="J1132" s="5" t="n">
        <f aca="false">IF(G1132=0,"",I1132/G1132)</f>
        <v>-0.0220546587369018</v>
      </c>
      <c r="K1132" s="0" t="n">
        <v>62.3</v>
      </c>
      <c r="L1132" s="0" t="n">
        <v>29.98</v>
      </c>
      <c r="M1132" s="11" t="s">
        <v>1332</v>
      </c>
      <c r="N1132" s="12" t="n">
        <f aca="false">INT(E1132)</f>
        <v>45768</v>
      </c>
      <c r="O1132" s="12" t="n">
        <f aca="false">IF(F1132="","",INT(F1132))</f>
        <v>45769</v>
      </c>
    </row>
    <row r="1133" customFormat="false" ht="15" hidden="false" customHeight="false" outlineLevel="0" collapsed="false">
      <c r="A1133" s="0" t="s">
        <v>2307</v>
      </c>
      <c r="B1133" s="0" t="s">
        <v>2308</v>
      </c>
      <c r="C1133" s="0" t="s">
        <v>21</v>
      </c>
      <c r="D1133" s="0" t="s">
        <v>42</v>
      </c>
      <c r="E1133" s="10" t="n">
        <v>45768.65625</v>
      </c>
      <c r="F1133" s="10" t="n">
        <v>45769.4409722222</v>
      </c>
      <c r="G1133" s="0" t="n">
        <v>655.33</v>
      </c>
      <c r="H1133" s="0" t="n">
        <v>675.35</v>
      </c>
      <c r="I1133" s="11" t="n">
        <f aca="false">H1133-G1133</f>
        <v>20.02</v>
      </c>
      <c r="J1133" s="5" t="n">
        <f aca="false">IF(G1133=0,"",I1133/G1133)</f>
        <v>0.0305494941479865</v>
      </c>
      <c r="K1133" s="0" t="n">
        <v>106.7</v>
      </c>
      <c r="L1133" s="0" t="n">
        <v>18.83</v>
      </c>
      <c r="M1133" s="11" t="s">
        <v>1332</v>
      </c>
      <c r="N1133" s="12" t="n">
        <f aca="false">INT(E1133)</f>
        <v>45768</v>
      </c>
      <c r="O1133" s="12" t="n">
        <f aca="false">IF(F1133="","",INT(F1133))</f>
        <v>45769</v>
      </c>
    </row>
    <row r="1134" customFormat="false" ht="15" hidden="false" customHeight="false" outlineLevel="0" collapsed="false">
      <c r="A1134" s="0" t="s">
        <v>2309</v>
      </c>
      <c r="B1134" s="0" t="s">
        <v>2310</v>
      </c>
      <c r="C1134" s="0" t="s">
        <v>20</v>
      </c>
      <c r="D1134" s="0" t="s">
        <v>42</v>
      </c>
      <c r="E1134" s="10" t="n">
        <v>45768.7111111111</v>
      </c>
      <c r="F1134" s="10" t="n">
        <v>45769.8152777778</v>
      </c>
      <c r="G1134" s="0" t="n">
        <v>856.5</v>
      </c>
      <c r="H1134" s="0" t="n">
        <v>856.6</v>
      </c>
      <c r="I1134" s="11" t="n">
        <f aca="false">H1134-G1134</f>
        <v>0.100000000000023</v>
      </c>
      <c r="J1134" s="5" t="n">
        <f aca="false">IF(G1134=0,"",I1134/G1134)</f>
        <v>0.000116754232340949</v>
      </c>
      <c r="K1134" s="0" t="n">
        <v>130.7</v>
      </c>
      <c r="L1134" s="0" t="n">
        <v>26.5</v>
      </c>
      <c r="M1134" s="11" t="s">
        <v>1332</v>
      </c>
      <c r="N1134" s="12" t="n">
        <f aca="false">INT(E1134)</f>
        <v>45768</v>
      </c>
      <c r="O1134" s="12" t="n">
        <f aca="false">IF(F1134="","",INT(F1134))</f>
        <v>45769</v>
      </c>
    </row>
    <row r="1135" customFormat="false" ht="15" hidden="false" customHeight="false" outlineLevel="0" collapsed="false">
      <c r="A1135" s="0" t="s">
        <v>2311</v>
      </c>
      <c r="B1135" s="0" t="s">
        <v>2312</v>
      </c>
      <c r="C1135" s="0" t="s">
        <v>23</v>
      </c>
      <c r="D1135" s="0" t="s">
        <v>42</v>
      </c>
      <c r="E1135" s="10" t="n">
        <v>45768.7659722222</v>
      </c>
      <c r="F1135" s="10" t="n">
        <v>45769.7416666667</v>
      </c>
      <c r="G1135" s="0" t="n">
        <v>887.23</v>
      </c>
      <c r="H1135" s="0" t="n">
        <v>880.6</v>
      </c>
      <c r="I1135" s="11" t="n">
        <f aca="false">H1135-G1135</f>
        <v>-6.63</v>
      </c>
      <c r="J1135" s="5" t="n">
        <f aca="false">IF(G1135=0,"",I1135/G1135)</f>
        <v>-0.00747269591875838</v>
      </c>
      <c r="K1135" s="0" t="n">
        <v>295.8</v>
      </c>
      <c r="L1135" s="0" t="n">
        <v>23.42</v>
      </c>
      <c r="M1135" s="11" t="s">
        <v>1332</v>
      </c>
      <c r="N1135" s="12" t="n">
        <f aca="false">INT(E1135)</f>
        <v>45768</v>
      </c>
      <c r="O1135" s="12" t="n">
        <f aca="false">IF(F1135="","",INT(F1135))</f>
        <v>45769</v>
      </c>
    </row>
    <row r="1136" customFormat="false" ht="15" hidden="false" customHeight="false" outlineLevel="0" collapsed="false">
      <c r="A1136" s="0" t="s">
        <v>2313</v>
      </c>
      <c r="B1136" s="0" t="s">
        <v>2314</v>
      </c>
      <c r="C1136" s="0" t="s">
        <v>23</v>
      </c>
      <c r="D1136" s="0" t="s">
        <v>42</v>
      </c>
      <c r="E1136" s="10" t="n">
        <v>45768.7729166667</v>
      </c>
      <c r="F1136" s="10" t="n">
        <v>45769.5899189815</v>
      </c>
      <c r="G1136" s="0" t="n">
        <v>737.77</v>
      </c>
      <c r="H1136" s="0" t="n">
        <v>732.39</v>
      </c>
      <c r="I1136" s="11" t="n">
        <f aca="false">H1136-G1136</f>
        <v>-5.38</v>
      </c>
      <c r="J1136" s="5" t="n">
        <f aca="false">IF(G1136=0,"",I1136/G1136)</f>
        <v>-0.0072922455507814</v>
      </c>
      <c r="K1136" s="0" t="n">
        <v>203.1</v>
      </c>
      <c r="L1136" s="0" t="n">
        <v>19.61</v>
      </c>
      <c r="M1136" s="11" t="s">
        <v>1332</v>
      </c>
      <c r="N1136" s="12" t="n">
        <f aca="false">INT(E1136)</f>
        <v>45768</v>
      </c>
      <c r="O1136" s="12" t="n">
        <f aca="false">IF(F1136="","",INT(F1136))</f>
        <v>45769</v>
      </c>
    </row>
    <row r="1137" customFormat="false" ht="15" hidden="false" customHeight="false" outlineLevel="0" collapsed="false">
      <c r="A1137" s="0" t="s">
        <v>2315</v>
      </c>
      <c r="B1137" s="0" t="s">
        <v>2316</v>
      </c>
      <c r="C1137" s="0" t="s">
        <v>21</v>
      </c>
      <c r="D1137" s="0" t="s">
        <v>42</v>
      </c>
      <c r="E1137" s="10" t="n">
        <v>45768.7881944445</v>
      </c>
      <c r="F1137" s="10" t="n">
        <v>45768.9916666667</v>
      </c>
      <c r="G1137" s="0" t="n">
        <v>1068.8</v>
      </c>
      <c r="H1137" s="0" t="n">
        <v>1183.01</v>
      </c>
      <c r="I1137" s="11" t="n">
        <f aca="false">H1137-G1137</f>
        <v>114.21</v>
      </c>
      <c r="J1137" s="5" t="n">
        <f aca="false">IF(G1137=0,"",I1137/G1137)</f>
        <v>0.106858158682635</v>
      </c>
      <c r="K1137" s="0" t="n">
        <v>215.7</v>
      </c>
      <c r="L1137" s="0" t="n">
        <v>4.88</v>
      </c>
      <c r="M1137" s="11" t="s">
        <v>1332</v>
      </c>
      <c r="N1137" s="12" t="n">
        <f aca="false">INT(E1137)</f>
        <v>45768</v>
      </c>
      <c r="O1137" s="12" t="n">
        <f aca="false">IF(F1137="","",INT(F1137))</f>
        <v>45768</v>
      </c>
    </row>
    <row r="1138" customFormat="false" ht="15" hidden="false" customHeight="false" outlineLevel="0" collapsed="false">
      <c r="A1138" s="0" t="s">
        <v>2317</v>
      </c>
      <c r="B1138" s="0" t="s">
        <v>2318</v>
      </c>
      <c r="C1138" s="0" t="s">
        <v>22</v>
      </c>
      <c r="D1138" s="0" t="s">
        <v>42</v>
      </c>
      <c r="E1138" s="10" t="n">
        <v>45769.3048611111</v>
      </c>
      <c r="F1138" s="10" t="n">
        <v>45769.9041666667</v>
      </c>
      <c r="G1138" s="0" t="n">
        <v>527.54</v>
      </c>
      <c r="H1138" s="0" t="n">
        <v>431.56</v>
      </c>
      <c r="I1138" s="11" t="n">
        <f aca="false">H1138-G1138</f>
        <v>-95.98</v>
      </c>
      <c r="J1138" s="5" t="n">
        <f aca="false">IF(G1138=0,"",I1138/G1138)</f>
        <v>-0.181938810327179</v>
      </c>
      <c r="K1138" s="0" t="n">
        <v>88.7</v>
      </c>
      <c r="L1138" s="0" t="n">
        <v>14.38</v>
      </c>
      <c r="M1138" s="11" t="s">
        <v>1332</v>
      </c>
      <c r="N1138" s="12" t="n">
        <f aca="false">INT(E1138)</f>
        <v>45769</v>
      </c>
      <c r="O1138" s="12" t="n">
        <f aca="false">IF(F1138="","",INT(F1138))</f>
        <v>45769</v>
      </c>
    </row>
    <row r="1139" customFormat="false" ht="15" hidden="false" customHeight="false" outlineLevel="0" collapsed="false">
      <c r="A1139" s="0" t="s">
        <v>2319</v>
      </c>
      <c r="B1139" s="0" t="s">
        <v>2320</v>
      </c>
      <c r="C1139" s="0" t="s">
        <v>19</v>
      </c>
      <c r="D1139" s="0" t="s">
        <v>42</v>
      </c>
      <c r="E1139" s="10" t="n">
        <v>45769.3083333333</v>
      </c>
      <c r="F1139" s="10" t="n">
        <v>45771.3274189815</v>
      </c>
      <c r="G1139" s="0" t="n">
        <v>920.08</v>
      </c>
      <c r="H1139" s="0" t="n">
        <v>776.56</v>
      </c>
      <c r="I1139" s="11" t="n">
        <f aca="false">H1139-G1139</f>
        <v>-143.52</v>
      </c>
      <c r="J1139" s="5" t="n">
        <f aca="false">IF(G1139=0,"",I1139/G1139)</f>
        <v>-0.15598643596209</v>
      </c>
      <c r="K1139" s="0" t="n">
        <v>78.5</v>
      </c>
      <c r="L1139" s="0" t="n">
        <v>48.46</v>
      </c>
      <c r="M1139" s="11" t="s">
        <v>1332</v>
      </c>
      <c r="N1139" s="12" t="n">
        <f aca="false">INT(E1139)</f>
        <v>45769</v>
      </c>
      <c r="O1139" s="12" t="n">
        <f aca="false">IF(F1139="","",INT(F1139))</f>
        <v>45771</v>
      </c>
    </row>
    <row r="1140" customFormat="false" ht="15" hidden="false" customHeight="false" outlineLevel="0" collapsed="false">
      <c r="A1140" s="0" t="s">
        <v>2321</v>
      </c>
      <c r="B1140" s="0" t="s">
        <v>2322</v>
      </c>
      <c r="C1140" s="0" t="s">
        <v>23</v>
      </c>
      <c r="D1140" s="0" t="s">
        <v>42</v>
      </c>
      <c r="E1140" s="10" t="n">
        <v>45769.3104166667</v>
      </c>
      <c r="F1140" s="10" t="n">
        <v>45769.5291666667</v>
      </c>
      <c r="G1140" s="0" t="n">
        <v>741.26</v>
      </c>
      <c r="H1140" s="0" t="n">
        <v>765.44</v>
      </c>
      <c r="I1140" s="11" t="n">
        <f aca="false">H1140-G1140</f>
        <v>24.1800000000001</v>
      </c>
      <c r="J1140" s="5" t="n">
        <f aca="false">IF(G1140=0,"",I1140/G1140)</f>
        <v>0.0326201332865662</v>
      </c>
      <c r="K1140" s="0" t="n">
        <v>193.1</v>
      </c>
      <c r="L1140" s="0" t="n">
        <v>5.25</v>
      </c>
      <c r="M1140" s="11" t="s">
        <v>1332</v>
      </c>
      <c r="N1140" s="12" t="n">
        <f aca="false">INT(E1140)</f>
        <v>45769</v>
      </c>
      <c r="O1140" s="12" t="n">
        <f aca="false">IF(F1140="","",INT(F1140))</f>
        <v>45769</v>
      </c>
    </row>
    <row r="1141" customFormat="false" ht="15" hidden="false" customHeight="false" outlineLevel="0" collapsed="false">
      <c r="A1141" s="0" t="s">
        <v>2323</v>
      </c>
      <c r="B1141" s="0" t="s">
        <v>2324</v>
      </c>
      <c r="C1141" s="0" t="s">
        <v>22</v>
      </c>
      <c r="D1141" s="0" t="s">
        <v>42</v>
      </c>
      <c r="E1141" s="10" t="n">
        <v>45769.3111111111</v>
      </c>
      <c r="F1141" s="10" t="n">
        <v>45770.88125</v>
      </c>
      <c r="G1141" s="0" t="n">
        <v>676.49</v>
      </c>
      <c r="H1141" s="0" t="n">
        <v>689.05</v>
      </c>
      <c r="I1141" s="11" t="n">
        <f aca="false">H1141-G1141</f>
        <v>12.5599999999999</v>
      </c>
      <c r="J1141" s="5" t="n">
        <f aca="false">IF(G1141=0,"",I1141/G1141)</f>
        <v>0.0185664237461011</v>
      </c>
      <c r="K1141" s="0" t="n">
        <v>69.7</v>
      </c>
      <c r="L1141" s="0" t="n">
        <v>37.68</v>
      </c>
      <c r="M1141" s="11" t="s">
        <v>1332</v>
      </c>
      <c r="N1141" s="12" t="n">
        <f aca="false">INT(E1141)</f>
        <v>45769</v>
      </c>
      <c r="O1141" s="12" t="n">
        <f aca="false">IF(F1141="","",INT(F1141))</f>
        <v>45770</v>
      </c>
    </row>
    <row r="1142" customFormat="false" ht="15" hidden="false" customHeight="false" outlineLevel="0" collapsed="false">
      <c r="A1142" s="0" t="s">
        <v>2325</v>
      </c>
      <c r="B1142" s="0" t="s">
        <v>2326</v>
      </c>
      <c r="C1142" s="0" t="s">
        <v>22</v>
      </c>
      <c r="D1142" s="0" t="s">
        <v>42</v>
      </c>
      <c r="E1142" s="10" t="n">
        <v>45769.3138888889</v>
      </c>
      <c r="F1142" s="10" t="n">
        <v>45770.9194444444</v>
      </c>
      <c r="G1142" s="0" t="n">
        <v>227.77</v>
      </c>
      <c r="H1142" s="0" t="n">
        <v>220.97</v>
      </c>
      <c r="I1142" s="11" t="n">
        <f aca="false">H1142-G1142</f>
        <v>-6.80000000000001</v>
      </c>
      <c r="J1142" s="5" t="n">
        <f aca="false">IF(G1142=0,"",I1142/G1142)</f>
        <v>-0.0298546779646135</v>
      </c>
      <c r="K1142" s="0" t="n">
        <v>45.9</v>
      </c>
      <c r="L1142" s="0" t="n">
        <v>38.53</v>
      </c>
      <c r="M1142" s="11" t="s">
        <v>1332</v>
      </c>
      <c r="N1142" s="12" t="n">
        <f aca="false">INT(E1142)</f>
        <v>45769</v>
      </c>
      <c r="O1142" s="12" t="n">
        <f aca="false">IF(F1142="","",INT(F1142))</f>
        <v>45770</v>
      </c>
    </row>
    <row r="1143" customFormat="false" ht="15" hidden="false" customHeight="false" outlineLevel="0" collapsed="false">
      <c r="A1143" s="0" t="s">
        <v>2327</v>
      </c>
      <c r="B1143" s="0" t="s">
        <v>2328</v>
      </c>
      <c r="C1143" s="0" t="s">
        <v>22</v>
      </c>
      <c r="D1143" s="0" t="s">
        <v>42</v>
      </c>
      <c r="E1143" s="10" t="n">
        <v>45769.3326388889</v>
      </c>
      <c r="F1143" s="10" t="n">
        <v>45770.0381944445</v>
      </c>
      <c r="G1143" s="0" t="n">
        <v>714.54</v>
      </c>
      <c r="H1143" s="0" t="n">
        <v>705.92</v>
      </c>
      <c r="I1143" s="11" t="n">
        <f aca="false">H1143-G1143</f>
        <v>-8.62000000000001</v>
      </c>
      <c r="J1143" s="5" t="n">
        <f aca="false">IF(G1143=0,"",I1143/G1143)</f>
        <v>-0.0120637053209058</v>
      </c>
      <c r="K1143" s="0" t="n">
        <v>99.1</v>
      </c>
      <c r="L1143" s="0" t="n">
        <v>16.93</v>
      </c>
      <c r="M1143" s="11" t="s">
        <v>1332</v>
      </c>
      <c r="N1143" s="12" t="n">
        <f aca="false">INT(E1143)</f>
        <v>45769</v>
      </c>
      <c r="O1143" s="12" t="n">
        <f aca="false">IF(F1143="","",INT(F1143))</f>
        <v>45770</v>
      </c>
    </row>
    <row r="1144" customFormat="false" ht="15" hidden="false" customHeight="false" outlineLevel="0" collapsed="false">
      <c r="A1144" s="0" t="s">
        <v>2329</v>
      </c>
      <c r="B1144" s="0" t="s">
        <v>2330</v>
      </c>
      <c r="C1144" s="0" t="s">
        <v>19</v>
      </c>
      <c r="D1144" s="0" t="s">
        <v>42</v>
      </c>
      <c r="E1144" s="10" t="n">
        <v>45769.34375</v>
      </c>
      <c r="F1144" s="10" t="n">
        <v>45770.7034722222</v>
      </c>
      <c r="G1144" s="0" t="n">
        <v>155.51</v>
      </c>
      <c r="H1144" s="0" t="n">
        <v>150.28</v>
      </c>
      <c r="I1144" s="11" t="n">
        <f aca="false">H1144-G1144</f>
        <v>-5.22999999999999</v>
      </c>
      <c r="J1144" s="5" t="n">
        <f aca="false">IF(G1144=0,"",I1144/G1144)</f>
        <v>-0.0336312777313355</v>
      </c>
      <c r="K1144" s="0" t="n">
        <v>13.5</v>
      </c>
      <c r="L1144" s="0" t="n">
        <v>32.63</v>
      </c>
      <c r="M1144" s="11" t="s">
        <v>1332</v>
      </c>
      <c r="N1144" s="12" t="n">
        <f aca="false">INT(E1144)</f>
        <v>45769</v>
      </c>
      <c r="O1144" s="12" t="n">
        <f aca="false">IF(F1144="","",INT(F1144))</f>
        <v>45770</v>
      </c>
    </row>
    <row r="1145" customFormat="false" ht="15" hidden="false" customHeight="false" outlineLevel="0" collapsed="false">
      <c r="A1145" s="0" t="s">
        <v>2331</v>
      </c>
      <c r="B1145" s="0" t="s">
        <v>2332</v>
      </c>
      <c r="C1145" s="0" t="s">
        <v>22</v>
      </c>
      <c r="D1145" s="0" t="s">
        <v>42</v>
      </c>
      <c r="E1145" s="10" t="n">
        <v>45769.3527777778</v>
      </c>
      <c r="F1145" s="10" t="n">
        <v>45770.0069444445</v>
      </c>
      <c r="G1145" s="0" t="n">
        <v>354.85</v>
      </c>
      <c r="H1145" s="0" t="n">
        <v>357.86</v>
      </c>
      <c r="I1145" s="11" t="n">
        <f aca="false">H1145-G1145</f>
        <v>3.00999999999999</v>
      </c>
      <c r="J1145" s="5" t="n">
        <f aca="false">IF(G1145=0,"",I1145/G1145)</f>
        <v>0.00848245737635618</v>
      </c>
      <c r="K1145" s="0" t="n">
        <v>57.3</v>
      </c>
      <c r="L1145" s="0" t="n">
        <v>15.7</v>
      </c>
      <c r="M1145" s="11" t="s">
        <v>1332</v>
      </c>
      <c r="N1145" s="12" t="n">
        <f aca="false">INT(E1145)</f>
        <v>45769</v>
      </c>
      <c r="O1145" s="12" t="n">
        <f aca="false">IF(F1145="","",INT(F1145))</f>
        <v>45770</v>
      </c>
    </row>
    <row r="1146" customFormat="false" ht="15" hidden="false" customHeight="false" outlineLevel="0" collapsed="false">
      <c r="A1146" s="0" t="s">
        <v>2333</v>
      </c>
      <c r="B1146" s="0" t="s">
        <v>2334</v>
      </c>
      <c r="C1146" s="0" t="s">
        <v>23</v>
      </c>
      <c r="D1146" s="0" t="s">
        <v>42</v>
      </c>
      <c r="E1146" s="10" t="n">
        <v>45769.3625</v>
      </c>
      <c r="F1146" s="10" t="n">
        <v>45772.5541666667</v>
      </c>
      <c r="G1146" s="0" t="n">
        <v>179.7</v>
      </c>
      <c r="H1146" s="0" t="n">
        <v>180.38</v>
      </c>
      <c r="I1146" s="11" t="n">
        <f aca="false">H1146-G1146</f>
        <v>0.680000000000007</v>
      </c>
      <c r="J1146" s="5" t="n">
        <f aca="false">IF(G1146=0,"",I1146/G1146)</f>
        <v>0.00378408458542018</v>
      </c>
      <c r="K1146" s="0" t="n">
        <v>50.2</v>
      </c>
      <c r="L1146" s="0" t="n">
        <v>76.6</v>
      </c>
      <c r="M1146" s="11" t="s">
        <v>1332</v>
      </c>
      <c r="N1146" s="12" t="n">
        <f aca="false">INT(E1146)</f>
        <v>45769</v>
      </c>
      <c r="O1146" s="12" t="n">
        <f aca="false">IF(F1146="","",INT(F1146))</f>
        <v>45772</v>
      </c>
    </row>
    <row r="1147" customFormat="false" ht="15" hidden="false" customHeight="false" outlineLevel="0" collapsed="false">
      <c r="A1147" s="0" t="s">
        <v>2335</v>
      </c>
      <c r="B1147" s="0" t="s">
        <v>2336</v>
      </c>
      <c r="C1147" s="0" t="s">
        <v>21</v>
      </c>
      <c r="D1147" s="0" t="s">
        <v>42</v>
      </c>
      <c r="E1147" s="10" t="n">
        <v>45769.3854166667</v>
      </c>
      <c r="F1147" s="10" t="n">
        <v>45770.8111111111</v>
      </c>
      <c r="G1147" s="0" t="n">
        <v>280.89</v>
      </c>
      <c r="H1147" s="0" t="n">
        <v>286.34</v>
      </c>
      <c r="I1147" s="11" t="n">
        <f aca="false">H1147-G1147</f>
        <v>5.44999999999999</v>
      </c>
      <c r="J1147" s="5" t="n">
        <f aca="false">IF(G1147=0,"",I1147/G1147)</f>
        <v>0.0194026131225746</v>
      </c>
      <c r="K1147" s="0" t="n">
        <v>61.1</v>
      </c>
      <c r="L1147" s="0" t="n">
        <v>34.22</v>
      </c>
      <c r="M1147" s="11" t="s">
        <v>1332</v>
      </c>
      <c r="N1147" s="12" t="n">
        <f aca="false">INT(E1147)</f>
        <v>45769</v>
      </c>
      <c r="O1147" s="12" t="n">
        <f aca="false">IF(F1147="","",INT(F1147))</f>
        <v>45770</v>
      </c>
    </row>
    <row r="1148" customFormat="false" ht="15" hidden="false" customHeight="false" outlineLevel="0" collapsed="false">
      <c r="A1148" s="0" t="s">
        <v>2337</v>
      </c>
      <c r="B1148" s="0" t="s">
        <v>2338</v>
      </c>
      <c r="C1148" s="0" t="s">
        <v>23</v>
      </c>
      <c r="D1148" s="0" t="s">
        <v>42</v>
      </c>
      <c r="E1148" s="10" t="n">
        <v>45769.3861111111</v>
      </c>
      <c r="F1148" s="10" t="n">
        <v>45773.8326388889</v>
      </c>
      <c r="G1148" s="0" t="n">
        <v>443.39</v>
      </c>
      <c r="H1148" s="0" t="n">
        <v>426.53</v>
      </c>
      <c r="I1148" s="11" t="n">
        <f aca="false">H1148-G1148</f>
        <v>-16.86</v>
      </c>
      <c r="J1148" s="5" t="n">
        <f aca="false">IF(G1148=0,"",I1148/G1148)</f>
        <v>-0.0380252148221656</v>
      </c>
      <c r="K1148" s="0" t="n">
        <v>154.2</v>
      </c>
      <c r="L1148" s="0" t="n">
        <v>86.73</v>
      </c>
      <c r="M1148" s="11" t="s">
        <v>1332</v>
      </c>
      <c r="N1148" s="12" t="n">
        <f aca="false">INT(E1148)</f>
        <v>45769</v>
      </c>
      <c r="O1148" s="12" t="n">
        <f aca="false">IF(F1148="","",INT(F1148))</f>
        <v>45773</v>
      </c>
    </row>
    <row r="1149" customFormat="false" ht="15" hidden="false" customHeight="false" outlineLevel="0" collapsed="false">
      <c r="A1149" s="0" t="s">
        <v>2339</v>
      </c>
      <c r="B1149" s="0" t="s">
        <v>2340</v>
      </c>
      <c r="C1149" s="0" t="s">
        <v>23</v>
      </c>
      <c r="D1149" s="0" t="s">
        <v>42</v>
      </c>
      <c r="E1149" s="10" t="n">
        <v>45769.4055555556</v>
      </c>
      <c r="F1149" s="10" t="n">
        <v>45770.5032638889</v>
      </c>
      <c r="G1149" s="0" t="n">
        <v>266.04</v>
      </c>
      <c r="H1149" s="0" t="n">
        <v>261.01</v>
      </c>
      <c r="I1149" s="11" t="n">
        <f aca="false">H1149-G1149</f>
        <v>-5.03000000000003</v>
      </c>
      <c r="J1149" s="5" t="n">
        <f aca="false">IF(G1149=0,"",I1149/G1149)</f>
        <v>-0.0189069312885282</v>
      </c>
      <c r="K1149" s="0" t="n">
        <v>78.3</v>
      </c>
      <c r="L1149" s="0" t="n">
        <v>26.34</v>
      </c>
      <c r="M1149" s="11" t="s">
        <v>1332</v>
      </c>
      <c r="N1149" s="12" t="n">
        <f aca="false">INT(E1149)</f>
        <v>45769</v>
      </c>
      <c r="O1149" s="12" t="n">
        <f aca="false">IF(F1149="","",INT(F1149))</f>
        <v>45770</v>
      </c>
    </row>
    <row r="1150" customFormat="false" ht="15" hidden="false" customHeight="false" outlineLevel="0" collapsed="false">
      <c r="A1150" s="0" t="s">
        <v>2341</v>
      </c>
      <c r="B1150" s="0" t="s">
        <v>2342</v>
      </c>
      <c r="C1150" s="0" t="s">
        <v>20</v>
      </c>
      <c r="D1150" s="0" t="s">
        <v>42</v>
      </c>
      <c r="E1150" s="10" t="n">
        <v>45769.4222222222</v>
      </c>
      <c r="F1150" s="10" t="n">
        <v>45770.5725347222</v>
      </c>
      <c r="G1150" s="0" t="n">
        <v>657.04</v>
      </c>
      <c r="H1150" s="0" t="n">
        <v>633.53</v>
      </c>
      <c r="I1150" s="11" t="n">
        <f aca="false">H1150-G1150</f>
        <v>-23.51</v>
      </c>
      <c r="J1150" s="5" t="n">
        <f aca="false">IF(G1150=0,"",I1150/G1150)</f>
        <v>-0.035781687568489</v>
      </c>
      <c r="K1150" s="0" t="n">
        <v>66.8</v>
      </c>
      <c r="L1150" s="0" t="n">
        <v>27.61</v>
      </c>
      <c r="M1150" s="11" t="s">
        <v>1332</v>
      </c>
      <c r="N1150" s="12" t="n">
        <f aca="false">INT(E1150)</f>
        <v>45769</v>
      </c>
      <c r="O1150" s="12" t="n">
        <f aca="false">IF(F1150="","",INT(F1150))</f>
        <v>45770</v>
      </c>
    </row>
    <row r="1151" customFormat="false" ht="15" hidden="false" customHeight="false" outlineLevel="0" collapsed="false">
      <c r="A1151" s="0" t="s">
        <v>2343</v>
      </c>
      <c r="B1151" s="0" t="s">
        <v>2344</v>
      </c>
      <c r="C1151" s="0" t="s">
        <v>21</v>
      </c>
      <c r="D1151" s="0" t="s">
        <v>42</v>
      </c>
      <c r="E1151" s="10" t="n">
        <v>45769.4277777778</v>
      </c>
      <c r="F1151" s="10" t="n">
        <v>45769.7425925926</v>
      </c>
      <c r="G1151" s="0" t="n">
        <v>136.56</v>
      </c>
      <c r="H1151" s="0" t="n">
        <v>139.98</v>
      </c>
      <c r="I1151" s="11" t="n">
        <f aca="false">H1151-G1151</f>
        <v>3.41999999999999</v>
      </c>
      <c r="J1151" s="5" t="n">
        <f aca="false">IF(G1151=0,"",I1151/G1151)</f>
        <v>0.0250439367311071</v>
      </c>
      <c r="K1151" s="0" t="n">
        <v>30</v>
      </c>
      <c r="L1151" s="0" t="n">
        <v>7.56</v>
      </c>
      <c r="M1151" s="11" t="s">
        <v>1332</v>
      </c>
      <c r="N1151" s="12" t="n">
        <f aca="false">INT(E1151)</f>
        <v>45769</v>
      </c>
      <c r="O1151" s="12" t="n">
        <f aca="false">IF(F1151="","",INT(F1151))</f>
        <v>45769</v>
      </c>
    </row>
    <row r="1152" customFormat="false" ht="15" hidden="false" customHeight="false" outlineLevel="0" collapsed="false">
      <c r="A1152" s="0" t="s">
        <v>2345</v>
      </c>
      <c r="B1152" s="0" t="s">
        <v>2346</v>
      </c>
      <c r="C1152" s="0" t="s">
        <v>23</v>
      </c>
      <c r="D1152" s="0" t="s">
        <v>42</v>
      </c>
      <c r="E1152" s="10" t="n">
        <v>45769.4326388889</v>
      </c>
      <c r="F1152" s="10" t="n">
        <v>45770.2986111111</v>
      </c>
      <c r="G1152" s="0" t="n">
        <v>780.28</v>
      </c>
      <c r="H1152" s="0" t="n">
        <v>777.12</v>
      </c>
      <c r="I1152" s="11" t="n">
        <f aca="false">H1152-G1152</f>
        <v>-3.15999999999997</v>
      </c>
      <c r="J1152" s="5" t="n">
        <f aca="false">IF(G1152=0,"",I1152/G1152)</f>
        <v>-0.00404982826677599</v>
      </c>
      <c r="K1152" s="0" t="n">
        <v>271.7</v>
      </c>
      <c r="L1152" s="0" t="n">
        <v>20.78</v>
      </c>
      <c r="M1152" s="11" t="s">
        <v>1332</v>
      </c>
      <c r="N1152" s="12" t="n">
        <f aca="false">INT(E1152)</f>
        <v>45769</v>
      </c>
      <c r="O1152" s="12" t="n">
        <f aca="false">IF(F1152="","",INT(F1152))</f>
        <v>45770</v>
      </c>
    </row>
    <row r="1153" customFormat="false" ht="15" hidden="false" customHeight="false" outlineLevel="0" collapsed="false">
      <c r="A1153" s="0" t="s">
        <v>2347</v>
      </c>
      <c r="B1153" s="0" t="s">
        <v>2348</v>
      </c>
      <c r="C1153" s="0" t="s">
        <v>23</v>
      </c>
      <c r="D1153" s="0" t="s">
        <v>42</v>
      </c>
      <c r="E1153" s="10" t="n">
        <v>45769.4375</v>
      </c>
      <c r="F1153" s="10" t="n">
        <v>45771.3812962963</v>
      </c>
      <c r="G1153" s="0" t="n">
        <v>380.91</v>
      </c>
      <c r="H1153" s="0" t="n">
        <v>372.04</v>
      </c>
      <c r="I1153" s="11" t="n">
        <f aca="false">H1153-G1153</f>
        <v>-8.87000000000001</v>
      </c>
      <c r="J1153" s="5" t="n">
        <f aca="false">IF(G1153=0,"",I1153/G1153)</f>
        <v>-0.0232863406053924</v>
      </c>
      <c r="K1153" s="0" t="n">
        <v>140.2</v>
      </c>
      <c r="L1153" s="0" t="n">
        <v>46.65</v>
      </c>
      <c r="M1153" s="11" t="s">
        <v>1332</v>
      </c>
      <c r="N1153" s="12" t="n">
        <f aca="false">INT(E1153)</f>
        <v>45769</v>
      </c>
      <c r="O1153" s="12" t="n">
        <f aca="false">IF(F1153="","",INT(F1153))</f>
        <v>45771</v>
      </c>
    </row>
    <row r="1154" customFormat="false" ht="15" hidden="false" customHeight="false" outlineLevel="0" collapsed="false">
      <c r="A1154" s="0" t="s">
        <v>2349</v>
      </c>
      <c r="B1154" s="0" t="s">
        <v>2350</v>
      </c>
      <c r="C1154" s="0" t="s">
        <v>19</v>
      </c>
      <c r="D1154" s="0" t="s">
        <v>42</v>
      </c>
      <c r="E1154" s="10" t="n">
        <v>45769.5041666667</v>
      </c>
      <c r="F1154" s="10" t="n">
        <v>45770.4215277778</v>
      </c>
      <c r="G1154" s="0" t="n">
        <v>1003.6</v>
      </c>
      <c r="H1154" s="0" t="n">
        <v>1001.47</v>
      </c>
      <c r="I1154" s="11" t="n">
        <f aca="false">H1154-G1154</f>
        <v>-2.13</v>
      </c>
      <c r="J1154" s="5" t="n">
        <f aca="false">IF(G1154=0,"",I1154/G1154)</f>
        <v>-0.00212235950577919</v>
      </c>
      <c r="K1154" s="0" t="n">
        <v>177.6</v>
      </c>
      <c r="L1154" s="0" t="n">
        <v>22.02</v>
      </c>
      <c r="M1154" s="11" t="s">
        <v>1332</v>
      </c>
      <c r="N1154" s="12" t="n">
        <f aca="false">INT(E1154)</f>
        <v>45769</v>
      </c>
      <c r="O1154" s="12" t="n">
        <f aca="false">IF(F1154="","",INT(F1154))</f>
        <v>45770</v>
      </c>
    </row>
    <row r="1155" customFormat="false" ht="15" hidden="false" customHeight="false" outlineLevel="0" collapsed="false">
      <c r="A1155" s="0" t="s">
        <v>2351</v>
      </c>
      <c r="B1155" s="0" t="s">
        <v>2352</v>
      </c>
      <c r="C1155" s="0" t="s">
        <v>23</v>
      </c>
      <c r="D1155" s="0" t="s">
        <v>42</v>
      </c>
      <c r="E1155" s="10" t="n">
        <v>45769.5138888889</v>
      </c>
      <c r="F1155" s="10" t="n">
        <v>45770.6166666667</v>
      </c>
      <c r="G1155" s="0" t="n">
        <v>282.26</v>
      </c>
      <c r="H1155" s="0" t="n">
        <v>279.93</v>
      </c>
      <c r="I1155" s="11" t="n">
        <f aca="false">H1155-G1155</f>
        <v>-2.32999999999998</v>
      </c>
      <c r="J1155" s="5" t="n">
        <f aca="false">IF(G1155=0,"",I1155/G1155)</f>
        <v>-0.00825480053851054</v>
      </c>
      <c r="K1155" s="0" t="n">
        <v>83</v>
      </c>
      <c r="L1155" s="0" t="n">
        <v>26.47</v>
      </c>
      <c r="M1155" s="11" t="s">
        <v>1332</v>
      </c>
      <c r="N1155" s="12" t="n">
        <f aca="false">INT(E1155)</f>
        <v>45769</v>
      </c>
      <c r="O1155" s="12" t="n">
        <f aca="false">IF(F1155="","",INT(F1155))</f>
        <v>45770</v>
      </c>
    </row>
    <row r="1156" customFormat="false" ht="15" hidden="false" customHeight="false" outlineLevel="0" collapsed="false">
      <c r="A1156" s="0" t="s">
        <v>2353</v>
      </c>
      <c r="B1156" s="0" t="s">
        <v>2354</v>
      </c>
      <c r="C1156" s="0" t="s">
        <v>24</v>
      </c>
      <c r="D1156" s="0" t="s">
        <v>42</v>
      </c>
      <c r="E1156" s="10" t="n">
        <v>45769.5319444445</v>
      </c>
      <c r="F1156" s="10" t="n">
        <v>45770.2301967593</v>
      </c>
      <c r="G1156" s="0" t="n">
        <v>389.85</v>
      </c>
      <c r="H1156" s="0" t="n">
        <v>385.99</v>
      </c>
      <c r="I1156" s="11" t="n">
        <f aca="false">H1156-G1156</f>
        <v>-3.86000000000001</v>
      </c>
      <c r="J1156" s="5" t="n">
        <f aca="false">IF(G1156=0,"",I1156/G1156)</f>
        <v>-0.00990124406823141</v>
      </c>
      <c r="K1156" s="0" t="n">
        <v>157.9</v>
      </c>
      <c r="L1156" s="0" t="n">
        <v>16.76</v>
      </c>
      <c r="M1156" s="11" t="s">
        <v>1332</v>
      </c>
      <c r="N1156" s="12" t="n">
        <f aca="false">INT(E1156)</f>
        <v>45769</v>
      </c>
      <c r="O1156" s="12" t="n">
        <f aca="false">IF(F1156="","",INT(F1156))</f>
        <v>45770</v>
      </c>
    </row>
    <row r="1157" customFormat="false" ht="15" hidden="false" customHeight="false" outlineLevel="0" collapsed="false">
      <c r="A1157" s="0" t="s">
        <v>2355</v>
      </c>
      <c r="B1157" s="0" t="s">
        <v>2356</v>
      </c>
      <c r="C1157" s="0" t="s">
        <v>21</v>
      </c>
      <c r="D1157" s="0" t="s">
        <v>42</v>
      </c>
      <c r="E1157" s="10" t="n">
        <v>45769.5569444444</v>
      </c>
      <c r="F1157" s="10" t="n">
        <v>45770.2844097222</v>
      </c>
      <c r="G1157" s="0" t="n">
        <v>334.27</v>
      </c>
      <c r="H1157" s="0" t="n">
        <v>326.9</v>
      </c>
      <c r="I1157" s="11" t="n">
        <f aca="false">H1157-G1157</f>
        <v>-7.37</v>
      </c>
      <c r="J1157" s="5" t="n">
        <f aca="false">IF(G1157=0,"",I1157/G1157)</f>
        <v>-0.0220480449935681</v>
      </c>
      <c r="K1157" s="0" t="n">
        <v>44.9</v>
      </c>
      <c r="L1157" s="0" t="n">
        <v>17.46</v>
      </c>
      <c r="M1157" s="11" t="s">
        <v>1332</v>
      </c>
      <c r="N1157" s="12" t="n">
        <f aca="false">INT(E1157)</f>
        <v>45769</v>
      </c>
      <c r="O1157" s="12" t="n">
        <f aca="false">IF(F1157="","",INT(F1157))</f>
        <v>45770</v>
      </c>
    </row>
    <row r="1158" customFormat="false" ht="15" hidden="false" customHeight="false" outlineLevel="0" collapsed="false">
      <c r="A1158" s="0" t="s">
        <v>2357</v>
      </c>
      <c r="B1158" s="0" t="s">
        <v>2358</v>
      </c>
      <c r="C1158" s="0" t="s">
        <v>22</v>
      </c>
      <c r="D1158" s="0" t="s">
        <v>42</v>
      </c>
      <c r="E1158" s="10" t="n">
        <v>45769.5638888889</v>
      </c>
      <c r="F1158" s="10" t="n">
        <v>45769.9722222222</v>
      </c>
      <c r="G1158" s="0" t="n">
        <v>64.1</v>
      </c>
      <c r="H1158" s="0" t="n">
        <v>64.03</v>
      </c>
      <c r="I1158" s="11" t="n">
        <f aca="false">H1158-G1158</f>
        <v>-0.0699999999999932</v>
      </c>
      <c r="J1158" s="5" t="n">
        <f aca="false">IF(G1158=0,"",I1158/G1158)</f>
        <v>-0.00109204368174716</v>
      </c>
      <c r="K1158" s="0" t="n">
        <v>8</v>
      </c>
      <c r="L1158" s="0" t="n">
        <v>9.8</v>
      </c>
      <c r="M1158" s="11" t="s">
        <v>1332</v>
      </c>
      <c r="N1158" s="12" t="n">
        <f aca="false">INT(E1158)</f>
        <v>45769</v>
      </c>
      <c r="O1158" s="12" t="n">
        <f aca="false">IF(F1158="","",INT(F1158))</f>
        <v>45769</v>
      </c>
    </row>
    <row r="1159" customFormat="false" ht="15" hidden="false" customHeight="false" outlineLevel="0" collapsed="false">
      <c r="A1159" s="0" t="s">
        <v>2359</v>
      </c>
      <c r="B1159" s="0" t="s">
        <v>2360</v>
      </c>
      <c r="C1159" s="0" t="s">
        <v>21</v>
      </c>
      <c r="D1159" s="0" t="s">
        <v>42</v>
      </c>
      <c r="E1159" s="10" t="n">
        <v>45769.5895833333</v>
      </c>
      <c r="F1159" s="10" t="n">
        <v>45770.2550694444</v>
      </c>
      <c r="G1159" s="0" t="n">
        <v>133.24</v>
      </c>
      <c r="H1159" s="0" t="n">
        <v>130.58</v>
      </c>
      <c r="I1159" s="11" t="n">
        <f aca="false">H1159-G1159</f>
        <v>-2.66</v>
      </c>
      <c r="J1159" s="5" t="n">
        <f aca="false">IF(G1159=0,"",I1159/G1159)</f>
        <v>-0.0199639747823476</v>
      </c>
      <c r="K1159" s="0" t="n">
        <v>26.3</v>
      </c>
      <c r="L1159" s="0" t="n">
        <v>15.97</v>
      </c>
      <c r="M1159" s="11" t="s">
        <v>1332</v>
      </c>
      <c r="N1159" s="12" t="n">
        <f aca="false">INT(E1159)</f>
        <v>45769</v>
      </c>
      <c r="O1159" s="12" t="n">
        <f aca="false">IF(F1159="","",INT(F1159))</f>
        <v>45770</v>
      </c>
    </row>
    <row r="1160" customFormat="false" ht="15" hidden="false" customHeight="false" outlineLevel="0" collapsed="false">
      <c r="A1160" s="0" t="s">
        <v>2361</v>
      </c>
      <c r="B1160" s="0" t="s">
        <v>2362</v>
      </c>
      <c r="C1160" s="0" t="s">
        <v>23</v>
      </c>
      <c r="D1160" s="0" t="s">
        <v>42</v>
      </c>
      <c r="E1160" s="10" t="n">
        <v>45769.5909722222</v>
      </c>
      <c r="F1160" s="10" t="n">
        <v>45770.3178587963</v>
      </c>
      <c r="G1160" s="0" t="n">
        <v>167.86</v>
      </c>
      <c r="H1160" s="0" t="n">
        <v>165.83</v>
      </c>
      <c r="I1160" s="11" t="n">
        <f aca="false">H1160-G1160</f>
        <v>-2.03</v>
      </c>
      <c r="J1160" s="5" t="n">
        <f aca="false">IF(G1160=0,"",I1160/G1160)</f>
        <v>-0.01209341117598</v>
      </c>
      <c r="K1160" s="0" t="n">
        <v>72</v>
      </c>
      <c r="L1160" s="0" t="n">
        <v>17.45</v>
      </c>
      <c r="M1160" s="11" t="s">
        <v>1332</v>
      </c>
      <c r="N1160" s="12" t="n">
        <f aca="false">INT(E1160)</f>
        <v>45769</v>
      </c>
      <c r="O1160" s="12" t="n">
        <f aca="false">IF(F1160="","",INT(F1160))</f>
        <v>45770</v>
      </c>
    </row>
    <row r="1161" customFormat="false" ht="15" hidden="false" customHeight="false" outlineLevel="0" collapsed="false">
      <c r="A1161" s="0" t="s">
        <v>2363</v>
      </c>
      <c r="B1161" s="0" t="s">
        <v>2364</v>
      </c>
      <c r="C1161" s="0" t="s">
        <v>19</v>
      </c>
      <c r="D1161" s="0" t="s">
        <v>42</v>
      </c>
      <c r="E1161" s="10" t="n">
        <v>45769.5979166667</v>
      </c>
      <c r="F1161" s="10" t="n">
        <v>45770.7027777778</v>
      </c>
      <c r="G1161" s="0" t="n">
        <v>1261.36</v>
      </c>
      <c r="H1161" s="0" t="n">
        <v>1223.34</v>
      </c>
      <c r="I1161" s="11" t="n">
        <f aca="false">H1161-G1161</f>
        <v>-38.02</v>
      </c>
      <c r="J1161" s="5" t="n">
        <f aca="false">IF(G1161=0,"",I1161/G1161)</f>
        <v>-0.0301420688780364</v>
      </c>
      <c r="K1161" s="0" t="n">
        <v>131.7</v>
      </c>
      <c r="L1161" s="0" t="n">
        <v>26.52</v>
      </c>
      <c r="M1161" s="11" t="s">
        <v>1332</v>
      </c>
      <c r="N1161" s="12" t="n">
        <f aca="false">INT(E1161)</f>
        <v>45769</v>
      </c>
      <c r="O1161" s="12" t="n">
        <f aca="false">IF(F1161="","",INT(F1161))</f>
        <v>45770</v>
      </c>
    </row>
    <row r="1162" customFormat="false" ht="15" hidden="false" customHeight="false" outlineLevel="0" collapsed="false">
      <c r="A1162" s="0" t="s">
        <v>2365</v>
      </c>
      <c r="B1162" s="0" t="s">
        <v>2366</v>
      </c>
      <c r="C1162" s="0" t="s">
        <v>21</v>
      </c>
      <c r="D1162" s="0" t="s">
        <v>42</v>
      </c>
      <c r="E1162" s="10" t="n">
        <v>45769.5986111111</v>
      </c>
      <c r="F1162" s="10" t="n">
        <v>45770.490162037</v>
      </c>
      <c r="G1162" s="0" t="n">
        <v>454.87</v>
      </c>
      <c r="H1162" s="0" t="n">
        <v>452.96</v>
      </c>
      <c r="I1162" s="11" t="n">
        <f aca="false">H1162-G1162</f>
        <v>-1.91000000000003</v>
      </c>
      <c r="J1162" s="5" t="n">
        <f aca="false">IF(G1162=0,"",I1162/G1162)</f>
        <v>-0.00419900191263443</v>
      </c>
      <c r="K1162" s="0" t="n">
        <v>106.3</v>
      </c>
      <c r="L1162" s="0" t="n">
        <v>21.4</v>
      </c>
      <c r="M1162" s="11" t="s">
        <v>1332</v>
      </c>
      <c r="N1162" s="12" t="n">
        <f aca="false">INT(E1162)</f>
        <v>45769</v>
      </c>
      <c r="O1162" s="12" t="n">
        <f aca="false">IF(F1162="","",INT(F1162))</f>
        <v>45770</v>
      </c>
    </row>
    <row r="1163" customFormat="false" ht="15" hidden="false" customHeight="false" outlineLevel="0" collapsed="false">
      <c r="A1163" s="0" t="s">
        <v>2367</v>
      </c>
      <c r="B1163" s="0" t="s">
        <v>2368</v>
      </c>
      <c r="C1163" s="0" t="s">
        <v>20</v>
      </c>
      <c r="D1163" s="0" t="s">
        <v>42</v>
      </c>
      <c r="E1163" s="10" t="n">
        <v>45769.6083333333</v>
      </c>
      <c r="F1163" s="10" t="n">
        <v>45770.9179050926</v>
      </c>
      <c r="G1163" s="0" t="n">
        <v>150.53</v>
      </c>
      <c r="H1163" s="0" t="n">
        <v>148.18</v>
      </c>
      <c r="I1163" s="11" t="n">
        <f aca="false">H1163-G1163</f>
        <v>-2.34999999999999</v>
      </c>
      <c r="J1163" s="5" t="n">
        <f aca="false">IF(G1163=0,"",I1163/G1163)</f>
        <v>-0.0156115060120906</v>
      </c>
      <c r="K1163" s="0" t="n">
        <v>29</v>
      </c>
      <c r="L1163" s="0" t="n">
        <v>31.43</v>
      </c>
      <c r="M1163" s="11" t="s">
        <v>1332</v>
      </c>
      <c r="N1163" s="12" t="n">
        <f aca="false">INT(E1163)</f>
        <v>45769</v>
      </c>
      <c r="O1163" s="12" t="n">
        <f aca="false">IF(F1163="","",INT(F1163))</f>
        <v>45770</v>
      </c>
    </row>
    <row r="1164" customFormat="false" ht="15" hidden="false" customHeight="false" outlineLevel="0" collapsed="false">
      <c r="A1164" s="0" t="s">
        <v>2369</v>
      </c>
      <c r="B1164" s="0" t="s">
        <v>2370</v>
      </c>
      <c r="C1164" s="0" t="s">
        <v>22</v>
      </c>
      <c r="D1164" s="0" t="s">
        <v>42</v>
      </c>
      <c r="E1164" s="10" t="n">
        <v>45769.6263888889</v>
      </c>
      <c r="F1164" s="10" t="n">
        <v>45770.1388888889</v>
      </c>
      <c r="G1164" s="0" t="n">
        <v>159.24</v>
      </c>
      <c r="H1164" s="0" t="n">
        <v>162.58</v>
      </c>
      <c r="I1164" s="11" t="n">
        <f aca="false">H1164-G1164</f>
        <v>3.34</v>
      </c>
      <c r="J1164" s="5" t="n">
        <f aca="false">IF(G1164=0,"",I1164/G1164)</f>
        <v>0.0209746294900779</v>
      </c>
      <c r="K1164" s="0" t="n">
        <v>18.2</v>
      </c>
      <c r="L1164" s="0" t="n">
        <v>12.3</v>
      </c>
      <c r="M1164" s="11" t="s">
        <v>1332</v>
      </c>
      <c r="N1164" s="12" t="n">
        <f aca="false">INT(E1164)</f>
        <v>45769</v>
      </c>
      <c r="O1164" s="12" t="n">
        <f aca="false">IF(F1164="","",INT(F1164))</f>
        <v>45770</v>
      </c>
    </row>
    <row r="1165" customFormat="false" ht="15" hidden="false" customHeight="false" outlineLevel="0" collapsed="false">
      <c r="A1165" s="0" t="s">
        <v>2371</v>
      </c>
      <c r="B1165" s="0" t="s">
        <v>2372</v>
      </c>
      <c r="C1165" s="0" t="s">
        <v>23</v>
      </c>
      <c r="D1165" s="0" t="s">
        <v>42</v>
      </c>
      <c r="E1165" s="10" t="n">
        <v>45769.6513888889</v>
      </c>
      <c r="F1165" s="10" t="n">
        <v>45772.1632291667</v>
      </c>
      <c r="G1165" s="0" t="n">
        <v>1253.3</v>
      </c>
      <c r="H1165" s="0" t="n">
        <v>1267.03</v>
      </c>
      <c r="I1165" s="11" t="n">
        <f aca="false">H1165-G1165</f>
        <v>13.73</v>
      </c>
      <c r="J1165" s="5" t="n">
        <f aca="false">IF(G1165=0,"",I1165/G1165)</f>
        <v>0.0109550785925158</v>
      </c>
      <c r="K1165" s="0" t="n">
        <v>287</v>
      </c>
      <c r="L1165" s="0" t="n">
        <v>60.28</v>
      </c>
      <c r="M1165" s="11" t="s">
        <v>1332</v>
      </c>
      <c r="N1165" s="12" t="n">
        <f aca="false">INT(E1165)</f>
        <v>45769</v>
      </c>
      <c r="O1165" s="12" t="n">
        <f aca="false">IF(F1165="","",INT(F1165))</f>
        <v>45772</v>
      </c>
    </row>
    <row r="1166" customFormat="false" ht="15" hidden="false" customHeight="false" outlineLevel="0" collapsed="false">
      <c r="A1166" s="0" t="s">
        <v>2373</v>
      </c>
      <c r="B1166" s="0" t="s">
        <v>2374</v>
      </c>
      <c r="C1166" s="0" t="s">
        <v>20</v>
      </c>
      <c r="D1166" s="0" t="s">
        <v>42</v>
      </c>
      <c r="E1166" s="10" t="n">
        <v>45769.6666666667</v>
      </c>
      <c r="F1166" s="10" t="n">
        <v>45771.8472222222</v>
      </c>
      <c r="G1166" s="0" t="n">
        <v>445.42</v>
      </c>
      <c r="H1166" s="0" t="n">
        <v>437.6</v>
      </c>
      <c r="I1166" s="11" t="n">
        <f aca="false">H1166-G1166</f>
        <v>-7.81999999999999</v>
      </c>
      <c r="J1166" s="5" t="n">
        <f aca="false">IF(G1166=0,"",I1166/G1166)</f>
        <v>-0.0175564635624803</v>
      </c>
      <c r="K1166" s="0" t="n">
        <v>66</v>
      </c>
      <c r="L1166" s="0" t="n">
        <v>52.33</v>
      </c>
      <c r="M1166" s="11" t="s">
        <v>1332</v>
      </c>
      <c r="N1166" s="12" t="n">
        <f aca="false">INT(E1166)</f>
        <v>45769</v>
      </c>
      <c r="O1166" s="12" t="n">
        <f aca="false">IF(F1166="","",INT(F1166))</f>
        <v>45771</v>
      </c>
    </row>
    <row r="1167" customFormat="false" ht="15" hidden="false" customHeight="false" outlineLevel="0" collapsed="false">
      <c r="A1167" s="0" t="s">
        <v>2375</v>
      </c>
      <c r="B1167" s="0" t="s">
        <v>2376</v>
      </c>
      <c r="C1167" s="0" t="s">
        <v>21</v>
      </c>
      <c r="D1167" s="0" t="s">
        <v>42</v>
      </c>
      <c r="E1167" s="10" t="n">
        <v>45769.7125</v>
      </c>
      <c r="F1167" s="10" t="n">
        <v>45770.5715277778</v>
      </c>
      <c r="G1167" s="0" t="n">
        <v>133.02</v>
      </c>
      <c r="H1167" s="0" t="n">
        <v>123.45</v>
      </c>
      <c r="I1167" s="11" t="n">
        <f aca="false">H1167-G1167</f>
        <v>-9.57000000000001</v>
      </c>
      <c r="J1167" s="5" t="n">
        <f aca="false">IF(G1167=0,"",I1167/G1167)</f>
        <v>-0.0719440685611187</v>
      </c>
      <c r="K1167" s="0" t="n">
        <v>29.5</v>
      </c>
      <c r="L1167" s="0" t="n">
        <v>20.62</v>
      </c>
      <c r="M1167" s="11" t="s">
        <v>1332</v>
      </c>
      <c r="N1167" s="12" t="n">
        <f aca="false">INT(E1167)</f>
        <v>45769</v>
      </c>
      <c r="O1167" s="12" t="n">
        <f aca="false">IF(F1167="","",INT(F1167))</f>
        <v>45770</v>
      </c>
    </row>
    <row r="1168" customFormat="false" ht="15" hidden="false" customHeight="false" outlineLevel="0" collapsed="false">
      <c r="A1168" s="0" t="s">
        <v>2377</v>
      </c>
      <c r="B1168" s="0" t="s">
        <v>2378</v>
      </c>
      <c r="C1168" s="0" t="s">
        <v>22</v>
      </c>
      <c r="D1168" s="0" t="s">
        <v>42</v>
      </c>
      <c r="E1168" s="10" t="n">
        <v>45769.7326388889</v>
      </c>
      <c r="F1168" s="10" t="n">
        <v>45770.1005902778</v>
      </c>
      <c r="G1168" s="0" t="n">
        <v>2369.94</v>
      </c>
      <c r="H1168" s="0" t="n">
        <v>2357.5</v>
      </c>
      <c r="I1168" s="11" t="n">
        <f aca="false">H1168-G1168</f>
        <v>-12.4400000000001</v>
      </c>
      <c r="J1168" s="5" t="n">
        <f aca="false">IF(G1168=0,"",I1168/G1168)</f>
        <v>-0.00524907803573089</v>
      </c>
      <c r="K1168" s="0" t="n">
        <v>362.9</v>
      </c>
      <c r="L1168" s="0" t="n">
        <v>8.83</v>
      </c>
      <c r="M1168" s="11" t="s">
        <v>1332</v>
      </c>
      <c r="N1168" s="12" t="n">
        <f aca="false">INT(E1168)</f>
        <v>45769</v>
      </c>
      <c r="O1168" s="12" t="n">
        <f aca="false">IF(F1168="","",INT(F1168))</f>
        <v>45770</v>
      </c>
    </row>
    <row r="1169" customFormat="false" ht="15" hidden="false" customHeight="false" outlineLevel="0" collapsed="false">
      <c r="A1169" s="0" t="s">
        <v>2379</v>
      </c>
      <c r="B1169" s="0" t="s">
        <v>2380</v>
      </c>
      <c r="C1169" s="0" t="s">
        <v>19</v>
      </c>
      <c r="D1169" s="0" t="s">
        <v>42</v>
      </c>
      <c r="E1169" s="10" t="n">
        <v>45769.7597222222</v>
      </c>
      <c r="F1169" s="10" t="n">
        <v>45771.8841203704</v>
      </c>
      <c r="G1169" s="0" t="n">
        <v>380.02</v>
      </c>
      <c r="H1169" s="0" t="n">
        <v>395</v>
      </c>
      <c r="I1169" s="11" t="n">
        <f aca="false">H1169-G1169</f>
        <v>14.98</v>
      </c>
      <c r="J1169" s="5" t="n">
        <f aca="false">IF(G1169=0,"",I1169/G1169)</f>
        <v>0.0394189779485291</v>
      </c>
      <c r="K1169" s="0" t="n">
        <v>74.3</v>
      </c>
      <c r="L1169" s="0" t="n">
        <v>50.99</v>
      </c>
      <c r="M1169" s="11" t="s">
        <v>1332</v>
      </c>
      <c r="N1169" s="12" t="n">
        <f aca="false">INT(E1169)</f>
        <v>45769</v>
      </c>
      <c r="O1169" s="12" t="n">
        <f aca="false">IF(F1169="","",INT(F1169))</f>
        <v>45771</v>
      </c>
    </row>
    <row r="1170" customFormat="false" ht="15" hidden="false" customHeight="false" outlineLevel="0" collapsed="false">
      <c r="A1170" s="0" t="s">
        <v>2381</v>
      </c>
      <c r="B1170" s="0" t="s">
        <v>2382</v>
      </c>
      <c r="C1170" s="0" t="s">
        <v>21</v>
      </c>
      <c r="D1170" s="0" t="s">
        <v>42</v>
      </c>
      <c r="E1170" s="10" t="n">
        <v>45769.7631944444</v>
      </c>
      <c r="F1170" s="10" t="n">
        <v>45771.0973726852</v>
      </c>
      <c r="G1170" s="0" t="n">
        <v>486.27</v>
      </c>
      <c r="H1170" s="0" t="n">
        <v>488.75</v>
      </c>
      <c r="I1170" s="11" t="n">
        <f aca="false">H1170-G1170</f>
        <v>2.48000000000002</v>
      </c>
      <c r="J1170" s="5" t="n">
        <f aca="false">IF(G1170=0,"",I1170/G1170)</f>
        <v>0.00510004729882579</v>
      </c>
      <c r="K1170" s="0" t="n">
        <v>88.3</v>
      </c>
      <c r="L1170" s="0" t="n">
        <v>32.02</v>
      </c>
      <c r="M1170" s="11" t="s">
        <v>1332</v>
      </c>
      <c r="N1170" s="12" t="n">
        <f aca="false">INT(E1170)</f>
        <v>45769</v>
      </c>
      <c r="O1170" s="12" t="n">
        <f aca="false">IF(F1170="","",INT(F1170))</f>
        <v>45771</v>
      </c>
    </row>
    <row r="1171" customFormat="false" ht="15" hidden="false" customHeight="false" outlineLevel="0" collapsed="false">
      <c r="A1171" s="0" t="s">
        <v>2383</v>
      </c>
      <c r="B1171" s="0" t="s">
        <v>2384</v>
      </c>
      <c r="C1171" s="0" t="s">
        <v>23</v>
      </c>
      <c r="D1171" s="0" t="s">
        <v>42</v>
      </c>
      <c r="E1171" s="10" t="n">
        <v>45770.3354166667</v>
      </c>
      <c r="F1171" s="10" t="n">
        <v>45770.9847222222</v>
      </c>
      <c r="G1171" s="0" t="n">
        <v>82.74</v>
      </c>
      <c r="H1171" s="0" t="n">
        <v>84.45</v>
      </c>
      <c r="I1171" s="11" t="n">
        <f aca="false">H1171-G1171</f>
        <v>1.71000000000001</v>
      </c>
      <c r="J1171" s="5" t="n">
        <f aca="false">IF(G1171=0,"",I1171/G1171)</f>
        <v>0.0206671501087746</v>
      </c>
      <c r="K1171" s="0" t="n">
        <v>28.6</v>
      </c>
      <c r="L1171" s="0" t="n">
        <v>15.58</v>
      </c>
      <c r="M1171" s="11" t="s">
        <v>1332</v>
      </c>
      <c r="N1171" s="12" t="n">
        <f aca="false">INT(E1171)</f>
        <v>45770</v>
      </c>
      <c r="O1171" s="12" t="n">
        <f aca="false">IF(F1171="","",INT(F1171))</f>
        <v>45770</v>
      </c>
    </row>
    <row r="1172" customFormat="false" ht="15" hidden="false" customHeight="false" outlineLevel="0" collapsed="false">
      <c r="A1172" s="0" t="s">
        <v>2385</v>
      </c>
      <c r="B1172" s="0" t="s">
        <v>2386</v>
      </c>
      <c r="C1172" s="0" t="s">
        <v>23</v>
      </c>
      <c r="D1172" s="0" t="s">
        <v>42</v>
      </c>
      <c r="E1172" s="10" t="n">
        <v>45770.3708333333</v>
      </c>
      <c r="F1172" s="10" t="n">
        <v>45771.5736111111</v>
      </c>
      <c r="G1172" s="0" t="n">
        <v>421.12</v>
      </c>
      <c r="H1172" s="0" t="n">
        <v>414.25</v>
      </c>
      <c r="I1172" s="11" t="n">
        <f aca="false">H1172-G1172</f>
        <v>-6.87</v>
      </c>
      <c r="J1172" s="5" t="n">
        <f aca="false">IF(G1172=0,"",I1172/G1172)</f>
        <v>-0.0163136398176292</v>
      </c>
      <c r="K1172" s="0" t="n">
        <v>151.4</v>
      </c>
      <c r="L1172" s="0" t="n">
        <v>28.87</v>
      </c>
      <c r="M1172" s="11" t="s">
        <v>1332</v>
      </c>
      <c r="N1172" s="12" t="n">
        <f aca="false">INT(E1172)</f>
        <v>45770</v>
      </c>
      <c r="O1172" s="12" t="n">
        <f aca="false">IF(F1172="","",INT(F1172))</f>
        <v>45771</v>
      </c>
    </row>
    <row r="1173" customFormat="false" ht="15" hidden="false" customHeight="false" outlineLevel="0" collapsed="false">
      <c r="A1173" s="0" t="s">
        <v>2387</v>
      </c>
      <c r="B1173" s="0" t="s">
        <v>2388</v>
      </c>
      <c r="C1173" s="0" t="s">
        <v>22</v>
      </c>
      <c r="D1173" s="0" t="s">
        <v>42</v>
      </c>
      <c r="E1173" s="10" t="n">
        <v>45770.4270833333</v>
      </c>
      <c r="F1173" s="10" t="n">
        <v>45771.1646296296</v>
      </c>
      <c r="G1173" s="0" t="n">
        <v>810.96</v>
      </c>
      <c r="H1173" s="0" t="n">
        <v>796.94</v>
      </c>
      <c r="I1173" s="11" t="n">
        <f aca="false">H1173-G1173</f>
        <v>-14.02</v>
      </c>
      <c r="J1173" s="5" t="n">
        <f aca="false">IF(G1173=0,"",I1173/G1173)</f>
        <v>-0.0172881523133077</v>
      </c>
      <c r="K1173" s="0" t="n">
        <v>136.1</v>
      </c>
      <c r="L1173" s="0" t="n">
        <v>17.7</v>
      </c>
      <c r="M1173" s="11" t="s">
        <v>1332</v>
      </c>
      <c r="N1173" s="12" t="n">
        <f aca="false">INT(E1173)</f>
        <v>45770</v>
      </c>
      <c r="O1173" s="12" t="n">
        <f aca="false">IF(F1173="","",INT(F1173))</f>
        <v>45771</v>
      </c>
    </row>
    <row r="1174" customFormat="false" ht="15" hidden="false" customHeight="false" outlineLevel="0" collapsed="false">
      <c r="A1174" s="0" t="s">
        <v>2389</v>
      </c>
      <c r="B1174" s="0" t="s">
        <v>2390</v>
      </c>
      <c r="C1174" s="0" t="s">
        <v>23</v>
      </c>
      <c r="D1174" s="0" t="s">
        <v>42</v>
      </c>
      <c r="E1174" s="10" t="n">
        <v>45770.4430555556</v>
      </c>
      <c r="F1174" s="10" t="n">
        <v>45771.0805555556</v>
      </c>
      <c r="G1174" s="0" t="n">
        <v>308.44</v>
      </c>
      <c r="H1174" s="0" t="n">
        <v>307.02</v>
      </c>
      <c r="I1174" s="11" t="n">
        <f aca="false">H1174-G1174</f>
        <v>-1.42000000000002</v>
      </c>
      <c r="J1174" s="5" t="n">
        <f aca="false">IF(G1174=0,"",I1174/G1174)</f>
        <v>-0.00460381273505387</v>
      </c>
      <c r="K1174" s="0" t="n">
        <v>132.8</v>
      </c>
      <c r="L1174" s="0" t="n">
        <v>15.3</v>
      </c>
      <c r="M1174" s="11" t="s">
        <v>1332</v>
      </c>
      <c r="N1174" s="12" t="n">
        <f aca="false">INT(E1174)</f>
        <v>45770</v>
      </c>
      <c r="O1174" s="12" t="n">
        <f aca="false">IF(F1174="","",INT(F1174))</f>
        <v>45771</v>
      </c>
    </row>
    <row r="1175" customFormat="false" ht="15" hidden="false" customHeight="false" outlineLevel="0" collapsed="false">
      <c r="A1175" s="0" t="s">
        <v>2391</v>
      </c>
      <c r="B1175" s="0" t="s">
        <v>2392</v>
      </c>
      <c r="C1175" s="0" t="s">
        <v>21</v>
      </c>
      <c r="D1175" s="0" t="s">
        <v>42</v>
      </c>
      <c r="E1175" s="10" t="n">
        <v>45770.4451388889</v>
      </c>
      <c r="F1175" s="10" t="n">
        <v>45770.8783101852</v>
      </c>
      <c r="G1175" s="0" t="n">
        <v>136.8</v>
      </c>
      <c r="H1175" s="0" t="n">
        <v>146.52</v>
      </c>
      <c r="I1175" s="11" t="n">
        <f aca="false">H1175-G1175</f>
        <v>9.72</v>
      </c>
      <c r="J1175" s="5" t="n">
        <f aca="false">IF(G1175=0,"",I1175/G1175)</f>
        <v>0.0710526315789474</v>
      </c>
      <c r="K1175" s="0" t="n">
        <v>27.6</v>
      </c>
      <c r="L1175" s="0" t="n">
        <v>10.4</v>
      </c>
      <c r="M1175" s="11" t="s">
        <v>1332</v>
      </c>
      <c r="N1175" s="12" t="n">
        <f aca="false">INT(E1175)</f>
        <v>45770</v>
      </c>
      <c r="O1175" s="12" t="n">
        <f aca="false">IF(F1175="","",INT(F1175))</f>
        <v>45770</v>
      </c>
    </row>
    <row r="1176" customFormat="false" ht="15" hidden="false" customHeight="false" outlineLevel="0" collapsed="false">
      <c r="A1176" s="0" t="s">
        <v>2393</v>
      </c>
      <c r="B1176" s="0" t="s">
        <v>2394</v>
      </c>
      <c r="C1176" s="0" t="s">
        <v>21</v>
      </c>
      <c r="D1176" s="0" t="s">
        <v>42</v>
      </c>
      <c r="E1176" s="10" t="n">
        <v>45770.4659722222</v>
      </c>
      <c r="F1176" s="10" t="n">
        <v>45770.9807986111</v>
      </c>
      <c r="G1176" s="0" t="n">
        <v>756.91</v>
      </c>
      <c r="H1176" s="0" t="n">
        <v>758.14</v>
      </c>
      <c r="I1176" s="11" t="n">
        <f aca="false">H1176-G1176</f>
        <v>1.23000000000002</v>
      </c>
      <c r="J1176" s="5" t="n">
        <f aca="false">IF(G1176=0,"",I1176/G1176)</f>
        <v>0.00162502807467205</v>
      </c>
      <c r="K1176" s="0" t="n">
        <v>128.5</v>
      </c>
      <c r="L1176" s="0" t="n">
        <v>12.36</v>
      </c>
      <c r="M1176" s="11" t="s">
        <v>1332</v>
      </c>
      <c r="N1176" s="12" t="n">
        <f aca="false">INT(E1176)</f>
        <v>45770</v>
      </c>
      <c r="O1176" s="12" t="n">
        <f aca="false">IF(F1176="","",INT(F1176))</f>
        <v>45770</v>
      </c>
    </row>
    <row r="1177" customFormat="false" ht="15" hidden="false" customHeight="false" outlineLevel="0" collapsed="false">
      <c r="A1177" s="0" t="s">
        <v>2395</v>
      </c>
      <c r="B1177" s="0" t="s">
        <v>2396</v>
      </c>
      <c r="C1177" s="0" t="s">
        <v>23</v>
      </c>
      <c r="D1177" s="0" t="s">
        <v>42</v>
      </c>
      <c r="E1177" s="10" t="n">
        <v>45770.4895833333</v>
      </c>
      <c r="F1177" s="10" t="n">
        <v>45771.3479166667</v>
      </c>
      <c r="G1177" s="0" t="n">
        <v>504.88</v>
      </c>
      <c r="H1177" s="0" t="n">
        <v>526.79</v>
      </c>
      <c r="I1177" s="11" t="n">
        <f aca="false">H1177-G1177</f>
        <v>21.91</v>
      </c>
      <c r="J1177" s="5" t="n">
        <f aca="false">IF(G1177=0,"",I1177/G1177)</f>
        <v>0.0433964506417366</v>
      </c>
      <c r="K1177" s="0" t="n">
        <v>148.8</v>
      </c>
      <c r="L1177" s="0" t="n">
        <v>20.6</v>
      </c>
      <c r="M1177" s="11" t="s">
        <v>1332</v>
      </c>
      <c r="N1177" s="12" t="n">
        <f aca="false">INT(E1177)</f>
        <v>45770</v>
      </c>
      <c r="O1177" s="12" t="n">
        <f aca="false">IF(F1177="","",INT(F1177))</f>
        <v>45771</v>
      </c>
    </row>
    <row r="1178" customFormat="false" ht="15" hidden="false" customHeight="false" outlineLevel="0" collapsed="false">
      <c r="A1178" s="0" t="s">
        <v>2397</v>
      </c>
      <c r="B1178" s="0" t="s">
        <v>2398</v>
      </c>
      <c r="C1178" s="0" t="s">
        <v>24</v>
      </c>
      <c r="D1178" s="0" t="s">
        <v>42</v>
      </c>
      <c r="E1178" s="10" t="n">
        <v>45770.4965277778</v>
      </c>
      <c r="F1178" s="10" t="n">
        <v>45772.85</v>
      </c>
      <c r="G1178" s="0" t="n">
        <v>419.86</v>
      </c>
      <c r="H1178" s="0" t="n">
        <v>468.72</v>
      </c>
      <c r="I1178" s="11" t="n">
        <f aca="false">H1178-G1178</f>
        <v>48.86</v>
      </c>
      <c r="J1178" s="5" t="n">
        <f aca="false">IF(G1178=0,"",I1178/G1178)</f>
        <v>0.116372124041347</v>
      </c>
      <c r="K1178" s="0" t="n">
        <v>78.7</v>
      </c>
      <c r="L1178" s="0" t="n">
        <v>56.48</v>
      </c>
      <c r="M1178" s="11" t="s">
        <v>1332</v>
      </c>
      <c r="N1178" s="12" t="n">
        <f aca="false">INT(E1178)</f>
        <v>45770</v>
      </c>
      <c r="O1178" s="12" t="n">
        <f aca="false">IF(F1178="","",INT(F1178))</f>
        <v>45772</v>
      </c>
    </row>
    <row r="1179" customFormat="false" ht="15" hidden="false" customHeight="false" outlineLevel="0" collapsed="false">
      <c r="A1179" s="0" t="s">
        <v>2399</v>
      </c>
      <c r="B1179" s="0" t="s">
        <v>2400</v>
      </c>
      <c r="C1179" s="0" t="s">
        <v>22</v>
      </c>
      <c r="D1179" s="0" t="s">
        <v>42</v>
      </c>
      <c r="E1179" s="10" t="n">
        <v>45770.5020833333</v>
      </c>
      <c r="F1179" s="10" t="n">
        <v>45771.0875</v>
      </c>
      <c r="G1179" s="0" t="n">
        <v>802.27</v>
      </c>
      <c r="H1179" s="0" t="n">
        <v>634.27</v>
      </c>
      <c r="I1179" s="11" t="n">
        <f aca="false">H1179-G1179</f>
        <v>-168</v>
      </c>
      <c r="J1179" s="5" t="n">
        <f aca="false">IF(G1179=0,"",I1179/G1179)</f>
        <v>-0.209405811011256</v>
      </c>
      <c r="K1179" s="0" t="n">
        <v>110.1</v>
      </c>
      <c r="L1179" s="0" t="n">
        <v>14.05</v>
      </c>
      <c r="M1179" s="11" t="s">
        <v>1332</v>
      </c>
      <c r="N1179" s="12" t="n">
        <f aca="false">INT(E1179)</f>
        <v>45770</v>
      </c>
      <c r="O1179" s="12" t="n">
        <f aca="false">IF(F1179="","",INT(F1179))</f>
        <v>45771</v>
      </c>
    </row>
    <row r="1180" customFormat="false" ht="15" hidden="false" customHeight="false" outlineLevel="0" collapsed="false">
      <c r="A1180" s="0" t="s">
        <v>2401</v>
      </c>
      <c r="B1180" s="0" t="s">
        <v>2402</v>
      </c>
      <c r="C1180" s="0" t="s">
        <v>19</v>
      </c>
      <c r="D1180" s="0" t="s">
        <v>42</v>
      </c>
      <c r="E1180" s="10" t="n">
        <v>45770.5194444444</v>
      </c>
      <c r="F1180" s="10" t="n">
        <v>45771.3756944445</v>
      </c>
      <c r="G1180" s="0" t="n">
        <v>632.63</v>
      </c>
      <c r="H1180" s="0" t="n">
        <v>634.72</v>
      </c>
      <c r="I1180" s="11" t="n">
        <f aca="false">H1180-G1180</f>
        <v>2.09000000000003</v>
      </c>
      <c r="J1180" s="5" t="n">
        <f aca="false">IF(G1180=0,"",I1180/G1180)</f>
        <v>0.00330366881115349</v>
      </c>
      <c r="K1180" s="0" t="n">
        <v>73.5</v>
      </c>
      <c r="L1180" s="0" t="n">
        <v>20.55</v>
      </c>
      <c r="M1180" s="11" t="s">
        <v>1332</v>
      </c>
      <c r="N1180" s="12" t="n">
        <f aca="false">INT(E1180)</f>
        <v>45770</v>
      </c>
      <c r="O1180" s="12" t="n">
        <f aca="false">IF(F1180="","",INT(F1180))</f>
        <v>45771</v>
      </c>
    </row>
    <row r="1181" customFormat="false" ht="15" hidden="false" customHeight="false" outlineLevel="0" collapsed="false">
      <c r="A1181" s="0" t="s">
        <v>2403</v>
      </c>
      <c r="B1181" s="0" t="s">
        <v>2404</v>
      </c>
      <c r="C1181" s="0" t="s">
        <v>20</v>
      </c>
      <c r="D1181" s="0" t="s">
        <v>42</v>
      </c>
      <c r="E1181" s="10" t="n">
        <v>45770.5354166667</v>
      </c>
      <c r="F1181" s="10" t="n">
        <v>45775.1145833333</v>
      </c>
      <c r="G1181" s="0" t="n">
        <v>737.24</v>
      </c>
      <c r="H1181" s="0" t="n">
        <v>739.58</v>
      </c>
      <c r="I1181" s="11" t="n">
        <f aca="false">H1181-G1181</f>
        <v>2.34000000000003</v>
      </c>
      <c r="J1181" s="5" t="n">
        <f aca="false">IF(G1181=0,"",I1181/G1181)</f>
        <v>0.00317400032553854</v>
      </c>
      <c r="K1181" s="0" t="n">
        <v>104.1</v>
      </c>
      <c r="L1181" s="0" t="n">
        <v>61.9</v>
      </c>
      <c r="M1181" s="11" t="s">
        <v>1332</v>
      </c>
      <c r="N1181" s="12" t="n">
        <f aca="false">INT(E1181)</f>
        <v>45770</v>
      </c>
      <c r="O1181" s="12" t="n">
        <f aca="false">IF(F1181="","",INT(F1181))</f>
        <v>45775</v>
      </c>
    </row>
    <row r="1182" customFormat="false" ht="15" hidden="false" customHeight="false" outlineLevel="0" collapsed="false">
      <c r="A1182" s="0" t="s">
        <v>2405</v>
      </c>
      <c r="B1182" s="0" t="s">
        <v>2406</v>
      </c>
      <c r="C1182" s="0" t="s">
        <v>21</v>
      </c>
      <c r="D1182" s="0" t="s">
        <v>42</v>
      </c>
      <c r="E1182" s="10" t="n">
        <v>45770.5993055556</v>
      </c>
      <c r="F1182" s="10" t="n">
        <v>45770.8687962963</v>
      </c>
      <c r="G1182" s="0" t="n">
        <v>287.21</v>
      </c>
      <c r="H1182" s="0" t="n">
        <v>288.55</v>
      </c>
      <c r="I1182" s="11" t="n">
        <f aca="false">H1182-G1182</f>
        <v>1.34000000000003</v>
      </c>
      <c r="J1182" s="5" t="n">
        <f aca="false">IF(G1182=0,"",I1182/G1182)</f>
        <v>0.00466557571115223</v>
      </c>
      <c r="K1182" s="0" t="n">
        <v>68.3</v>
      </c>
      <c r="L1182" s="0" t="n">
        <v>6.47</v>
      </c>
      <c r="M1182" s="11" t="s">
        <v>1332</v>
      </c>
      <c r="N1182" s="12" t="n">
        <f aca="false">INT(E1182)</f>
        <v>45770</v>
      </c>
      <c r="O1182" s="12" t="n">
        <f aca="false">IF(F1182="","",INT(F1182))</f>
        <v>45770</v>
      </c>
    </row>
    <row r="1183" customFormat="false" ht="15" hidden="false" customHeight="false" outlineLevel="0" collapsed="false">
      <c r="A1183" s="0" t="s">
        <v>2407</v>
      </c>
      <c r="B1183" s="0" t="s">
        <v>2408</v>
      </c>
      <c r="C1183" s="0" t="s">
        <v>20</v>
      </c>
      <c r="D1183" s="0" t="s">
        <v>42</v>
      </c>
      <c r="E1183" s="10" t="n">
        <v>45770.65625</v>
      </c>
      <c r="F1183" s="10" t="n">
        <v>45771.9930555556</v>
      </c>
      <c r="G1183" s="0" t="n">
        <v>595.64</v>
      </c>
      <c r="H1183" s="0" t="n">
        <v>598.47</v>
      </c>
      <c r="I1183" s="11" t="n">
        <f aca="false">H1183-G1183</f>
        <v>2.83000000000004</v>
      </c>
      <c r="J1183" s="5" t="n">
        <f aca="false">IF(G1183=0,"",I1183/G1183)</f>
        <v>0.00475119199516493</v>
      </c>
      <c r="K1183" s="0" t="n">
        <v>66.7</v>
      </c>
      <c r="L1183" s="0" t="n">
        <v>32.08</v>
      </c>
      <c r="M1183" s="11" t="s">
        <v>1332</v>
      </c>
      <c r="N1183" s="12" t="n">
        <f aca="false">INT(E1183)</f>
        <v>45770</v>
      </c>
      <c r="O1183" s="12" t="n">
        <f aca="false">IF(F1183="","",INT(F1183))</f>
        <v>45771</v>
      </c>
    </row>
    <row r="1184" customFormat="false" ht="15" hidden="false" customHeight="false" outlineLevel="0" collapsed="false">
      <c r="A1184" s="0" t="s">
        <v>2409</v>
      </c>
      <c r="B1184" s="0" t="s">
        <v>2410</v>
      </c>
      <c r="C1184" s="0" t="s">
        <v>20</v>
      </c>
      <c r="D1184" s="0" t="s">
        <v>42</v>
      </c>
      <c r="E1184" s="10" t="n">
        <v>45770.6763888889</v>
      </c>
      <c r="F1184" s="10" t="n">
        <v>45772.1767824074</v>
      </c>
      <c r="G1184" s="0" t="n">
        <v>105.7</v>
      </c>
      <c r="H1184" s="0" t="n">
        <v>105.29</v>
      </c>
      <c r="I1184" s="11" t="n">
        <f aca="false">H1184-G1184</f>
        <v>-0.409999999999997</v>
      </c>
      <c r="J1184" s="5" t="n">
        <f aca="false">IF(G1184=0,"",I1184/G1184)</f>
        <v>-0.00387890255439921</v>
      </c>
      <c r="K1184" s="0" t="n">
        <v>13.3</v>
      </c>
      <c r="L1184" s="0" t="n">
        <v>36.01</v>
      </c>
      <c r="M1184" s="11" t="s">
        <v>1332</v>
      </c>
      <c r="N1184" s="12" t="n">
        <f aca="false">INT(E1184)</f>
        <v>45770</v>
      </c>
      <c r="O1184" s="12" t="n">
        <f aca="false">IF(F1184="","",INT(F1184))</f>
        <v>45772</v>
      </c>
    </row>
    <row r="1185" customFormat="false" ht="15" hidden="false" customHeight="false" outlineLevel="0" collapsed="false">
      <c r="A1185" s="0" t="s">
        <v>2411</v>
      </c>
      <c r="B1185" s="0" t="s">
        <v>2412</v>
      </c>
      <c r="C1185" s="0" t="s">
        <v>20</v>
      </c>
      <c r="D1185" s="0" t="s">
        <v>42</v>
      </c>
      <c r="E1185" s="10" t="n">
        <v>45770.6923611111</v>
      </c>
      <c r="F1185" s="10" t="n">
        <v>45771.8784722222</v>
      </c>
      <c r="G1185" s="0" t="n">
        <v>329.6</v>
      </c>
      <c r="H1185" s="0" t="n">
        <v>330.37</v>
      </c>
      <c r="I1185" s="11" t="n">
        <f aca="false">H1185-G1185</f>
        <v>0.769999999999982</v>
      </c>
      <c r="J1185" s="5" t="n">
        <f aca="false">IF(G1185=0,"",I1185/G1185)</f>
        <v>0.00233616504854363</v>
      </c>
      <c r="K1185" s="0" t="n">
        <v>66</v>
      </c>
      <c r="L1185" s="0" t="n">
        <v>28.47</v>
      </c>
      <c r="M1185" s="11" t="s">
        <v>1332</v>
      </c>
      <c r="N1185" s="12" t="n">
        <f aca="false">INT(E1185)</f>
        <v>45770</v>
      </c>
      <c r="O1185" s="12" t="n">
        <f aca="false">IF(F1185="","",INT(F1185))</f>
        <v>45771</v>
      </c>
    </row>
    <row r="1186" customFormat="false" ht="15" hidden="false" customHeight="false" outlineLevel="0" collapsed="false">
      <c r="A1186" s="0" t="s">
        <v>2413</v>
      </c>
      <c r="B1186" s="0" t="s">
        <v>2414</v>
      </c>
      <c r="C1186" s="0" t="s">
        <v>22</v>
      </c>
      <c r="D1186" s="0" t="s">
        <v>42</v>
      </c>
      <c r="E1186" s="10" t="n">
        <v>45770.7013888889</v>
      </c>
      <c r="F1186" s="10" t="n">
        <v>45772.8569907407</v>
      </c>
      <c r="G1186" s="0" t="n">
        <v>485.39</v>
      </c>
      <c r="H1186" s="0" t="n">
        <v>492.94</v>
      </c>
      <c r="I1186" s="11" t="n">
        <f aca="false">H1186-G1186</f>
        <v>7.55000000000001</v>
      </c>
      <c r="J1186" s="5" t="n">
        <f aca="false">IF(G1186=0,"",I1186/G1186)</f>
        <v>0.0155545025649478</v>
      </c>
      <c r="K1186" s="0" t="n">
        <v>101.9</v>
      </c>
      <c r="L1186" s="0" t="n">
        <v>51.73</v>
      </c>
      <c r="M1186" s="11" t="s">
        <v>1332</v>
      </c>
      <c r="N1186" s="12" t="n">
        <f aca="false">INT(E1186)</f>
        <v>45770</v>
      </c>
      <c r="O1186" s="12" t="n">
        <f aca="false">IF(F1186="","",INT(F1186))</f>
        <v>45772</v>
      </c>
    </row>
    <row r="1187" customFormat="false" ht="15" hidden="false" customHeight="false" outlineLevel="0" collapsed="false">
      <c r="A1187" s="0" t="s">
        <v>2415</v>
      </c>
      <c r="B1187" s="0" t="s">
        <v>2416</v>
      </c>
      <c r="C1187" s="0" t="s">
        <v>23</v>
      </c>
      <c r="D1187" s="0" t="s">
        <v>42</v>
      </c>
      <c r="E1187" s="10" t="n">
        <v>45770.7118055556</v>
      </c>
      <c r="F1187" s="10" t="n">
        <v>45772.1019791667</v>
      </c>
      <c r="G1187" s="0" t="n">
        <v>1335.17</v>
      </c>
      <c r="H1187" s="0" t="n">
        <v>1325.95</v>
      </c>
      <c r="I1187" s="11" t="n">
        <f aca="false">H1187-G1187</f>
        <v>-9.22000000000003</v>
      </c>
      <c r="J1187" s="5" t="n">
        <f aca="false">IF(G1187=0,"",I1187/G1187)</f>
        <v>-0.00690548769070607</v>
      </c>
      <c r="K1187" s="0" t="n">
        <v>512.4</v>
      </c>
      <c r="L1187" s="0" t="n">
        <v>33.36</v>
      </c>
      <c r="M1187" s="11" t="s">
        <v>1332</v>
      </c>
      <c r="N1187" s="12" t="n">
        <f aca="false">INT(E1187)</f>
        <v>45770</v>
      </c>
      <c r="O1187" s="12" t="n">
        <f aca="false">IF(F1187="","",INT(F1187))</f>
        <v>45772</v>
      </c>
    </row>
    <row r="1188" customFormat="false" ht="15" hidden="false" customHeight="false" outlineLevel="0" collapsed="false">
      <c r="A1188" s="0" t="s">
        <v>2417</v>
      </c>
      <c r="B1188" s="0" t="s">
        <v>2418</v>
      </c>
      <c r="C1188" s="0" t="s">
        <v>20</v>
      </c>
      <c r="D1188" s="0" t="s">
        <v>42</v>
      </c>
      <c r="E1188" s="10" t="n">
        <v>45770.7222222222</v>
      </c>
      <c r="F1188" s="10" t="n">
        <v>45772.0755092593</v>
      </c>
      <c r="G1188" s="0" t="n">
        <v>1233.99</v>
      </c>
      <c r="H1188" s="0" t="n">
        <v>1246.2</v>
      </c>
      <c r="I1188" s="11" t="n">
        <f aca="false">H1188-G1188</f>
        <v>12.21</v>
      </c>
      <c r="J1188" s="5" t="n">
        <f aca="false">IF(G1188=0,"",I1188/G1188)</f>
        <v>0.00989473172392</v>
      </c>
      <c r="K1188" s="0" t="n">
        <v>231</v>
      </c>
      <c r="L1188" s="0" t="n">
        <v>32.48</v>
      </c>
      <c r="M1188" s="11" t="s">
        <v>1332</v>
      </c>
      <c r="N1188" s="12" t="n">
        <f aca="false">INT(E1188)</f>
        <v>45770</v>
      </c>
      <c r="O1188" s="12" t="n">
        <f aca="false">IF(F1188="","",INT(F1188))</f>
        <v>45772</v>
      </c>
    </row>
    <row r="1189" customFormat="false" ht="15" hidden="false" customHeight="false" outlineLevel="0" collapsed="false">
      <c r="A1189" s="0" t="s">
        <v>2419</v>
      </c>
      <c r="B1189" s="0" t="s">
        <v>2420</v>
      </c>
      <c r="C1189" s="0" t="s">
        <v>23</v>
      </c>
      <c r="D1189" s="0" t="s">
        <v>42</v>
      </c>
      <c r="E1189" s="10" t="n">
        <v>45770.7291666667</v>
      </c>
      <c r="F1189" s="10" t="n">
        <v>45773.64375</v>
      </c>
      <c r="G1189" s="0" t="n">
        <v>124.09</v>
      </c>
      <c r="H1189" s="0" t="n">
        <v>123.37</v>
      </c>
      <c r="I1189" s="11" t="n">
        <f aca="false">H1189-G1189</f>
        <v>-0.719999999999999</v>
      </c>
      <c r="J1189" s="5" t="n">
        <f aca="false">IF(G1189=0,"",I1189/G1189)</f>
        <v>-0.00580224030945281</v>
      </c>
      <c r="K1189" s="0" t="n">
        <v>39.8</v>
      </c>
      <c r="L1189" s="0" t="n">
        <v>54.5</v>
      </c>
      <c r="M1189" s="11" t="s">
        <v>1332</v>
      </c>
      <c r="N1189" s="12" t="n">
        <f aca="false">INT(E1189)</f>
        <v>45770</v>
      </c>
      <c r="O1189" s="12" t="n">
        <f aca="false">IF(F1189="","",INT(F1189))</f>
        <v>45773</v>
      </c>
    </row>
    <row r="1190" customFormat="false" ht="15" hidden="false" customHeight="false" outlineLevel="0" collapsed="false">
      <c r="A1190" s="0" t="s">
        <v>2421</v>
      </c>
      <c r="B1190" s="0" t="s">
        <v>2422</v>
      </c>
      <c r="C1190" s="0" t="s">
        <v>24</v>
      </c>
      <c r="D1190" s="0" t="s">
        <v>42</v>
      </c>
      <c r="E1190" s="10" t="n">
        <v>45770.7819444445</v>
      </c>
      <c r="F1190" s="10" t="n">
        <v>45771.9954282407</v>
      </c>
      <c r="G1190" s="0" t="n">
        <v>284.15</v>
      </c>
      <c r="H1190" s="0" t="n">
        <v>293.38</v>
      </c>
      <c r="I1190" s="11" t="n">
        <f aca="false">H1190-G1190</f>
        <v>9.23000000000002</v>
      </c>
      <c r="J1190" s="5" t="n">
        <f aca="false">IF(G1190=0,"",I1190/G1190)</f>
        <v>0.0324828435685378</v>
      </c>
      <c r="K1190" s="0" t="n">
        <v>79.5</v>
      </c>
      <c r="L1190" s="0" t="n">
        <v>29.12</v>
      </c>
      <c r="M1190" s="11" t="s">
        <v>1332</v>
      </c>
      <c r="N1190" s="12" t="n">
        <f aca="false">INT(E1190)</f>
        <v>45770</v>
      </c>
      <c r="O1190" s="12" t="n">
        <f aca="false">IF(F1190="","",INT(F1190))</f>
        <v>45771</v>
      </c>
    </row>
    <row r="1191" customFormat="false" ht="15" hidden="false" customHeight="false" outlineLevel="0" collapsed="false">
      <c r="A1191" s="0" t="s">
        <v>2423</v>
      </c>
      <c r="B1191" s="0" t="s">
        <v>2424</v>
      </c>
      <c r="C1191" s="0" t="s">
        <v>22</v>
      </c>
      <c r="D1191" s="0" t="s">
        <v>42</v>
      </c>
      <c r="E1191" s="10" t="n">
        <v>45770.7826388889</v>
      </c>
      <c r="F1191" s="10" t="n">
        <v>45771.4777777778</v>
      </c>
      <c r="G1191" s="0" t="n">
        <v>680.21</v>
      </c>
      <c r="H1191" s="0" t="n">
        <v>656.49</v>
      </c>
      <c r="I1191" s="11" t="n">
        <f aca="false">H1191-G1191</f>
        <v>-23.72</v>
      </c>
      <c r="J1191" s="5" t="n">
        <f aca="false">IF(G1191=0,"",I1191/G1191)</f>
        <v>-0.0348715837755988</v>
      </c>
      <c r="K1191" s="0" t="n">
        <v>119.1</v>
      </c>
      <c r="L1191" s="0" t="n">
        <v>16.68</v>
      </c>
      <c r="M1191" s="11" t="s">
        <v>1332</v>
      </c>
      <c r="N1191" s="12" t="n">
        <f aca="false">INT(E1191)</f>
        <v>45770</v>
      </c>
      <c r="O1191" s="12" t="n">
        <f aca="false">IF(F1191="","",INT(F1191))</f>
        <v>45771</v>
      </c>
    </row>
    <row r="1192" customFormat="false" ht="15" hidden="false" customHeight="false" outlineLevel="0" collapsed="false">
      <c r="A1192" s="0" t="s">
        <v>2425</v>
      </c>
      <c r="B1192" s="0" t="s">
        <v>2426</v>
      </c>
      <c r="C1192" s="0" t="s">
        <v>22</v>
      </c>
      <c r="D1192" s="0" t="s">
        <v>42</v>
      </c>
      <c r="E1192" s="10" t="n">
        <v>45770.7902777778</v>
      </c>
      <c r="F1192" s="10" t="n">
        <v>45770.9604166667</v>
      </c>
      <c r="G1192" s="0" t="n">
        <v>332.19</v>
      </c>
      <c r="H1192" s="0" t="n">
        <v>333.11</v>
      </c>
      <c r="I1192" s="11" t="n">
        <f aca="false">H1192-G1192</f>
        <v>0.920000000000016</v>
      </c>
      <c r="J1192" s="5" t="n">
        <f aca="false">IF(G1192=0,"",I1192/G1192)</f>
        <v>0.00276949938288334</v>
      </c>
      <c r="K1192" s="0" t="n">
        <v>58.1</v>
      </c>
      <c r="L1192" s="0" t="n">
        <v>4.08</v>
      </c>
      <c r="M1192" s="11" t="s">
        <v>1332</v>
      </c>
      <c r="N1192" s="12" t="n">
        <f aca="false">INT(E1192)</f>
        <v>45770</v>
      </c>
      <c r="O1192" s="12" t="n">
        <f aca="false">IF(F1192="","",INT(F1192))</f>
        <v>45770</v>
      </c>
    </row>
    <row r="1193" customFormat="false" ht="15" hidden="false" customHeight="false" outlineLevel="0" collapsed="false">
      <c r="A1193" s="0" t="s">
        <v>2427</v>
      </c>
      <c r="B1193" s="0" t="s">
        <v>2428</v>
      </c>
      <c r="C1193" s="0" t="s">
        <v>23</v>
      </c>
      <c r="D1193" s="0" t="s">
        <v>42</v>
      </c>
      <c r="E1193" s="10" t="n">
        <v>45771.2944444444</v>
      </c>
      <c r="F1193" s="10" t="n">
        <v>45774.2689236111</v>
      </c>
      <c r="G1193" s="0" t="n">
        <v>465.46</v>
      </c>
      <c r="H1193" s="0" t="n">
        <v>454.24</v>
      </c>
      <c r="I1193" s="11" t="n">
        <f aca="false">H1193-G1193</f>
        <v>-11.22</v>
      </c>
      <c r="J1193" s="5" t="n">
        <f aca="false">IF(G1193=0,"",I1193/G1193)</f>
        <v>-0.0241051862673484</v>
      </c>
      <c r="K1193" s="0" t="n">
        <v>170.8</v>
      </c>
      <c r="L1193" s="0" t="n">
        <v>40.93</v>
      </c>
      <c r="M1193" s="11" t="s">
        <v>1332</v>
      </c>
      <c r="N1193" s="12" t="n">
        <f aca="false">INT(E1193)</f>
        <v>45771</v>
      </c>
      <c r="O1193" s="12" t="n">
        <f aca="false">IF(F1193="","",INT(F1193))</f>
        <v>45774</v>
      </c>
    </row>
    <row r="1194" customFormat="false" ht="15" hidden="false" customHeight="false" outlineLevel="0" collapsed="false">
      <c r="A1194" s="0" t="s">
        <v>2429</v>
      </c>
      <c r="B1194" s="0" t="s">
        <v>2430</v>
      </c>
      <c r="C1194" s="0" t="s">
        <v>21</v>
      </c>
      <c r="D1194" s="0" t="s">
        <v>42</v>
      </c>
      <c r="E1194" s="10" t="n">
        <v>45771.3270833333</v>
      </c>
      <c r="F1194" s="10" t="n">
        <v>45772.3180555556</v>
      </c>
      <c r="G1194" s="0" t="n">
        <v>308.91</v>
      </c>
      <c r="H1194" s="0" t="n">
        <v>285.25</v>
      </c>
      <c r="I1194" s="11" t="n">
        <f aca="false">H1194-G1194</f>
        <v>-23.66</v>
      </c>
      <c r="J1194" s="5" t="n">
        <f aca="false">IF(G1194=0,"",I1194/G1194)</f>
        <v>-0.0765918876048041</v>
      </c>
      <c r="K1194" s="0" t="n">
        <v>69.1</v>
      </c>
      <c r="L1194" s="0" t="n">
        <v>23.78</v>
      </c>
      <c r="M1194" s="11" t="s">
        <v>1332</v>
      </c>
      <c r="N1194" s="12" t="n">
        <f aca="false">INT(E1194)</f>
        <v>45771</v>
      </c>
      <c r="O1194" s="12" t="n">
        <f aca="false">IF(F1194="","",INT(F1194))</f>
        <v>45772</v>
      </c>
    </row>
    <row r="1195" customFormat="false" ht="15" hidden="false" customHeight="false" outlineLevel="0" collapsed="false">
      <c r="A1195" s="0" t="s">
        <v>2431</v>
      </c>
      <c r="B1195" s="0" t="s">
        <v>2432</v>
      </c>
      <c r="C1195" s="0" t="s">
        <v>21</v>
      </c>
      <c r="D1195" s="0" t="s">
        <v>42</v>
      </c>
      <c r="E1195" s="10" t="n">
        <v>45771.3347222222</v>
      </c>
      <c r="F1195" s="10" t="n">
        <v>45771.7548611111</v>
      </c>
      <c r="G1195" s="0" t="n">
        <v>138.71</v>
      </c>
      <c r="H1195" s="0" t="n">
        <v>142</v>
      </c>
      <c r="I1195" s="11" t="n">
        <f aca="false">H1195-G1195</f>
        <v>3.28999999999999</v>
      </c>
      <c r="J1195" s="5" t="n">
        <f aca="false">IF(G1195=0,"",I1195/G1195)</f>
        <v>0.0237185494917453</v>
      </c>
      <c r="K1195" s="0" t="n">
        <v>29.8</v>
      </c>
      <c r="L1195" s="0" t="n">
        <v>10.08</v>
      </c>
      <c r="M1195" s="11" t="s">
        <v>1332</v>
      </c>
      <c r="N1195" s="12" t="n">
        <f aca="false">INT(E1195)</f>
        <v>45771</v>
      </c>
      <c r="O1195" s="12" t="n">
        <f aca="false">IF(F1195="","",INT(F1195))</f>
        <v>45771</v>
      </c>
    </row>
    <row r="1196" customFormat="false" ht="15" hidden="false" customHeight="false" outlineLevel="0" collapsed="false">
      <c r="A1196" s="0" t="s">
        <v>2433</v>
      </c>
      <c r="B1196" s="0" t="s">
        <v>2434</v>
      </c>
      <c r="C1196" s="0" t="s">
        <v>23</v>
      </c>
      <c r="D1196" s="0" t="s">
        <v>303</v>
      </c>
      <c r="E1196" s="10" t="n">
        <v>45771.3458333333</v>
      </c>
      <c r="F1196" s="10"/>
      <c r="G1196" s="0" t="n">
        <v>334.57</v>
      </c>
      <c r="H1196" s="0" t="n">
        <v>317.29</v>
      </c>
      <c r="I1196" s="11" t="n">
        <f aca="false">H1196-G1196</f>
        <v>-17.28</v>
      </c>
      <c r="J1196" s="5" t="n">
        <f aca="false">IF(G1196=0,"",I1196/G1196)</f>
        <v>-0.0516483844935289</v>
      </c>
      <c r="K1196" s="0" t="n">
        <v>144.6</v>
      </c>
      <c r="M1196" s="11" t="s">
        <v>1332</v>
      </c>
      <c r="N1196" s="12" t="n">
        <f aca="false">INT(E1196)</f>
        <v>45771</v>
      </c>
      <c r="O1196" s="12" t="str">
        <f aca="false">IF(F1196="","",INT(F1196))</f>
        <v/>
      </c>
    </row>
    <row r="1197" customFormat="false" ht="15" hidden="false" customHeight="false" outlineLevel="0" collapsed="false">
      <c r="A1197" s="0" t="s">
        <v>2435</v>
      </c>
      <c r="B1197" s="0" t="s">
        <v>2436</v>
      </c>
      <c r="C1197" s="0" t="s">
        <v>21</v>
      </c>
      <c r="D1197" s="0" t="s">
        <v>42</v>
      </c>
      <c r="E1197" s="10" t="n">
        <v>45771.3527777778</v>
      </c>
      <c r="F1197" s="10" t="n">
        <v>45771.8266898148</v>
      </c>
      <c r="G1197" s="0" t="n">
        <v>226.21</v>
      </c>
      <c r="H1197" s="0" t="n">
        <v>231.02</v>
      </c>
      <c r="I1197" s="11" t="n">
        <f aca="false">H1197-G1197</f>
        <v>4.81</v>
      </c>
      <c r="J1197" s="5" t="n">
        <f aca="false">IF(G1197=0,"",I1197/G1197)</f>
        <v>0.0212634277883383</v>
      </c>
      <c r="K1197" s="0" t="n">
        <v>59.8</v>
      </c>
      <c r="L1197" s="0" t="n">
        <v>11.37</v>
      </c>
      <c r="M1197" s="11" t="s">
        <v>1332</v>
      </c>
      <c r="N1197" s="12" t="n">
        <f aca="false">INT(E1197)</f>
        <v>45771</v>
      </c>
      <c r="O1197" s="12" t="n">
        <f aca="false">IF(F1197="","",INT(F1197))</f>
        <v>45771</v>
      </c>
    </row>
    <row r="1198" customFormat="false" ht="15" hidden="false" customHeight="false" outlineLevel="0" collapsed="false">
      <c r="A1198" s="0" t="s">
        <v>2437</v>
      </c>
      <c r="B1198" s="0" t="s">
        <v>2438</v>
      </c>
      <c r="C1198" s="0" t="s">
        <v>21</v>
      </c>
      <c r="D1198" s="0" t="s">
        <v>42</v>
      </c>
      <c r="E1198" s="10" t="n">
        <v>45771.3604166667</v>
      </c>
      <c r="F1198" s="10" t="n">
        <v>45773.2375</v>
      </c>
      <c r="G1198" s="0" t="n">
        <v>2137.62</v>
      </c>
      <c r="H1198" s="0" t="n">
        <v>2057.56</v>
      </c>
      <c r="I1198" s="11" t="n">
        <f aca="false">H1198-G1198</f>
        <v>-80.06</v>
      </c>
      <c r="J1198" s="5" t="n">
        <f aca="false">IF(G1198=0,"",I1198/G1198)</f>
        <v>-0.037452868143075</v>
      </c>
      <c r="K1198" s="0" t="n">
        <v>483.9</v>
      </c>
      <c r="L1198" s="0" t="n">
        <v>39.35</v>
      </c>
      <c r="M1198" s="11" t="s">
        <v>1332</v>
      </c>
      <c r="N1198" s="12" t="n">
        <f aca="false">INT(E1198)</f>
        <v>45771</v>
      </c>
      <c r="O1198" s="12" t="n">
        <f aca="false">IF(F1198="","",INT(F1198))</f>
        <v>45773</v>
      </c>
    </row>
    <row r="1199" customFormat="false" ht="15" hidden="false" customHeight="false" outlineLevel="0" collapsed="false">
      <c r="A1199" s="0" t="s">
        <v>2439</v>
      </c>
      <c r="B1199" s="0" t="s">
        <v>2440</v>
      </c>
      <c r="C1199" s="0" t="s">
        <v>21</v>
      </c>
      <c r="D1199" s="0" t="s">
        <v>42</v>
      </c>
      <c r="E1199" s="10" t="n">
        <v>45771.3736111111</v>
      </c>
      <c r="F1199" s="10" t="n">
        <v>45771.6854166667</v>
      </c>
      <c r="G1199" s="0" t="n">
        <v>560.11</v>
      </c>
      <c r="H1199" s="0" t="n">
        <v>563.27</v>
      </c>
      <c r="I1199" s="11" t="n">
        <f aca="false">H1199-G1199</f>
        <v>3.15999999999997</v>
      </c>
      <c r="J1199" s="5" t="n">
        <f aca="false">IF(G1199=0,"",I1199/G1199)</f>
        <v>0.00564174894217202</v>
      </c>
      <c r="K1199" s="0" t="n">
        <v>151.1</v>
      </c>
      <c r="L1199" s="0" t="n">
        <v>7.48</v>
      </c>
      <c r="M1199" s="11" t="s">
        <v>1332</v>
      </c>
      <c r="N1199" s="12" t="n">
        <f aca="false">INT(E1199)</f>
        <v>45771</v>
      </c>
      <c r="O1199" s="12" t="n">
        <f aca="false">IF(F1199="","",INT(F1199))</f>
        <v>45771</v>
      </c>
    </row>
    <row r="1200" customFormat="false" ht="15" hidden="false" customHeight="false" outlineLevel="0" collapsed="false">
      <c r="A1200" s="0" t="s">
        <v>2441</v>
      </c>
      <c r="B1200" s="0" t="s">
        <v>2442</v>
      </c>
      <c r="C1200" s="0" t="s">
        <v>24</v>
      </c>
      <c r="D1200" s="0" t="s">
        <v>42</v>
      </c>
      <c r="E1200" s="10" t="n">
        <v>45771.3798611111</v>
      </c>
      <c r="F1200" s="10" t="n">
        <v>45772.0584490741</v>
      </c>
      <c r="G1200" s="0" t="n">
        <v>271.52</v>
      </c>
      <c r="H1200" s="0" t="n">
        <v>278.74</v>
      </c>
      <c r="I1200" s="11" t="n">
        <f aca="false">H1200-G1200</f>
        <v>7.22000000000003</v>
      </c>
      <c r="J1200" s="5" t="n">
        <f aca="false">IF(G1200=0,"",I1200/G1200)</f>
        <v>0.0265910430170891</v>
      </c>
      <c r="K1200" s="0" t="n">
        <v>62.7</v>
      </c>
      <c r="L1200" s="0" t="n">
        <v>16.29</v>
      </c>
      <c r="M1200" s="11" t="s">
        <v>1332</v>
      </c>
      <c r="N1200" s="12" t="n">
        <f aca="false">INT(E1200)</f>
        <v>45771</v>
      </c>
      <c r="O1200" s="12" t="n">
        <f aca="false">IF(F1200="","",INT(F1200))</f>
        <v>45772</v>
      </c>
    </row>
    <row r="1201" customFormat="false" ht="15" hidden="false" customHeight="false" outlineLevel="0" collapsed="false">
      <c r="A1201" s="0" t="s">
        <v>2443</v>
      </c>
      <c r="B1201" s="0" t="s">
        <v>2444</v>
      </c>
      <c r="C1201" s="0" t="s">
        <v>19</v>
      </c>
      <c r="D1201" s="0" t="s">
        <v>42</v>
      </c>
      <c r="E1201" s="10" t="n">
        <v>45771.3902777778</v>
      </c>
      <c r="F1201" s="10" t="n">
        <v>45771.9826388889</v>
      </c>
      <c r="G1201" s="0" t="n">
        <v>329.07</v>
      </c>
      <c r="H1201" s="0" t="n">
        <v>332.71</v>
      </c>
      <c r="I1201" s="11" t="n">
        <f aca="false">H1201-G1201</f>
        <v>3.63999999999999</v>
      </c>
      <c r="J1201" s="5" t="n">
        <f aca="false">IF(G1201=0,"",I1201/G1201)</f>
        <v>0.0110614762816422</v>
      </c>
      <c r="K1201" s="0" t="n">
        <v>35.3</v>
      </c>
      <c r="L1201" s="0" t="n">
        <v>14.22</v>
      </c>
      <c r="M1201" s="11" t="s">
        <v>1332</v>
      </c>
      <c r="N1201" s="12" t="n">
        <f aca="false">INT(E1201)</f>
        <v>45771</v>
      </c>
      <c r="O1201" s="12" t="n">
        <f aca="false">IF(F1201="","",INT(F1201))</f>
        <v>45771</v>
      </c>
    </row>
    <row r="1202" customFormat="false" ht="15" hidden="false" customHeight="false" outlineLevel="0" collapsed="false">
      <c r="A1202" s="0" t="s">
        <v>2445</v>
      </c>
      <c r="B1202" s="0" t="s">
        <v>2446</v>
      </c>
      <c r="C1202" s="0" t="s">
        <v>19</v>
      </c>
      <c r="D1202" s="0" t="s">
        <v>42</v>
      </c>
      <c r="E1202" s="10" t="n">
        <v>45771.4138888889</v>
      </c>
      <c r="F1202" s="10" t="n">
        <v>45771.9895023148</v>
      </c>
      <c r="G1202" s="0" t="n">
        <v>575.51</v>
      </c>
      <c r="H1202" s="0" t="n">
        <v>558.88</v>
      </c>
      <c r="I1202" s="11" t="n">
        <f aca="false">H1202-G1202</f>
        <v>-16.63</v>
      </c>
      <c r="J1202" s="5" t="n">
        <f aca="false">IF(G1202=0,"",I1202/G1202)</f>
        <v>-0.0288961095376275</v>
      </c>
      <c r="K1202" s="0" t="n">
        <v>63.7</v>
      </c>
      <c r="L1202" s="0" t="n">
        <v>13.81</v>
      </c>
      <c r="M1202" s="11" t="s">
        <v>1332</v>
      </c>
      <c r="N1202" s="12" t="n">
        <f aca="false">INT(E1202)</f>
        <v>45771</v>
      </c>
      <c r="O1202" s="12" t="n">
        <f aca="false">IF(F1202="","",INT(F1202))</f>
        <v>45771</v>
      </c>
    </row>
    <row r="1203" customFormat="false" ht="15" hidden="false" customHeight="false" outlineLevel="0" collapsed="false">
      <c r="A1203" s="0" t="s">
        <v>2447</v>
      </c>
      <c r="B1203" s="0" t="s">
        <v>2448</v>
      </c>
      <c r="C1203" s="0" t="s">
        <v>23</v>
      </c>
      <c r="D1203" s="0" t="s">
        <v>42</v>
      </c>
      <c r="E1203" s="10" t="n">
        <v>45771.4354166667</v>
      </c>
      <c r="F1203" s="10" t="n">
        <v>45771.9177546296</v>
      </c>
      <c r="G1203" s="0" t="n">
        <v>184.43</v>
      </c>
      <c r="H1203" s="0" t="n">
        <v>183.1</v>
      </c>
      <c r="I1203" s="11" t="n">
        <f aca="false">H1203-G1203</f>
        <v>-1.33000000000001</v>
      </c>
      <c r="J1203" s="5" t="n">
        <f aca="false">IF(G1203=0,"",I1203/G1203)</f>
        <v>-0.0072114081223229</v>
      </c>
      <c r="K1203" s="0" t="n">
        <v>48.7</v>
      </c>
      <c r="L1203" s="0" t="n">
        <v>11.58</v>
      </c>
      <c r="M1203" s="11" t="s">
        <v>1332</v>
      </c>
      <c r="N1203" s="12" t="n">
        <f aca="false">INT(E1203)</f>
        <v>45771</v>
      </c>
      <c r="O1203" s="12" t="n">
        <f aca="false">IF(F1203="","",INT(F1203))</f>
        <v>45771</v>
      </c>
    </row>
    <row r="1204" customFormat="false" ht="15" hidden="false" customHeight="false" outlineLevel="0" collapsed="false">
      <c r="A1204" s="0" t="s">
        <v>2449</v>
      </c>
      <c r="B1204" s="0" t="s">
        <v>2450</v>
      </c>
      <c r="C1204" s="0" t="s">
        <v>23</v>
      </c>
      <c r="D1204" s="0" t="s">
        <v>42</v>
      </c>
      <c r="E1204" s="10" t="n">
        <v>45771.4604166667</v>
      </c>
      <c r="F1204" s="10" t="n">
        <v>45771.969212963</v>
      </c>
      <c r="G1204" s="0" t="n">
        <v>620.86</v>
      </c>
      <c r="H1204" s="0" t="n">
        <v>611.41</v>
      </c>
      <c r="I1204" s="11" t="n">
        <f aca="false">H1204-G1204</f>
        <v>-9.45000000000005</v>
      </c>
      <c r="J1204" s="5" t="n">
        <f aca="false">IF(G1204=0,"",I1204/G1204)</f>
        <v>-0.015220822729762</v>
      </c>
      <c r="K1204" s="0" t="n">
        <v>274.1</v>
      </c>
      <c r="L1204" s="0" t="n">
        <v>12.21</v>
      </c>
      <c r="M1204" s="11" t="s">
        <v>1332</v>
      </c>
      <c r="N1204" s="12" t="n">
        <f aca="false">INT(E1204)</f>
        <v>45771</v>
      </c>
      <c r="O1204" s="12" t="n">
        <f aca="false">IF(F1204="","",INT(F1204))</f>
        <v>45771</v>
      </c>
    </row>
    <row r="1205" customFormat="false" ht="15" hidden="false" customHeight="false" outlineLevel="0" collapsed="false">
      <c r="A1205" s="0" t="s">
        <v>2451</v>
      </c>
      <c r="B1205" s="0" t="s">
        <v>2452</v>
      </c>
      <c r="C1205" s="0" t="s">
        <v>24</v>
      </c>
      <c r="D1205" s="0" t="s">
        <v>42</v>
      </c>
      <c r="E1205" s="10" t="n">
        <v>45771.4847222222</v>
      </c>
      <c r="F1205" s="10" t="n">
        <v>45773.5256018519</v>
      </c>
      <c r="G1205" s="0" t="n">
        <v>838.68</v>
      </c>
      <c r="H1205" s="0" t="n">
        <v>852.98</v>
      </c>
      <c r="I1205" s="11" t="n">
        <f aca="false">H1205-G1205</f>
        <v>14.3000000000001</v>
      </c>
      <c r="J1205" s="5" t="n">
        <f aca="false">IF(G1205=0,"",I1205/G1205)</f>
        <v>0.017050603329041</v>
      </c>
      <c r="K1205" s="0" t="n">
        <v>352.2</v>
      </c>
      <c r="L1205" s="0" t="n">
        <v>36.37</v>
      </c>
      <c r="M1205" s="11" t="s">
        <v>1332</v>
      </c>
      <c r="N1205" s="12" t="n">
        <f aca="false">INT(E1205)</f>
        <v>45771</v>
      </c>
      <c r="O1205" s="12" t="n">
        <f aca="false">IF(F1205="","",INT(F1205))</f>
        <v>45773</v>
      </c>
    </row>
    <row r="1206" customFormat="false" ht="15" hidden="false" customHeight="false" outlineLevel="0" collapsed="false">
      <c r="A1206" s="0" t="s">
        <v>2453</v>
      </c>
      <c r="B1206" s="0" t="s">
        <v>2454</v>
      </c>
      <c r="C1206" s="0" t="s">
        <v>23</v>
      </c>
      <c r="D1206" s="0" t="s">
        <v>42</v>
      </c>
      <c r="E1206" s="10" t="n">
        <v>45771.49375</v>
      </c>
      <c r="F1206" s="10" t="n">
        <v>45772.1334953704</v>
      </c>
      <c r="G1206" s="0" t="n">
        <v>850.76</v>
      </c>
      <c r="H1206" s="0" t="n">
        <v>985.03</v>
      </c>
      <c r="I1206" s="11" t="n">
        <f aca="false">H1206-G1206</f>
        <v>134.27</v>
      </c>
      <c r="J1206" s="5" t="n">
        <f aca="false">IF(G1206=0,"",I1206/G1206)</f>
        <v>0.157823593022709</v>
      </c>
      <c r="K1206" s="0" t="n">
        <v>293</v>
      </c>
      <c r="L1206" s="0" t="n">
        <v>15.35</v>
      </c>
      <c r="M1206" s="11" t="s">
        <v>1332</v>
      </c>
      <c r="N1206" s="12" t="n">
        <f aca="false">INT(E1206)</f>
        <v>45771</v>
      </c>
      <c r="O1206" s="12" t="n">
        <f aca="false">IF(F1206="","",INT(F1206))</f>
        <v>45772</v>
      </c>
    </row>
    <row r="1207" customFormat="false" ht="15" hidden="false" customHeight="false" outlineLevel="0" collapsed="false">
      <c r="A1207" s="0" t="s">
        <v>2455</v>
      </c>
      <c r="B1207" s="0" t="s">
        <v>2456</v>
      </c>
      <c r="C1207" s="0" t="s">
        <v>22</v>
      </c>
      <c r="D1207" s="0" t="s">
        <v>42</v>
      </c>
      <c r="E1207" s="10" t="n">
        <v>45771.5180555556</v>
      </c>
      <c r="F1207" s="10" t="n">
        <v>45772.30625</v>
      </c>
      <c r="G1207" s="0" t="n">
        <v>559.44</v>
      </c>
      <c r="H1207" s="0" t="n">
        <v>558.97</v>
      </c>
      <c r="I1207" s="11" t="n">
        <f aca="false">H1207-G1207</f>
        <v>-0.470000000000027</v>
      </c>
      <c r="J1207" s="5" t="n">
        <f aca="false">IF(G1207=0,"",I1207/G1207)</f>
        <v>-0.000840125840125889</v>
      </c>
      <c r="K1207" s="0" t="n">
        <v>96.6</v>
      </c>
      <c r="L1207" s="0" t="n">
        <v>18.92</v>
      </c>
      <c r="M1207" s="11" t="s">
        <v>1332</v>
      </c>
      <c r="N1207" s="12" t="n">
        <f aca="false">INT(E1207)</f>
        <v>45771</v>
      </c>
      <c r="O1207" s="12" t="n">
        <f aca="false">IF(F1207="","",INT(F1207))</f>
        <v>45772</v>
      </c>
    </row>
    <row r="1208" customFormat="false" ht="15" hidden="false" customHeight="false" outlineLevel="0" collapsed="false">
      <c r="A1208" s="0" t="s">
        <v>2457</v>
      </c>
      <c r="B1208" s="0" t="s">
        <v>2458</v>
      </c>
      <c r="C1208" s="0" t="s">
        <v>23</v>
      </c>
      <c r="D1208" s="0" t="s">
        <v>42</v>
      </c>
      <c r="E1208" s="10" t="n">
        <v>45771.53125</v>
      </c>
      <c r="F1208" s="10" t="n">
        <v>45773.3180555556</v>
      </c>
      <c r="G1208" s="0" t="n">
        <v>578.5</v>
      </c>
      <c r="H1208" s="0" t="n">
        <v>614.03</v>
      </c>
      <c r="I1208" s="11" t="n">
        <f aca="false">H1208-G1208</f>
        <v>35.53</v>
      </c>
      <c r="J1208" s="5" t="n">
        <f aca="false">IF(G1208=0,"",I1208/G1208)</f>
        <v>0.0614174589455488</v>
      </c>
      <c r="K1208" s="0" t="n">
        <v>231.2</v>
      </c>
      <c r="L1208" s="0" t="n">
        <v>35.25</v>
      </c>
      <c r="M1208" s="11" t="s">
        <v>1332</v>
      </c>
      <c r="N1208" s="12" t="n">
        <f aca="false">INT(E1208)</f>
        <v>45771</v>
      </c>
      <c r="O1208" s="12" t="n">
        <f aca="false">IF(F1208="","",INT(F1208))</f>
        <v>45773</v>
      </c>
    </row>
    <row r="1209" customFormat="false" ht="15" hidden="false" customHeight="false" outlineLevel="0" collapsed="false">
      <c r="A1209" s="0" t="s">
        <v>2459</v>
      </c>
      <c r="B1209" s="0" t="s">
        <v>2460</v>
      </c>
      <c r="C1209" s="0" t="s">
        <v>22</v>
      </c>
      <c r="D1209" s="0" t="s">
        <v>42</v>
      </c>
      <c r="E1209" s="10" t="n">
        <v>45771.53125</v>
      </c>
      <c r="F1209" s="10" t="n">
        <v>45772.35</v>
      </c>
      <c r="G1209" s="0" t="n">
        <v>407.3</v>
      </c>
      <c r="H1209" s="0" t="n">
        <v>409.74</v>
      </c>
      <c r="I1209" s="11" t="n">
        <f aca="false">H1209-G1209</f>
        <v>2.44</v>
      </c>
      <c r="J1209" s="5" t="n">
        <f aca="false">IF(G1209=0,"",I1209/G1209)</f>
        <v>0.005990670267616</v>
      </c>
      <c r="K1209" s="0" t="n">
        <v>65.9</v>
      </c>
      <c r="L1209" s="0" t="n">
        <v>19.65</v>
      </c>
      <c r="M1209" s="11" t="s">
        <v>1332</v>
      </c>
      <c r="N1209" s="12" t="n">
        <f aca="false">INT(E1209)</f>
        <v>45771</v>
      </c>
      <c r="O1209" s="12" t="n">
        <f aca="false">IF(F1209="","",INT(F1209))</f>
        <v>45772</v>
      </c>
    </row>
    <row r="1210" customFormat="false" ht="15" hidden="false" customHeight="false" outlineLevel="0" collapsed="false">
      <c r="A1210" s="0" t="s">
        <v>2461</v>
      </c>
      <c r="B1210" s="0" t="s">
        <v>2462</v>
      </c>
      <c r="C1210" s="0" t="s">
        <v>20</v>
      </c>
      <c r="D1210" s="0" t="s">
        <v>42</v>
      </c>
      <c r="E1210" s="10" t="n">
        <v>45771.5576388889</v>
      </c>
      <c r="F1210" s="10" t="n">
        <v>45774.3375</v>
      </c>
      <c r="G1210" s="0" t="n">
        <v>436.44</v>
      </c>
      <c r="H1210" s="0" t="n">
        <v>450.37</v>
      </c>
      <c r="I1210" s="11" t="n">
        <f aca="false">H1210-G1210</f>
        <v>13.93</v>
      </c>
      <c r="J1210" s="5" t="n">
        <f aca="false">IF(G1210=0,"",I1210/G1210)</f>
        <v>0.0319173311337183</v>
      </c>
      <c r="K1210" s="0" t="n">
        <v>88.7</v>
      </c>
      <c r="L1210" s="0" t="n">
        <v>34.62</v>
      </c>
      <c r="M1210" s="11" t="s">
        <v>1332</v>
      </c>
      <c r="N1210" s="12" t="n">
        <f aca="false">INT(E1210)</f>
        <v>45771</v>
      </c>
      <c r="O1210" s="12" t="n">
        <f aca="false">IF(F1210="","",INT(F1210))</f>
        <v>45774</v>
      </c>
    </row>
    <row r="1211" customFormat="false" ht="15" hidden="false" customHeight="false" outlineLevel="0" collapsed="false">
      <c r="A1211" s="0" t="s">
        <v>2463</v>
      </c>
      <c r="B1211" s="0" t="s">
        <v>2464</v>
      </c>
      <c r="C1211" s="0" t="s">
        <v>22</v>
      </c>
      <c r="D1211" s="0" t="s">
        <v>42</v>
      </c>
      <c r="E1211" s="10" t="n">
        <v>45771.5597222222</v>
      </c>
      <c r="F1211" s="10" t="n">
        <v>45772.1613194444</v>
      </c>
      <c r="G1211" s="0" t="n">
        <v>891.48</v>
      </c>
      <c r="H1211" s="0" t="n">
        <v>876.23</v>
      </c>
      <c r="I1211" s="11" t="n">
        <f aca="false">H1211-G1211</f>
        <v>-15.25</v>
      </c>
      <c r="J1211" s="5" t="n">
        <f aca="false">IF(G1211=0,"",I1211/G1211)</f>
        <v>-0.0171063848880513</v>
      </c>
      <c r="K1211" s="0" t="n">
        <v>107</v>
      </c>
      <c r="L1211" s="0" t="n">
        <v>14.44</v>
      </c>
      <c r="M1211" s="11" t="s">
        <v>1332</v>
      </c>
      <c r="N1211" s="12" t="n">
        <f aca="false">INT(E1211)</f>
        <v>45771</v>
      </c>
      <c r="O1211" s="12" t="n">
        <f aca="false">IF(F1211="","",INT(F1211))</f>
        <v>45772</v>
      </c>
    </row>
    <row r="1212" customFormat="false" ht="15" hidden="false" customHeight="false" outlineLevel="0" collapsed="false">
      <c r="A1212" s="0" t="s">
        <v>2465</v>
      </c>
      <c r="B1212" s="0" t="s">
        <v>2466</v>
      </c>
      <c r="C1212" s="0" t="s">
        <v>23</v>
      </c>
      <c r="D1212" s="0" t="s">
        <v>42</v>
      </c>
      <c r="E1212" s="10" t="n">
        <v>45771.5618055556</v>
      </c>
      <c r="F1212" s="10" t="n">
        <v>45772.9265856482</v>
      </c>
      <c r="G1212" s="0" t="n">
        <v>77.84</v>
      </c>
      <c r="H1212" s="0" t="n">
        <v>75.97</v>
      </c>
      <c r="I1212" s="11" t="n">
        <f aca="false">H1212-G1212</f>
        <v>-1.87</v>
      </c>
      <c r="J1212" s="5" t="n">
        <f aca="false">IF(G1212=0,"",I1212/G1212)</f>
        <v>-0.0240236382322714</v>
      </c>
      <c r="K1212" s="0" t="n">
        <v>25.2</v>
      </c>
      <c r="L1212" s="0" t="n">
        <v>32.75</v>
      </c>
      <c r="M1212" s="11" t="s">
        <v>1332</v>
      </c>
      <c r="N1212" s="12" t="n">
        <f aca="false">INT(E1212)</f>
        <v>45771</v>
      </c>
      <c r="O1212" s="12" t="n">
        <f aca="false">IF(F1212="","",INT(F1212))</f>
        <v>45772</v>
      </c>
    </row>
    <row r="1213" customFormat="false" ht="15" hidden="false" customHeight="false" outlineLevel="0" collapsed="false">
      <c r="A1213" s="0" t="s">
        <v>2467</v>
      </c>
      <c r="B1213" s="0" t="s">
        <v>2468</v>
      </c>
      <c r="C1213" s="0" t="s">
        <v>24</v>
      </c>
      <c r="D1213" s="0" t="s">
        <v>42</v>
      </c>
      <c r="E1213" s="10" t="n">
        <v>45771.5666666667</v>
      </c>
      <c r="F1213" s="10" t="n">
        <v>45773.16875</v>
      </c>
      <c r="G1213" s="0" t="n">
        <v>250.62</v>
      </c>
      <c r="H1213" s="0" t="n">
        <v>249.78</v>
      </c>
      <c r="I1213" s="11" t="n">
        <f aca="false">H1213-G1213</f>
        <v>-0.840000000000003</v>
      </c>
      <c r="J1213" s="5" t="n">
        <f aca="false">IF(G1213=0,"",I1213/G1213)</f>
        <v>-0.00335168781422075</v>
      </c>
      <c r="K1213" s="0" t="n">
        <v>85.8</v>
      </c>
      <c r="L1213" s="0" t="n">
        <v>34.4</v>
      </c>
      <c r="M1213" s="11" t="s">
        <v>1332</v>
      </c>
      <c r="N1213" s="12" t="n">
        <f aca="false">INT(E1213)</f>
        <v>45771</v>
      </c>
      <c r="O1213" s="12" t="n">
        <f aca="false">IF(F1213="","",INT(F1213))</f>
        <v>45773</v>
      </c>
    </row>
    <row r="1214" customFormat="false" ht="15" hidden="false" customHeight="false" outlineLevel="0" collapsed="false">
      <c r="A1214" s="0" t="s">
        <v>2469</v>
      </c>
      <c r="B1214" s="0" t="s">
        <v>2470</v>
      </c>
      <c r="C1214" s="0" t="s">
        <v>23</v>
      </c>
      <c r="D1214" s="0" t="s">
        <v>42</v>
      </c>
      <c r="E1214" s="10" t="n">
        <v>45771.5694444445</v>
      </c>
      <c r="F1214" s="10" t="n">
        <v>45772.9666666667</v>
      </c>
      <c r="G1214" s="0" t="n">
        <v>109.38</v>
      </c>
      <c r="H1214" s="0" t="n">
        <v>108.13</v>
      </c>
      <c r="I1214" s="11" t="n">
        <f aca="false">H1214-G1214</f>
        <v>-1.25</v>
      </c>
      <c r="J1214" s="5" t="n">
        <f aca="false">IF(G1214=0,"",I1214/G1214)</f>
        <v>-0.0114280490034741</v>
      </c>
      <c r="K1214" s="0" t="n">
        <v>44.1</v>
      </c>
      <c r="L1214" s="0" t="n">
        <v>33.53</v>
      </c>
      <c r="M1214" s="11" t="s">
        <v>1332</v>
      </c>
      <c r="N1214" s="12" t="n">
        <f aca="false">INT(E1214)</f>
        <v>45771</v>
      </c>
      <c r="O1214" s="12" t="n">
        <f aca="false">IF(F1214="","",INT(F1214))</f>
        <v>45772</v>
      </c>
    </row>
    <row r="1215" customFormat="false" ht="15" hidden="false" customHeight="false" outlineLevel="0" collapsed="false">
      <c r="A1215" s="0" t="s">
        <v>2471</v>
      </c>
      <c r="B1215" s="0" t="s">
        <v>2472</v>
      </c>
      <c r="C1215" s="0" t="s">
        <v>21</v>
      </c>
      <c r="D1215" s="0" t="s">
        <v>42</v>
      </c>
      <c r="E1215" s="10" t="n">
        <v>45771.5819444444</v>
      </c>
      <c r="F1215" s="10" t="n">
        <v>45772.3832291667</v>
      </c>
      <c r="G1215" s="0" t="n">
        <v>136.12</v>
      </c>
      <c r="H1215" s="0" t="n">
        <v>137</v>
      </c>
      <c r="I1215" s="11" t="n">
        <f aca="false">H1215-G1215</f>
        <v>0.879999999999996</v>
      </c>
      <c r="J1215" s="5" t="n">
        <f aca="false">IF(G1215=0,"",I1215/G1215)</f>
        <v>0.00646488392594766</v>
      </c>
      <c r="K1215" s="0" t="n">
        <v>33.1</v>
      </c>
      <c r="L1215" s="0" t="n">
        <v>19.23</v>
      </c>
      <c r="M1215" s="11" t="s">
        <v>1332</v>
      </c>
      <c r="N1215" s="12" t="n">
        <f aca="false">INT(E1215)</f>
        <v>45771</v>
      </c>
      <c r="O1215" s="12" t="n">
        <f aca="false">IF(F1215="","",INT(F1215))</f>
        <v>45772</v>
      </c>
    </row>
    <row r="1216" customFormat="false" ht="15" hidden="false" customHeight="false" outlineLevel="0" collapsed="false">
      <c r="A1216" s="0" t="s">
        <v>2473</v>
      </c>
      <c r="B1216" s="0" t="s">
        <v>2474</v>
      </c>
      <c r="C1216" s="0" t="s">
        <v>20</v>
      </c>
      <c r="D1216" s="0" t="s">
        <v>303</v>
      </c>
      <c r="E1216" s="10" t="n">
        <v>45771.59375</v>
      </c>
      <c r="F1216" s="10"/>
      <c r="G1216" s="0" t="n">
        <v>181.17</v>
      </c>
      <c r="H1216" s="0" t="n">
        <v>186.62</v>
      </c>
      <c r="I1216" s="11" t="n">
        <f aca="false">H1216-G1216</f>
        <v>5.45000000000002</v>
      </c>
      <c r="J1216" s="5" t="n">
        <f aca="false">IF(G1216=0,"",I1216/G1216)</f>
        <v>0.0300822431969974</v>
      </c>
      <c r="K1216" s="0" t="n">
        <v>19</v>
      </c>
      <c r="M1216" s="11" t="s">
        <v>1332</v>
      </c>
      <c r="N1216" s="12" t="n">
        <f aca="false">INT(E1216)</f>
        <v>45771</v>
      </c>
      <c r="O1216" s="12" t="str">
        <f aca="false">IF(F1216="","",INT(F1216))</f>
        <v/>
      </c>
    </row>
    <row r="1217" customFormat="false" ht="15" hidden="false" customHeight="false" outlineLevel="0" collapsed="false">
      <c r="A1217" s="0" t="s">
        <v>2475</v>
      </c>
      <c r="B1217" s="0" t="s">
        <v>2476</v>
      </c>
      <c r="C1217" s="0" t="s">
        <v>23</v>
      </c>
      <c r="D1217" s="0" t="s">
        <v>42</v>
      </c>
      <c r="E1217" s="10" t="n">
        <v>45771.6006944445</v>
      </c>
      <c r="F1217" s="10" t="n">
        <v>45773.23125</v>
      </c>
      <c r="G1217" s="0" t="n">
        <v>317.68</v>
      </c>
      <c r="H1217" s="0" t="n">
        <v>308.72</v>
      </c>
      <c r="I1217" s="11" t="n">
        <f aca="false">H1217-G1217</f>
        <v>-8.95999999999998</v>
      </c>
      <c r="J1217" s="5" t="n">
        <f aca="false">IF(G1217=0,"",I1217/G1217)</f>
        <v>-0.0282044824981112</v>
      </c>
      <c r="K1217" s="0" t="n">
        <v>87.8</v>
      </c>
      <c r="L1217" s="0" t="n">
        <v>33.58</v>
      </c>
      <c r="M1217" s="11" t="s">
        <v>1332</v>
      </c>
      <c r="N1217" s="12" t="n">
        <f aca="false">INT(E1217)</f>
        <v>45771</v>
      </c>
      <c r="O1217" s="12" t="n">
        <f aca="false">IF(F1217="","",INT(F1217))</f>
        <v>45773</v>
      </c>
    </row>
    <row r="1218" customFormat="false" ht="15" hidden="false" customHeight="false" outlineLevel="0" collapsed="false">
      <c r="A1218" s="0" t="s">
        <v>2477</v>
      </c>
      <c r="B1218" s="0" t="s">
        <v>2478</v>
      </c>
      <c r="C1218" s="0" t="s">
        <v>19</v>
      </c>
      <c r="D1218" s="0" t="s">
        <v>42</v>
      </c>
      <c r="E1218" s="10" t="n">
        <v>45771.6069444444</v>
      </c>
      <c r="F1218" s="10" t="n">
        <v>45772.5896064815</v>
      </c>
      <c r="G1218" s="0" t="n">
        <v>644.77</v>
      </c>
      <c r="H1218" s="0" t="n">
        <v>638.09</v>
      </c>
      <c r="I1218" s="11" t="n">
        <f aca="false">H1218-G1218</f>
        <v>-6.67999999999995</v>
      </c>
      <c r="J1218" s="5" t="n">
        <f aca="false">IF(G1218=0,"",I1218/G1218)</f>
        <v>-0.0103602835119499</v>
      </c>
      <c r="K1218" s="0" t="n">
        <v>99.7</v>
      </c>
      <c r="L1218" s="0" t="n">
        <v>23.58</v>
      </c>
      <c r="M1218" s="11" t="s">
        <v>1332</v>
      </c>
      <c r="N1218" s="12" t="n">
        <f aca="false">INT(E1218)</f>
        <v>45771</v>
      </c>
      <c r="O1218" s="12" t="n">
        <f aca="false">IF(F1218="","",INT(F1218))</f>
        <v>45772</v>
      </c>
    </row>
    <row r="1219" customFormat="false" ht="15" hidden="false" customHeight="false" outlineLevel="0" collapsed="false">
      <c r="A1219" s="0" t="s">
        <v>2479</v>
      </c>
      <c r="B1219" s="0" t="s">
        <v>2480</v>
      </c>
      <c r="C1219" s="0" t="s">
        <v>20</v>
      </c>
      <c r="D1219" s="0" t="s">
        <v>42</v>
      </c>
      <c r="E1219" s="10" t="n">
        <v>45771.6236111111</v>
      </c>
      <c r="F1219" s="10" t="n">
        <v>45772.0375</v>
      </c>
      <c r="G1219" s="0" t="n">
        <v>422.1</v>
      </c>
      <c r="H1219" s="0" t="n">
        <v>422.82</v>
      </c>
      <c r="I1219" s="11" t="n">
        <f aca="false">H1219-G1219</f>
        <v>0.71999999999997</v>
      </c>
      <c r="J1219" s="5" t="n">
        <f aca="false">IF(G1219=0,"",I1219/G1219)</f>
        <v>0.00170575692963746</v>
      </c>
      <c r="K1219" s="0" t="n">
        <v>92.2</v>
      </c>
      <c r="L1219" s="0" t="n">
        <v>9.93</v>
      </c>
      <c r="M1219" s="11" t="s">
        <v>1332</v>
      </c>
      <c r="N1219" s="12" t="n">
        <f aca="false">INT(E1219)</f>
        <v>45771</v>
      </c>
      <c r="O1219" s="12" t="n">
        <f aca="false">IF(F1219="","",INT(F1219))</f>
        <v>45772</v>
      </c>
    </row>
    <row r="1220" customFormat="false" ht="15" hidden="false" customHeight="false" outlineLevel="0" collapsed="false">
      <c r="A1220" s="0" t="s">
        <v>2481</v>
      </c>
      <c r="B1220" s="0" t="s">
        <v>2482</v>
      </c>
      <c r="C1220" s="0" t="s">
        <v>24</v>
      </c>
      <c r="D1220" s="0" t="s">
        <v>42</v>
      </c>
      <c r="E1220" s="10" t="n">
        <v>45771.6361111111</v>
      </c>
      <c r="F1220" s="10" t="n">
        <v>45773.2430555556</v>
      </c>
      <c r="G1220" s="0" t="n">
        <v>309.64</v>
      </c>
      <c r="H1220" s="0" t="n">
        <v>305.9</v>
      </c>
      <c r="I1220" s="11" t="n">
        <f aca="false">H1220-G1220</f>
        <v>-3.74000000000001</v>
      </c>
      <c r="J1220" s="5" t="n">
        <f aca="false">IF(G1220=0,"",I1220/G1220)</f>
        <v>-0.0120785428239246</v>
      </c>
      <c r="K1220" s="0" t="n">
        <v>107.8</v>
      </c>
      <c r="L1220" s="0" t="n">
        <v>32.73</v>
      </c>
      <c r="M1220" s="11" t="s">
        <v>1332</v>
      </c>
      <c r="N1220" s="12" t="n">
        <f aca="false">INT(E1220)</f>
        <v>45771</v>
      </c>
      <c r="O1220" s="12" t="n">
        <f aca="false">IF(F1220="","",INT(F1220))</f>
        <v>45773</v>
      </c>
    </row>
    <row r="1221" customFormat="false" ht="15" hidden="false" customHeight="false" outlineLevel="0" collapsed="false">
      <c r="A1221" s="0" t="s">
        <v>2483</v>
      </c>
      <c r="B1221" s="0" t="s">
        <v>2484</v>
      </c>
      <c r="C1221" s="0" t="s">
        <v>22</v>
      </c>
      <c r="D1221" s="0" t="s">
        <v>42</v>
      </c>
      <c r="E1221" s="10" t="n">
        <v>45771.6375</v>
      </c>
      <c r="F1221" s="10" t="n">
        <v>45771.8527777778</v>
      </c>
      <c r="G1221" s="0" t="n">
        <v>366.59</v>
      </c>
      <c r="H1221" s="0" t="n">
        <v>364.59</v>
      </c>
      <c r="I1221" s="11" t="n">
        <f aca="false">H1221-G1221</f>
        <v>-2</v>
      </c>
      <c r="J1221" s="5" t="n">
        <f aca="false">IF(G1221=0,"",I1221/G1221)</f>
        <v>-0.00545568618893041</v>
      </c>
      <c r="K1221" s="0" t="n">
        <v>61.5</v>
      </c>
      <c r="L1221" s="0" t="n">
        <v>5.17</v>
      </c>
      <c r="M1221" s="11" t="s">
        <v>1332</v>
      </c>
      <c r="N1221" s="12" t="n">
        <f aca="false">INT(E1221)</f>
        <v>45771</v>
      </c>
      <c r="O1221" s="12" t="n">
        <f aca="false">IF(F1221="","",INT(F1221))</f>
        <v>45771</v>
      </c>
    </row>
    <row r="1222" customFormat="false" ht="15" hidden="false" customHeight="false" outlineLevel="0" collapsed="false">
      <c r="A1222" s="0" t="s">
        <v>2485</v>
      </c>
      <c r="B1222" s="0" t="s">
        <v>2486</v>
      </c>
      <c r="C1222" s="0" t="s">
        <v>20</v>
      </c>
      <c r="D1222" s="0" t="s">
        <v>48</v>
      </c>
      <c r="E1222" s="10" t="n">
        <v>45771.6416666667</v>
      </c>
      <c r="F1222" s="10"/>
      <c r="G1222" s="0" t="n">
        <v>217.96</v>
      </c>
      <c r="H1222" s="0" t="n">
        <v>219.29</v>
      </c>
      <c r="I1222" s="11" t="n">
        <f aca="false">H1222-G1222</f>
        <v>1.32999999999998</v>
      </c>
      <c r="J1222" s="5" t="n">
        <f aca="false">IF(G1222=0,"",I1222/G1222)</f>
        <v>0.00610203707102213</v>
      </c>
      <c r="K1222" s="0" t="n">
        <v>42.1</v>
      </c>
      <c r="M1222" s="11" t="s">
        <v>1332</v>
      </c>
      <c r="N1222" s="12" t="n">
        <f aca="false">INT(E1222)</f>
        <v>45771</v>
      </c>
      <c r="O1222" s="12" t="str">
        <f aca="false">IF(F1222="","",INT(F1222))</f>
        <v/>
      </c>
    </row>
    <row r="1223" customFormat="false" ht="15" hidden="false" customHeight="false" outlineLevel="0" collapsed="false">
      <c r="A1223" s="0" t="s">
        <v>2487</v>
      </c>
      <c r="B1223" s="0" t="s">
        <v>2488</v>
      </c>
      <c r="C1223" s="0" t="s">
        <v>23</v>
      </c>
      <c r="D1223" s="0" t="s">
        <v>42</v>
      </c>
      <c r="E1223" s="10" t="n">
        <v>45771.64375</v>
      </c>
      <c r="F1223" s="10" t="n">
        <v>45772.2763888889</v>
      </c>
      <c r="G1223" s="0" t="n">
        <v>419.41</v>
      </c>
      <c r="H1223" s="0" t="n">
        <v>419.37</v>
      </c>
      <c r="I1223" s="11" t="n">
        <f aca="false">H1223-G1223</f>
        <v>-0.0400000000000205</v>
      </c>
      <c r="J1223" s="5" t="n">
        <f aca="false">IF(G1223=0,"",I1223/G1223)</f>
        <v>-9.53720702892646E-005</v>
      </c>
      <c r="K1223" s="0" t="n">
        <v>166.3</v>
      </c>
      <c r="L1223" s="0" t="n">
        <v>15.18</v>
      </c>
      <c r="M1223" s="11" t="s">
        <v>1332</v>
      </c>
      <c r="N1223" s="12" t="n">
        <f aca="false">INT(E1223)</f>
        <v>45771</v>
      </c>
      <c r="O1223" s="12" t="n">
        <f aca="false">IF(F1223="","",INT(F1223))</f>
        <v>45772</v>
      </c>
    </row>
    <row r="1224" customFormat="false" ht="15" hidden="false" customHeight="false" outlineLevel="0" collapsed="false">
      <c r="A1224" s="0" t="s">
        <v>2489</v>
      </c>
      <c r="B1224" s="0" t="s">
        <v>2490</v>
      </c>
      <c r="C1224" s="0" t="s">
        <v>23</v>
      </c>
      <c r="D1224" s="0" t="s">
        <v>42</v>
      </c>
      <c r="E1224" s="10" t="n">
        <v>45771.6541666667</v>
      </c>
      <c r="F1224" s="10" t="n">
        <v>45772.511712963</v>
      </c>
      <c r="G1224" s="0" t="n">
        <v>169.11</v>
      </c>
      <c r="H1224" s="0" t="n">
        <v>171.93</v>
      </c>
      <c r="I1224" s="11" t="n">
        <f aca="false">H1224-G1224</f>
        <v>2.81999999999999</v>
      </c>
      <c r="J1224" s="5" t="n">
        <f aca="false">IF(G1224=0,"",I1224/G1224)</f>
        <v>0.0166755366329608</v>
      </c>
      <c r="K1224" s="0" t="n">
        <v>66.1</v>
      </c>
      <c r="L1224" s="0" t="n">
        <v>20.58</v>
      </c>
      <c r="M1224" s="11" t="s">
        <v>1332</v>
      </c>
      <c r="N1224" s="12" t="n">
        <f aca="false">INT(E1224)</f>
        <v>45771</v>
      </c>
      <c r="O1224" s="12" t="n">
        <f aca="false">IF(F1224="","",INT(F1224))</f>
        <v>45772</v>
      </c>
    </row>
    <row r="1225" customFormat="false" ht="15" hidden="false" customHeight="false" outlineLevel="0" collapsed="false">
      <c r="A1225" s="0" t="s">
        <v>2491</v>
      </c>
      <c r="B1225" s="0" t="s">
        <v>2492</v>
      </c>
      <c r="C1225" s="0" t="s">
        <v>20</v>
      </c>
      <c r="D1225" s="0" t="s">
        <v>42</v>
      </c>
      <c r="E1225" s="10" t="n">
        <v>45771.6840277778</v>
      </c>
      <c r="F1225" s="10" t="n">
        <v>45772.4377083333</v>
      </c>
      <c r="G1225" s="0" t="n">
        <v>851.31</v>
      </c>
      <c r="H1225" s="0" t="n">
        <v>847.92</v>
      </c>
      <c r="I1225" s="11" t="n">
        <f aca="false">H1225-G1225</f>
        <v>-3.38999999999999</v>
      </c>
      <c r="J1225" s="5" t="n">
        <f aca="false">IF(G1225=0,"",I1225/G1225)</f>
        <v>-0.00398209817810197</v>
      </c>
      <c r="K1225" s="0" t="n">
        <v>171.5</v>
      </c>
      <c r="L1225" s="0" t="n">
        <v>18.09</v>
      </c>
      <c r="M1225" s="11" t="s">
        <v>1332</v>
      </c>
      <c r="N1225" s="12" t="n">
        <f aca="false">INT(E1225)</f>
        <v>45771</v>
      </c>
      <c r="O1225" s="12" t="n">
        <f aca="false">IF(F1225="","",INT(F1225))</f>
        <v>45772</v>
      </c>
    </row>
    <row r="1226" customFormat="false" ht="15" hidden="false" customHeight="false" outlineLevel="0" collapsed="false">
      <c r="A1226" s="0" t="s">
        <v>2493</v>
      </c>
      <c r="B1226" s="0" t="s">
        <v>2494</v>
      </c>
      <c r="C1226" s="0" t="s">
        <v>23</v>
      </c>
      <c r="D1226" s="0" t="s">
        <v>42</v>
      </c>
      <c r="E1226" s="10" t="n">
        <v>45771.6888888889</v>
      </c>
      <c r="F1226" s="10" t="n">
        <v>45773.0826388889</v>
      </c>
      <c r="G1226" s="0" t="n">
        <v>347.14</v>
      </c>
      <c r="H1226" s="0" t="n">
        <v>348.85</v>
      </c>
      <c r="I1226" s="11" t="n">
        <f aca="false">H1226-G1226</f>
        <v>1.71000000000004</v>
      </c>
      <c r="J1226" s="5" t="n">
        <f aca="false">IF(G1226=0,"",I1226/G1226)</f>
        <v>0.00492596646885993</v>
      </c>
      <c r="K1226" s="0" t="n">
        <v>76.2</v>
      </c>
      <c r="L1226" s="0" t="n">
        <v>31.47</v>
      </c>
      <c r="M1226" s="11" t="s">
        <v>1332</v>
      </c>
      <c r="N1226" s="12" t="n">
        <f aca="false">INT(E1226)</f>
        <v>45771</v>
      </c>
      <c r="O1226" s="12" t="n">
        <f aca="false">IF(F1226="","",INT(F1226))</f>
        <v>45773</v>
      </c>
    </row>
    <row r="1227" customFormat="false" ht="15" hidden="false" customHeight="false" outlineLevel="0" collapsed="false">
      <c r="A1227" s="0" t="s">
        <v>2495</v>
      </c>
      <c r="B1227" s="0" t="s">
        <v>2496</v>
      </c>
      <c r="C1227" s="0" t="s">
        <v>22</v>
      </c>
      <c r="D1227" s="0" t="s">
        <v>42</v>
      </c>
      <c r="E1227" s="10" t="n">
        <v>45771.6972222222</v>
      </c>
      <c r="F1227" s="10" t="n">
        <v>45772.2715277778</v>
      </c>
      <c r="G1227" s="0" t="n">
        <v>560.37</v>
      </c>
      <c r="H1227" s="0" t="n">
        <v>562.12</v>
      </c>
      <c r="I1227" s="11" t="n">
        <f aca="false">H1227-G1227</f>
        <v>1.75</v>
      </c>
      <c r="J1227" s="5" t="n">
        <f aca="false">IF(G1227=0,"",I1227/G1227)</f>
        <v>0.00312293663115442</v>
      </c>
      <c r="K1227" s="0" t="n">
        <v>66.4</v>
      </c>
      <c r="L1227" s="0" t="n">
        <v>13.78</v>
      </c>
      <c r="M1227" s="11" t="s">
        <v>1332</v>
      </c>
      <c r="N1227" s="12" t="n">
        <f aca="false">INT(E1227)</f>
        <v>45771</v>
      </c>
      <c r="O1227" s="12" t="n">
        <f aca="false">IF(F1227="","",INT(F1227))</f>
        <v>45772</v>
      </c>
    </row>
    <row r="1228" customFormat="false" ht="15" hidden="false" customHeight="false" outlineLevel="0" collapsed="false">
      <c r="A1228" s="0" t="s">
        <v>2497</v>
      </c>
      <c r="B1228" s="0" t="s">
        <v>2498</v>
      </c>
      <c r="C1228" s="0" t="s">
        <v>22</v>
      </c>
      <c r="D1228" s="0" t="s">
        <v>42</v>
      </c>
      <c r="E1228" s="10" t="n">
        <v>45771.7263888889</v>
      </c>
      <c r="F1228" s="10" t="n">
        <v>45772.3652777778</v>
      </c>
      <c r="G1228" s="0" t="n">
        <v>127.32</v>
      </c>
      <c r="H1228" s="0" t="n">
        <v>126.55</v>
      </c>
      <c r="I1228" s="11" t="n">
        <f aca="false">H1228-G1228</f>
        <v>-0.769999999999996</v>
      </c>
      <c r="J1228" s="5" t="n">
        <f aca="false">IF(G1228=0,"",I1228/G1228)</f>
        <v>-0.00604775369148599</v>
      </c>
      <c r="K1228" s="0" t="n">
        <v>22.6</v>
      </c>
      <c r="L1228" s="0" t="n">
        <v>15.33</v>
      </c>
      <c r="M1228" s="11" t="s">
        <v>1332</v>
      </c>
      <c r="N1228" s="12" t="n">
        <f aca="false">INT(E1228)</f>
        <v>45771</v>
      </c>
      <c r="O1228" s="12" t="n">
        <f aca="false">IF(F1228="","",INT(F1228))</f>
        <v>45772</v>
      </c>
    </row>
    <row r="1229" customFormat="false" ht="15" hidden="false" customHeight="false" outlineLevel="0" collapsed="false">
      <c r="A1229" s="0" t="s">
        <v>2499</v>
      </c>
      <c r="B1229" s="0" t="s">
        <v>2500</v>
      </c>
      <c r="C1229" s="0" t="s">
        <v>21</v>
      </c>
      <c r="D1229" s="0" t="s">
        <v>42</v>
      </c>
      <c r="E1229" s="10" t="n">
        <v>45771.7423611111</v>
      </c>
      <c r="F1229" s="10" t="n">
        <v>45772.8423611111</v>
      </c>
      <c r="G1229" s="0" t="n">
        <v>210.51</v>
      </c>
      <c r="H1229" s="0" t="n">
        <v>211.98</v>
      </c>
      <c r="I1229" s="11" t="n">
        <f aca="false">H1229-G1229</f>
        <v>1.47</v>
      </c>
      <c r="J1229" s="5" t="n">
        <f aca="false">IF(G1229=0,"",I1229/G1229)</f>
        <v>0.00698304118569189</v>
      </c>
      <c r="K1229" s="0" t="n">
        <v>36.2</v>
      </c>
      <c r="L1229" s="0" t="n">
        <v>26.4</v>
      </c>
      <c r="M1229" s="11" t="s">
        <v>1332</v>
      </c>
      <c r="N1229" s="12" t="n">
        <f aca="false">INT(E1229)</f>
        <v>45771</v>
      </c>
      <c r="O1229" s="12" t="n">
        <f aca="false">IF(F1229="","",INT(F1229))</f>
        <v>45772</v>
      </c>
    </row>
    <row r="1230" customFormat="false" ht="15" hidden="false" customHeight="false" outlineLevel="0" collapsed="false">
      <c r="A1230" s="0" t="s">
        <v>2501</v>
      </c>
      <c r="B1230" s="0" t="s">
        <v>2502</v>
      </c>
      <c r="C1230" s="0" t="s">
        <v>19</v>
      </c>
      <c r="D1230" s="0" t="s">
        <v>42</v>
      </c>
      <c r="E1230" s="10" t="n">
        <v>45771.7777777778</v>
      </c>
      <c r="F1230" s="10" t="n">
        <v>45773.8090277778</v>
      </c>
      <c r="G1230" s="0" t="n">
        <v>266.5</v>
      </c>
      <c r="H1230" s="0" t="n">
        <v>270.31</v>
      </c>
      <c r="I1230" s="11" t="n">
        <f aca="false">H1230-G1230</f>
        <v>3.81</v>
      </c>
      <c r="J1230" s="5" t="n">
        <f aca="false">IF(G1230=0,"",I1230/G1230)</f>
        <v>0.014296435272045</v>
      </c>
      <c r="K1230" s="0" t="n">
        <v>40.5</v>
      </c>
      <c r="L1230" s="0" t="n">
        <v>29.33</v>
      </c>
      <c r="M1230" s="11" t="s">
        <v>1332</v>
      </c>
      <c r="N1230" s="12" t="n">
        <f aca="false">INT(E1230)</f>
        <v>45771</v>
      </c>
      <c r="O1230" s="12" t="n">
        <f aca="false">IF(F1230="","",INT(F1230))</f>
        <v>45773</v>
      </c>
    </row>
    <row r="1231" customFormat="false" ht="15" hidden="false" customHeight="false" outlineLevel="0" collapsed="false">
      <c r="A1231" s="0" t="s">
        <v>2503</v>
      </c>
      <c r="B1231" s="0" t="s">
        <v>2504</v>
      </c>
      <c r="C1231" s="0" t="s">
        <v>24</v>
      </c>
      <c r="D1231" s="0" t="s">
        <v>303</v>
      </c>
      <c r="E1231" s="10" t="n">
        <v>45772.2958333333</v>
      </c>
      <c r="F1231" s="10"/>
      <c r="G1231" s="0" t="n">
        <v>1847</v>
      </c>
      <c r="H1231" s="0" t="n">
        <v>1852.3</v>
      </c>
      <c r="I1231" s="11" t="n">
        <f aca="false">H1231-G1231</f>
        <v>5.29999999999995</v>
      </c>
      <c r="J1231" s="5" t="n">
        <f aca="false">IF(G1231=0,"",I1231/G1231)</f>
        <v>0.00286951813752028</v>
      </c>
      <c r="K1231" s="0" t="n">
        <v>666.5</v>
      </c>
      <c r="M1231" s="11" t="s">
        <v>1332</v>
      </c>
      <c r="N1231" s="12" t="n">
        <f aca="false">INT(E1231)</f>
        <v>45772</v>
      </c>
      <c r="O1231" s="12" t="str">
        <f aca="false">IF(F1231="","",INT(F1231))</f>
        <v/>
      </c>
    </row>
    <row r="1232" customFormat="false" ht="15" hidden="false" customHeight="false" outlineLevel="0" collapsed="false">
      <c r="A1232" s="0" t="s">
        <v>2505</v>
      </c>
      <c r="B1232" s="0" t="s">
        <v>2506</v>
      </c>
      <c r="C1232" s="0" t="s">
        <v>19</v>
      </c>
      <c r="D1232" s="0" t="s">
        <v>42</v>
      </c>
      <c r="E1232" s="10" t="n">
        <v>45772.3006944444</v>
      </c>
      <c r="F1232" s="10" t="n">
        <v>45773.3576388889</v>
      </c>
      <c r="G1232" s="0" t="n">
        <v>205.45</v>
      </c>
      <c r="H1232" s="0" t="n">
        <v>198.29</v>
      </c>
      <c r="I1232" s="11" t="n">
        <f aca="false">H1232-G1232</f>
        <v>-7.16</v>
      </c>
      <c r="J1232" s="5" t="n">
        <f aca="false">IF(G1232=0,"",I1232/G1232)</f>
        <v>-0.0348503285470917</v>
      </c>
      <c r="K1232" s="0" t="n">
        <v>27.2</v>
      </c>
      <c r="L1232" s="0" t="n">
        <v>16.78</v>
      </c>
      <c r="M1232" s="11" t="s">
        <v>1332</v>
      </c>
      <c r="N1232" s="12" t="n">
        <f aca="false">INT(E1232)</f>
        <v>45772</v>
      </c>
      <c r="O1232" s="12" t="n">
        <f aca="false">IF(F1232="","",INT(F1232))</f>
        <v>45773</v>
      </c>
    </row>
    <row r="1233" customFormat="false" ht="15" hidden="false" customHeight="false" outlineLevel="0" collapsed="false">
      <c r="A1233" s="0" t="s">
        <v>2507</v>
      </c>
      <c r="B1233" s="0" t="s">
        <v>2508</v>
      </c>
      <c r="C1233" s="0" t="s">
        <v>23</v>
      </c>
      <c r="D1233" s="0" t="s">
        <v>42</v>
      </c>
      <c r="E1233" s="10" t="n">
        <v>45772.3090277778</v>
      </c>
      <c r="F1233" s="10" t="n">
        <v>45774.0736111111</v>
      </c>
      <c r="G1233" s="0" t="n">
        <v>94.59</v>
      </c>
      <c r="H1233" s="0" t="n">
        <v>117.75</v>
      </c>
      <c r="I1233" s="11" t="n">
        <f aca="false">H1233-G1233</f>
        <v>23.16</v>
      </c>
      <c r="J1233" s="5" t="n">
        <f aca="false">IF(G1233=0,"",I1233/G1233)</f>
        <v>0.244846178242943</v>
      </c>
      <c r="K1233" s="0" t="n">
        <v>20.9</v>
      </c>
      <c r="L1233" s="0" t="n">
        <v>16.58</v>
      </c>
      <c r="M1233" s="11" t="s">
        <v>1332</v>
      </c>
      <c r="N1233" s="12" t="n">
        <f aca="false">INT(E1233)</f>
        <v>45772</v>
      </c>
      <c r="O1233" s="12" t="n">
        <f aca="false">IF(F1233="","",INT(F1233))</f>
        <v>45774</v>
      </c>
    </row>
    <row r="1234" customFormat="false" ht="15" hidden="false" customHeight="false" outlineLevel="0" collapsed="false">
      <c r="A1234" s="0" t="s">
        <v>2509</v>
      </c>
      <c r="B1234" s="0" t="s">
        <v>2510</v>
      </c>
      <c r="C1234" s="0" t="s">
        <v>23</v>
      </c>
      <c r="D1234" s="0" t="s">
        <v>42</v>
      </c>
      <c r="E1234" s="10" t="n">
        <v>45772.3256944444</v>
      </c>
      <c r="F1234" s="10" t="n">
        <v>45773.9423611111</v>
      </c>
      <c r="G1234" s="0" t="n">
        <v>425.84</v>
      </c>
      <c r="H1234" s="0" t="n">
        <v>437.72</v>
      </c>
      <c r="I1234" s="11" t="n">
        <f aca="false">H1234-G1234</f>
        <v>11.8800000000001</v>
      </c>
      <c r="J1234" s="5" t="n">
        <f aca="false">IF(G1234=0,"",I1234/G1234)</f>
        <v>0.0278978019913584</v>
      </c>
      <c r="K1234" s="0" t="n">
        <v>133</v>
      </c>
      <c r="L1234" s="0" t="n">
        <v>16.18</v>
      </c>
      <c r="M1234" s="11" t="s">
        <v>1332</v>
      </c>
      <c r="N1234" s="12" t="n">
        <f aca="false">INT(E1234)</f>
        <v>45772</v>
      </c>
      <c r="O1234" s="12" t="n">
        <f aca="false">IF(F1234="","",INT(F1234))</f>
        <v>45773</v>
      </c>
    </row>
    <row r="1235" customFormat="false" ht="15" hidden="false" customHeight="false" outlineLevel="0" collapsed="false">
      <c r="A1235" s="0" t="s">
        <v>2511</v>
      </c>
      <c r="B1235" s="0" t="s">
        <v>2512</v>
      </c>
      <c r="C1235" s="0" t="s">
        <v>19</v>
      </c>
      <c r="D1235" s="0" t="s">
        <v>42</v>
      </c>
      <c r="E1235" s="10" t="n">
        <v>45772.3548611111</v>
      </c>
      <c r="F1235" s="10" t="n">
        <v>45772.7229166667</v>
      </c>
      <c r="G1235" s="0" t="n">
        <v>411.31</v>
      </c>
      <c r="H1235" s="0" t="n">
        <v>395.6</v>
      </c>
      <c r="I1235" s="11" t="n">
        <f aca="false">H1235-G1235</f>
        <v>-15.71</v>
      </c>
      <c r="J1235" s="5" t="n">
        <f aca="false">IF(G1235=0,"",I1235/G1235)</f>
        <v>-0.0381950353747781</v>
      </c>
      <c r="K1235" s="0" t="n">
        <v>68.9</v>
      </c>
      <c r="L1235" s="0" t="n">
        <v>8.83</v>
      </c>
      <c r="M1235" s="11" t="s">
        <v>1332</v>
      </c>
      <c r="N1235" s="12" t="n">
        <f aca="false">INT(E1235)</f>
        <v>45772</v>
      </c>
      <c r="O1235" s="12" t="n">
        <f aca="false">IF(F1235="","",INT(F1235))</f>
        <v>45772</v>
      </c>
    </row>
    <row r="1236" customFormat="false" ht="15" hidden="false" customHeight="false" outlineLevel="0" collapsed="false">
      <c r="A1236" s="0" t="s">
        <v>2513</v>
      </c>
      <c r="B1236" s="0" t="s">
        <v>2514</v>
      </c>
      <c r="C1236" s="0" t="s">
        <v>19</v>
      </c>
      <c r="D1236" s="0" t="s">
        <v>42</v>
      </c>
      <c r="E1236" s="10" t="n">
        <v>45772.3972222222</v>
      </c>
      <c r="F1236" s="10" t="n">
        <v>45773.3218634259</v>
      </c>
      <c r="G1236" s="0" t="n">
        <v>494.51</v>
      </c>
      <c r="H1236" s="0" t="n">
        <v>488.95</v>
      </c>
      <c r="I1236" s="11" t="n">
        <f aca="false">H1236-G1236</f>
        <v>-5.56</v>
      </c>
      <c r="J1236" s="5" t="n">
        <f aca="false">IF(G1236=0,"",I1236/G1236)</f>
        <v>-0.011243453115205</v>
      </c>
      <c r="K1236" s="0" t="n">
        <v>89.4</v>
      </c>
      <c r="L1236" s="0" t="n">
        <v>14.47</v>
      </c>
      <c r="M1236" s="11" t="s">
        <v>1332</v>
      </c>
      <c r="N1236" s="12" t="n">
        <f aca="false">INT(E1236)</f>
        <v>45772</v>
      </c>
      <c r="O1236" s="12" t="n">
        <f aca="false">IF(F1236="","",INT(F1236))</f>
        <v>45773</v>
      </c>
    </row>
    <row r="1237" customFormat="false" ht="15" hidden="false" customHeight="false" outlineLevel="0" collapsed="false">
      <c r="A1237" s="0" t="s">
        <v>2515</v>
      </c>
      <c r="B1237" s="0" t="s">
        <v>2516</v>
      </c>
      <c r="C1237" s="0" t="s">
        <v>22</v>
      </c>
      <c r="D1237" s="0" t="s">
        <v>42</v>
      </c>
      <c r="E1237" s="10" t="n">
        <v>45772.4284722222</v>
      </c>
      <c r="F1237" s="10" t="n">
        <v>45773.8821875</v>
      </c>
      <c r="G1237" s="0" t="n">
        <v>203.53</v>
      </c>
      <c r="H1237" s="0" t="n">
        <v>205.74</v>
      </c>
      <c r="I1237" s="11" t="n">
        <f aca="false">H1237-G1237</f>
        <v>2.21000000000001</v>
      </c>
      <c r="J1237" s="5" t="n">
        <f aca="false">IF(G1237=0,"",I1237/G1237)</f>
        <v>0.0108583501203754</v>
      </c>
      <c r="K1237" s="0" t="n">
        <v>34.5</v>
      </c>
      <c r="L1237" s="0" t="n">
        <v>13.72</v>
      </c>
      <c r="M1237" s="11" t="s">
        <v>1332</v>
      </c>
      <c r="N1237" s="12" t="n">
        <f aca="false">INT(E1237)</f>
        <v>45772</v>
      </c>
      <c r="O1237" s="12" t="n">
        <f aca="false">IF(F1237="","",INT(F1237))</f>
        <v>45773</v>
      </c>
    </row>
    <row r="1238" customFormat="false" ht="15" hidden="false" customHeight="false" outlineLevel="0" collapsed="false">
      <c r="A1238" s="0" t="s">
        <v>2517</v>
      </c>
      <c r="B1238" s="0" t="s">
        <v>2518</v>
      </c>
      <c r="C1238" s="0" t="s">
        <v>19</v>
      </c>
      <c r="D1238" s="0" t="s">
        <v>42</v>
      </c>
      <c r="E1238" s="10" t="n">
        <v>45772.4388888889</v>
      </c>
      <c r="F1238" s="10" t="n">
        <v>45773.225787037</v>
      </c>
      <c r="G1238" s="0" t="n">
        <v>596.93</v>
      </c>
      <c r="H1238" s="0" t="n">
        <v>592.71</v>
      </c>
      <c r="I1238" s="11" t="n">
        <f aca="false">H1238-G1238</f>
        <v>-4.21999999999991</v>
      </c>
      <c r="J1238" s="5" t="n">
        <f aca="false">IF(G1238=0,"",I1238/G1238)</f>
        <v>-0.00706950563717674</v>
      </c>
      <c r="K1238" s="0" t="n">
        <v>90.9</v>
      </c>
      <c r="L1238" s="0" t="n">
        <v>13.47</v>
      </c>
      <c r="M1238" s="11" t="s">
        <v>1332</v>
      </c>
      <c r="N1238" s="12" t="n">
        <f aca="false">INT(E1238)</f>
        <v>45772</v>
      </c>
      <c r="O1238" s="12" t="n">
        <f aca="false">IF(F1238="","",INT(F1238))</f>
        <v>45773</v>
      </c>
    </row>
    <row r="1239" customFormat="false" ht="15" hidden="false" customHeight="false" outlineLevel="0" collapsed="false">
      <c r="A1239" s="0" t="s">
        <v>2519</v>
      </c>
      <c r="B1239" s="0" t="s">
        <v>2520</v>
      </c>
      <c r="C1239" s="0" t="s">
        <v>19</v>
      </c>
      <c r="D1239" s="0" t="s">
        <v>42</v>
      </c>
      <c r="E1239" s="10" t="n">
        <v>45772.4541666667</v>
      </c>
      <c r="F1239" s="10" t="n">
        <v>45772.9547569445</v>
      </c>
      <c r="G1239" s="0" t="n">
        <v>637.77</v>
      </c>
      <c r="H1239" s="0" t="n">
        <v>631.01</v>
      </c>
      <c r="I1239" s="11" t="n">
        <f aca="false">H1239-G1239</f>
        <v>-6.75999999999999</v>
      </c>
      <c r="J1239" s="5" t="n">
        <f aca="false">IF(G1239=0,"",I1239/G1239)</f>
        <v>-0.0105994323972592</v>
      </c>
      <c r="K1239" s="0" t="n">
        <v>108.4</v>
      </c>
      <c r="L1239" s="0" t="n">
        <v>12.01</v>
      </c>
      <c r="M1239" s="11" t="s">
        <v>1332</v>
      </c>
      <c r="N1239" s="12" t="n">
        <f aca="false">INT(E1239)</f>
        <v>45772</v>
      </c>
      <c r="O1239" s="12" t="n">
        <f aca="false">IF(F1239="","",INT(F1239))</f>
        <v>45772</v>
      </c>
    </row>
    <row r="1240" customFormat="false" ht="15" hidden="false" customHeight="false" outlineLevel="0" collapsed="false">
      <c r="A1240" s="0" t="s">
        <v>2521</v>
      </c>
      <c r="B1240" s="0" t="s">
        <v>2522</v>
      </c>
      <c r="C1240" s="0" t="s">
        <v>22</v>
      </c>
      <c r="D1240" s="0" t="s">
        <v>42</v>
      </c>
      <c r="E1240" s="10" t="n">
        <v>45772.4555555556</v>
      </c>
      <c r="F1240" s="10" t="n">
        <v>45773.4052083333</v>
      </c>
      <c r="G1240" s="0" t="n">
        <v>320.26</v>
      </c>
      <c r="H1240" s="0" t="n">
        <v>322.56</v>
      </c>
      <c r="I1240" s="11" t="n">
        <f aca="false">H1240-G1240</f>
        <v>2.30000000000001</v>
      </c>
      <c r="J1240" s="5" t="n">
        <f aca="false">IF(G1240=0,"",I1240/G1240)</f>
        <v>0.007181664897271</v>
      </c>
      <c r="K1240" s="0" t="n">
        <v>35.8</v>
      </c>
      <c r="L1240" s="0" t="n">
        <v>13.07</v>
      </c>
      <c r="M1240" s="11" t="s">
        <v>1332</v>
      </c>
      <c r="N1240" s="12" t="n">
        <f aca="false">INT(E1240)</f>
        <v>45772</v>
      </c>
      <c r="O1240" s="12" t="n">
        <f aca="false">IF(F1240="","",INT(F1240))</f>
        <v>45773</v>
      </c>
    </row>
    <row r="1241" customFormat="false" ht="15" hidden="false" customHeight="false" outlineLevel="0" collapsed="false">
      <c r="A1241" s="0" t="s">
        <v>2523</v>
      </c>
      <c r="B1241" s="0" t="s">
        <v>2524</v>
      </c>
      <c r="C1241" s="0" t="s">
        <v>19</v>
      </c>
      <c r="D1241" s="0" t="s">
        <v>42</v>
      </c>
      <c r="E1241" s="10" t="n">
        <v>45772.4791666667</v>
      </c>
      <c r="F1241" s="10" t="n">
        <v>45773.1875347222</v>
      </c>
      <c r="G1241" s="0" t="n">
        <v>396.37</v>
      </c>
      <c r="H1241" s="0" t="n">
        <v>391.87</v>
      </c>
      <c r="I1241" s="11" t="n">
        <f aca="false">H1241-G1241</f>
        <v>-4.5</v>
      </c>
      <c r="J1241" s="5" t="n">
        <f aca="false">IF(G1241=0,"",I1241/G1241)</f>
        <v>-0.0113530287357772</v>
      </c>
      <c r="K1241" s="0" t="n">
        <v>37.1</v>
      </c>
      <c r="L1241" s="0" t="n">
        <v>12.5</v>
      </c>
      <c r="M1241" s="11" t="s">
        <v>1332</v>
      </c>
      <c r="N1241" s="12" t="n">
        <f aca="false">INT(E1241)</f>
        <v>45772</v>
      </c>
      <c r="O1241" s="12" t="n">
        <f aca="false">IF(F1241="","",INT(F1241))</f>
        <v>45773</v>
      </c>
    </row>
    <row r="1242" customFormat="false" ht="15" hidden="false" customHeight="false" outlineLevel="0" collapsed="false">
      <c r="A1242" s="0" t="s">
        <v>2525</v>
      </c>
      <c r="B1242" s="0" t="s">
        <v>2526</v>
      </c>
      <c r="C1242" s="0" t="s">
        <v>23</v>
      </c>
      <c r="D1242" s="0" t="s">
        <v>42</v>
      </c>
      <c r="E1242" s="10" t="n">
        <v>45772.5020833333</v>
      </c>
      <c r="F1242" s="10" t="n">
        <v>45774.0342476852</v>
      </c>
      <c r="G1242" s="0" t="n">
        <v>575.52</v>
      </c>
      <c r="H1242" s="0" t="n">
        <v>584.84</v>
      </c>
      <c r="I1242" s="11" t="n">
        <f aca="false">H1242-G1242</f>
        <v>9.32000000000005</v>
      </c>
      <c r="J1242" s="5" t="n">
        <f aca="false">IF(G1242=0,"",I1242/G1242)</f>
        <v>0.0161940505977204</v>
      </c>
      <c r="K1242" s="0" t="n">
        <v>118.2</v>
      </c>
      <c r="L1242" s="0" t="n">
        <v>11.95</v>
      </c>
      <c r="M1242" s="11" t="s">
        <v>1332</v>
      </c>
      <c r="N1242" s="12" t="n">
        <f aca="false">INT(E1242)</f>
        <v>45772</v>
      </c>
      <c r="O1242" s="12" t="n">
        <f aca="false">IF(F1242="","",INT(F1242))</f>
        <v>45774</v>
      </c>
    </row>
    <row r="1243" customFormat="false" ht="15" hidden="false" customHeight="false" outlineLevel="0" collapsed="false">
      <c r="A1243" s="0" t="s">
        <v>2527</v>
      </c>
      <c r="B1243" s="0" t="s">
        <v>2528</v>
      </c>
      <c r="C1243" s="0" t="s">
        <v>21</v>
      </c>
      <c r="D1243" s="0" t="s">
        <v>42</v>
      </c>
      <c r="E1243" s="10" t="n">
        <v>45772.5097222222</v>
      </c>
      <c r="F1243" s="10" t="n">
        <v>45773.7791666667</v>
      </c>
      <c r="G1243" s="0" t="n">
        <v>833.7</v>
      </c>
      <c r="H1243" s="0" t="n">
        <v>813.58</v>
      </c>
      <c r="I1243" s="11" t="n">
        <f aca="false">H1243-G1243</f>
        <v>-20.12</v>
      </c>
      <c r="J1243" s="5" t="n">
        <f aca="false">IF(G1243=0,"",I1243/G1243)</f>
        <v>-0.0241333813122226</v>
      </c>
      <c r="K1243" s="0" t="n">
        <v>210.9</v>
      </c>
      <c r="L1243" s="0" t="n">
        <v>11.77</v>
      </c>
      <c r="M1243" s="11" t="s">
        <v>1332</v>
      </c>
      <c r="N1243" s="12" t="n">
        <f aca="false">INT(E1243)</f>
        <v>45772</v>
      </c>
      <c r="O1243" s="12" t="n">
        <f aca="false">IF(F1243="","",INT(F1243))</f>
        <v>45773</v>
      </c>
    </row>
    <row r="1244" customFormat="false" ht="15" hidden="false" customHeight="false" outlineLevel="0" collapsed="false">
      <c r="A1244" s="0" t="s">
        <v>2529</v>
      </c>
      <c r="B1244" s="0" t="s">
        <v>2530</v>
      </c>
      <c r="C1244" s="0" t="s">
        <v>20</v>
      </c>
      <c r="D1244" s="0" t="s">
        <v>42</v>
      </c>
      <c r="E1244" s="10" t="n">
        <v>45772.5097222222</v>
      </c>
      <c r="F1244" s="10" t="n">
        <v>45773.8027777778</v>
      </c>
      <c r="G1244" s="0" t="n">
        <v>790.39</v>
      </c>
      <c r="H1244" s="0" t="n">
        <v>758.51</v>
      </c>
      <c r="I1244" s="11" t="n">
        <f aca="false">H1244-G1244</f>
        <v>-31.88</v>
      </c>
      <c r="J1244" s="5" t="n">
        <f aca="false">IF(G1244=0,"",I1244/G1244)</f>
        <v>-0.0403345184023077</v>
      </c>
      <c r="K1244" s="0" t="n">
        <v>114.6</v>
      </c>
      <c r="L1244" s="0" t="n">
        <v>11.77</v>
      </c>
      <c r="M1244" s="11" t="s">
        <v>1332</v>
      </c>
      <c r="N1244" s="12" t="n">
        <f aca="false">INT(E1244)</f>
        <v>45772</v>
      </c>
      <c r="O1244" s="12" t="n">
        <f aca="false">IF(F1244="","",INT(F1244))</f>
        <v>45773</v>
      </c>
    </row>
    <row r="1245" customFormat="false" ht="15" hidden="false" customHeight="false" outlineLevel="0" collapsed="false">
      <c r="A1245" s="0" t="s">
        <v>2531</v>
      </c>
      <c r="B1245" s="0" t="s">
        <v>2532</v>
      </c>
      <c r="C1245" s="0" t="s">
        <v>20</v>
      </c>
      <c r="D1245" s="0" t="s">
        <v>42</v>
      </c>
      <c r="E1245" s="10" t="n">
        <v>45772.5263888889</v>
      </c>
      <c r="F1245" s="10" t="n">
        <v>45773.8784722222</v>
      </c>
      <c r="G1245" s="0" t="n">
        <v>173.03</v>
      </c>
      <c r="H1245" s="0" t="n">
        <v>169.36</v>
      </c>
      <c r="I1245" s="11" t="n">
        <f aca="false">H1245-G1245</f>
        <v>-3.66999999999999</v>
      </c>
      <c r="J1245" s="5" t="n">
        <f aca="false">IF(G1245=0,"",I1245/G1245)</f>
        <v>-0.0212101947639137</v>
      </c>
      <c r="K1245" s="0" t="n">
        <v>17.8</v>
      </c>
      <c r="L1245" s="0" t="n">
        <v>11.37</v>
      </c>
      <c r="M1245" s="11" t="s">
        <v>1332</v>
      </c>
      <c r="N1245" s="12" t="n">
        <f aca="false">INT(E1245)</f>
        <v>45772</v>
      </c>
      <c r="O1245" s="12" t="n">
        <f aca="false">IF(F1245="","",INT(F1245))</f>
        <v>45773</v>
      </c>
    </row>
    <row r="1246" customFormat="false" ht="15" hidden="false" customHeight="false" outlineLevel="0" collapsed="false">
      <c r="A1246" s="0" t="s">
        <v>2533</v>
      </c>
      <c r="B1246" s="0" t="s">
        <v>2534</v>
      </c>
      <c r="C1246" s="0" t="s">
        <v>19</v>
      </c>
      <c r="D1246" s="0" t="s">
        <v>42</v>
      </c>
      <c r="E1246" s="10" t="n">
        <v>45772.5368055556</v>
      </c>
      <c r="F1246" s="10" t="n">
        <v>45773.1638888889</v>
      </c>
      <c r="G1246" s="0" t="n">
        <v>495.59</v>
      </c>
      <c r="H1246" s="0" t="n">
        <v>499.4</v>
      </c>
      <c r="I1246" s="11" t="n">
        <f aca="false">H1246-G1246</f>
        <v>3.81</v>
      </c>
      <c r="J1246" s="5" t="n">
        <f aca="false">IF(G1246=0,"",I1246/G1246)</f>
        <v>0.00768780645291471</v>
      </c>
      <c r="K1246" s="0" t="n">
        <v>41.9</v>
      </c>
      <c r="L1246" s="0" t="n">
        <v>11.12</v>
      </c>
      <c r="M1246" s="11" t="s">
        <v>1332</v>
      </c>
      <c r="N1246" s="12" t="n">
        <f aca="false">INT(E1246)</f>
        <v>45772</v>
      </c>
      <c r="O1246" s="12" t="n">
        <f aca="false">IF(F1246="","",INT(F1246))</f>
        <v>45773</v>
      </c>
    </row>
    <row r="1247" customFormat="false" ht="15" hidden="false" customHeight="false" outlineLevel="0" collapsed="false">
      <c r="A1247" s="0" t="s">
        <v>2535</v>
      </c>
      <c r="B1247" s="0" t="s">
        <v>2536</v>
      </c>
      <c r="C1247" s="0" t="s">
        <v>19</v>
      </c>
      <c r="D1247" s="0" t="s">
        <v>42</v>
      </c>
      <c r="E1247" s="10" t="n">
        <v>45772.5631944445</v>
      </c>
      <c r="F1247" s="10" t="n">
        <v>45773.3601967593</v>
      </c>
      <c r="G1247" s="0" t="n">
        <v>439.78</v>
      </c>
      <c r="H1247" s="0" t="n">
        <v>431.91</v>
      </c>
      <c r="I1247" s="11" t="n">
        <f aca="false">H1247-G1247</f>
        <v>-7.86999999999995</v>
      </c>
      <c r="J1247" s="5" t="n">
        <f aca="false">IF(G1247=0,"",I1247/G1247)</f>
        <v>-0.0178953112920095</v>
      </c>
      <c r="K1247" s="0" t="n">
        <v>69.6</v>
      </c>
      <c r="L1247" s="0" t="n">
        <v>10.48</v>
      </c>
      <c r="M1247" s="11" t="s">
        <v>1332</v>
      </c>
      <c r="N1247" s="12" t="n">
        <f aca="false">INT(E1247)</f>
        <v>45772</v>
      </c>
      <c r="O1247" s="12" t="n">
        <f aca="false">IF(F1247="","",INT(F1247))</f>
        <v>45773</v>
      </c>
    </row>
    <row r="1248" customFormat="false" ht="15" hidden="false" customHeight="false" outlineLevel="0" collapsed="false">
      <c r="A1248" s="0" t="s">
        <v>2537</v>
      </c>
      <c r="B1248" s="0" t="s">
        <v>2538</v>
      </c>
      <c r="C1248" s="0" t="s">
        <v>20</v>
      </c>
      <c r="D1248" s="0" t="s">
        <v>42</v>
      </c>
      <c r="E1248" s="10" t="n">
        <v>45772.5881944444</v>
      </c>
      <c r="F1248" s="10" t="n">
        <v>45773.218125</v>
      </c>
      <c r="G1248" s="0" t="n">
        <v>1160.18</v>
      </c>
      <c r="H1248" s="0" t="n">
        <v>1145.02</v>
      </c>
      <c r="I1248" s="11" t="n">
        <f aca="false">H1248-G1248</f>
        <v>-15.1600000000001</v>
      </c>
      <c r="J1248" s="5" t="n">
        <f aca="false">IF(G1248=0,"",I1248/G1248)</f>
        <v>-0.0130669378889483</v>
      </c>
      <c r="K1248" s="0" t="n">
        <v>249.5</v>
      </c>
      <c r="L1248" s="0" t="n">
        <v>9.88</v>
      </c>
      <c r="M1248" s="11" t="s">
        <v>1332</v>
      </c>
      <c r="N1248" s="12" t="n">
        <f aca="false">INT(E1248)</f>
        <v>45772</v>
      </c>
      <c r="O1248" s="12" t="n">
        <f aca="false">IF(F1248="","",INT(F1248))</f>
        <v>45773</v>
      </c>
    </row>
    <row r="1249" customFormat="false" ht="15" hidden="false" customHeight="false" outlineLevel="0" collapsed="false">
      <c r="A1249" s="0" t="s">
        <v>2539</v>
      </c>
      <c r="B1249" s="0" t="s">
        <v>2540</v>
      </c>
      <c r="C1249" s="0" t="s">
        <v>21</v>
      </c>
      <c r="D1249" s="0" t="s">
        <v>42</v>
      </c>
      <c r="E1249" s="10" t="n">
        <v>45772.6048611111</v>
      </c>
      <c r="F1249" s="10" t="n">
        <v>45774.5301851852</v>
      </c>
      <c r="G1249" s="0" t="n">
        <v>390.83</v>
      </c>
      <c r="H1249" s="0" t="n">
        <v>386.25</v>
      </c>
      <c r="I1249" s="11" t="n">
        <f aca="false">H1249-G1249</f>
        <v>-4.57999999999998</v>
      </c>
      <c r="J1249" s="5" t="n">
        <f aca="false">IF(G1249=0,"",I1249/G1249)</f>
        <v>-0.0117186500524524</v>
      </c>
      <c r="K1249" s="0" t="n">
        <v>52.3</v>
      </c>
      <c r="L1249" s="0" t="n">
        <v>9.48</v>
      </c>
      <c r="M1249" s="11" t="s">
        <v>1332</v>
      </c>
      <c r="N1249" s="12" t="n">
        <f aca="false">INT(E1249)</f>
        <v>45772</v>
      </c>
      <c r="O1249" s="12" t="n">
        <f aca="false">IF(F1249="","",INT(F1249))</f>
        <v>45774</v>
      </c>
    </row>
    <row r="1250" customFormat="false" ht="15" hidden="false" customHeight="false" outlineLevel="0" collapsed="false">
      <c r="A1250" s="0" t="s">
        <v>2541</v>
      </c>
      <c r="B1250" s="0" t="s">
        <v>2542</v>
      </c>
      <c r="C1250" s="0" t="s">
        <v>23</v>
      </c>
      <c r="D1250" s="0" t="s">
        <v>42</v>
      </c>
      <c r="E1250" s="10" t="n">
        <v>45772.6444444444</v>
      </c>
      <c r="F1250" s="10" t="n">
        <v>45773.8895833333</v>
      </c>
      <c r="G1250" s="0" t="n">
        <v>286.09</v>
      </c>
      <c r="H1250" s="0" t="n">
        <v>292.7</v>
      </c>
      <c r="I1250" s="11" t="n">
        <f aca="false">H1250-G1250</f>
        <v>6.61000000000001</v>
      </c>
      <c r="J1250" s="5" t="n">
        <f aca="false">IF(G1250=0,"",I1250/G1250)</f>
        <v>0.0231046174280821</v>
      </c>
      <c r="K1250" s="0" t="n">
        <v>61</v>
      </c>
      <c r="L1250" s="0" t="n">
        <v>8.53</v>
      </c>
      <c r="M1250" s="11" t="s">
        <v>1332</v>
      </c>
      <c r="N1250" s="12" t="n">
        <f aca="false">INT(E1250)</f>
        <v>45772</v>
      </c>
      <c r="O1250" s="12" t="n">
        <f aca="false">IF(F1250="","",INT(F1250))</f>
        <v>45773</v>
      </c>
    </row>
    <row r="1251" customFormat="false" ht="15" hidden="false" customHeight="false" outlineLevel="0" collapsed="false">
      <c r="A1251" s="0" t="s">
        <v>2543</v>
      </c>
      <c r="B1251" s="0" t="s">
        <v>2544</v>
      </c>
      <c r="C1251" s="0" t="s">
        <v>21</v>
      </c>
      <c r="D1251" s="0" t="s">
        <v>42</v>
      </c>
      <c r="E1251" s="10" t="n">
        <v>45772.6645833333</v>
      </c>
      <c r="F1251" s="10" t="n">
        <v>45773.175</v>
      </c>
      <c r="G1251" s="0" t="n">
        <v>652.57</v>
      </c>
      <c r="H1251" s="0" t="n">
        <v>653.67</v>
      </c>
      <c r="I1251" s="11" t="n">
        <f aca="false">H1251-G1251</f>
        <v>1.09999999999991</v>
      </c>
      <c r="J1251" s="5" t="n">
        <f aca="false">IF(G1251=0,"",I1251/G1251)</f>
        <v>0.0016856429195334</v>
      </c>
      <c r="K1251" s="0" t="n">
        <v>154.8</v>
      </c>
      <c r="L1251" s="0" t="n">
        <v>8.05</v>
      </c>
      <c r="M1251" s="11" t="s">
        <v>1332</v>
      </c>
      <c r="N1251" s="12" t="n">
        <f aca="false">INT(E1251)</f>
        <v>45772</v>
      </c>
      <c r="O1251" s="12" t="n">
        <f aca="false">IF(F1251="","",INT(F1251))</f>
        <v>45773</v>
      </c>
    </row>
    <row r="1252" customFormat="false" ht="15" hidden="false" customHeight="false" outlineLevel="0" collapsed="false">
      <c r="A1252" s="0" t="s">
        <v>2545</v>
      </c>
      <c r="B1252" s="0" t="s">
        <v>2546</v>
      </c>
      <c r="C1252" s="0" t="s">
        <v>22</v>
      </c>
      <c r="D1252" s="0" t="s">
        <v>42</v>
      </c>
      <c r="E1252" s="10" t="n">
        <v>45772.6798611111</v>
      </c>
      <c r="F1252" s="10" t="n">
        <v>45773.6441666667</v>
      </c>
      <c r="G1252" s="0" t="n">
        <v>443.06</v>
      </c>
      <c r="H1252" s="0" t="n">
        <v>402.84</v>
      </c>
      <c r="I1252" s="11" t="n">
        <f aca="false">H1252-G1252</f>
        <v>-40.22</v>
      </c>
      <c r="J1252" s="5" t="n">
        <f aca="false">IF(G1252=0,"",I1252/G1252)</f>
        <v>-0.0907777727621542</v>
      </c>
      <c r="K1252" s="0" t="n">
        <v>55.7</v>
      </c>
      <c r="L1252" s="0" t="n">
        <v>7.68</v>
      </c>
      <c r="M1252" s="11" t="s">
        <v>1332</v>
      </c>
      <c r="N1252" s="12" t="n">
        <f aca="false">INT(E1252)</f>
        <v>45772</v>
      </c>
      <c r="O1252" s="12" t="n">
        <f aca="false">IF(F1252="","",INT(F1252))</f>
        <v>45773</v>
      </c>
    </row>
    <row r="1253" customFormat="false" ht="15" hidden="false" customHeight="false" outlineLevel="0" collapsed="false">
      <c r="A1253" s="0" t="s">
        <v>2547</v>
      </c>
      <c r="B1253" s="0" t="s">
        <v>2548</v>
      </c>
      <c r="C1253" s="0" t="s">
        <v>20</v>
      </c>
      <c r="D1253" s="0" t="s">
        <v>42</v>
      </c>
      <c r="E1253" s="10" t="n">
        <v>45772.7159722222</v>
      </c>
      <c r="F1253" s="10" t="n">
        <v>45774.6458333333</v>
      </c>
      <c r="G1253" s="0" t="n">
        <v>95.44</v>
      </c>
      <c r="H1253" s="0" t="n">
        <v>96.82</v>
      </c>
      <c r="I1253" s="11" t="n">
        <f aca="false">H1253-G1253</f>
        <v>1.38</v>
      </c>
      <c r="J1253" s="5" t="n">
        <f aca="false">IF(G1253=0,"",I1253/G1253)</f>
        <v>0.0144593461860855</v>
      </c>
      <c r="K1253" s="0" t="n">
        <v>19.7</v>
      </c>
      <c r="L1253" s="0" t="n">
        <v>6.82</v>
      </c>
      <c r="M1253" s="11" t="s">
        <v>1332</v>
      </c>
      <c r="N1253" s="12" t="n">
        <f aca="false">INT(E1253)</f>
        <v>45772</v>
      </c>
      <c r="O1253" s="12" t="n">
        <f aca="false">IF(F1253="","",INT(F1253))</f>
        <v>45774</v>
      </c>
    </row>
    <row r="1254" customFormat="false" ht="15" hidden="false" customHeight="false" outlineLevel="0" collapsed="false">
      <c r="A1254" s="0" t="s">
        <v>2549</v>
      </c>
      <c r="B1254" s="0" t="s">
        <v>2550</v>
      </c>
      <c r="C1254" s="0" t="s">
        <v>19</v>
      </c>
      <c r="D1254" s="0" t="s">
        <v>42</v>
      </c>
      <c r="E1254" s="10" t="n">
        <v>45772.7194444445</v>
      </c>
      <c r="F1254" s="10" t="n">
        <v>45773.4375</v>
      </c>
      <c r="G1254" s="0" t="n">
        <v>3282.45</v>
      </c>
      <c r="H1254" s="0" t="n">
        <v>3239.58</v>
      </c>
      <c r="I1254" s="11" t="n">
        <f aca="false">H1254-G1254</f>
        <v>-42.8699999999999</v>
      </c>
      <c r="J1254" s="5" t="n">
        <f aca="false">IF(G1254=0,"",I1254/G1254)</f>
        <v>-0.0130603664945391</v>
      </c>
      <c r="K1254" s="0" t="n">
        <v>501.1</v>
      </c>
      <c r="L1254" s="0" t="n">
        <v>6.73</v>
      </c>
      <c r="M1254" s="11" t="s">
        <v>1332</v>
      </c>
      <c r="N1254" s="12" t="n">
        <f aca="false">INT(E1254)</f>
        <v>45772</v>
      </c>
      <c r="O1254" s="12" t="n">
        <f aca="false">IF(F1254="","",INT(F1254))</f>
        <v>45773</v>
      </c>
    </row>
    <row r="1255" customFormat="false" ht="15" hidden="false" customHeight="false" outlineLevel="0" collapsed="false">
      <c r="A1255" s="0" t="s">
        <v>2551</v>
      </c>
      <c r="B1255" s="0" t="s">
        <v>2552</v>
      </c>
      <c r="C1255" s="0" t="s">
        <v>21</v>
      </c>
      <c r="D1255" s="0" t="s">
        <v>42</v>
      </c>
      <c r="E1255" s="10" t="n">
        <v>45772.7493055556</v>
      </c>
      <c r="F1255" s="10" t="n">
        <v>45773.252974537</v>
      </c>
      <c r="G1255" s="0" t="n">
        <v>1864.99</v>
      </c>
      <c r="H1255" s="0" t="n">
        <v>1911.58</v>
      </c>
      <c r="I1255" s="11" t="n">
        <f aca="false">H1255-G1255</f>
        <v>46.5899999999999</v>
      </c>
      <c r="J1255" s="5" t="n">
        <f aca="false">IF(G1255=0,"",I1255/G1255)</f>
        <v>0.0249813671923173</v>
      </c>
      <c r="K1255" s="0" t="n">
        <v>405.5</v>
      </c>
      <c r="L1255" s="0" t="n">
        <v>6.02</v>
      </c>
      <c r="M1255" s="11" t="s">
        <v>1332</v>
      </c>
      <c r="N1255" s="12" t="n">
        <f aca="false">INT(E1255)</f>
        <v>45772</v>
      </c>
      <c r="O1255" s="12" t="n">
        <f aca="false">IF(F1255="","",INT(F1255))</f>
        <v>45773</v>
      </c>
    </row>
    <row r="1256" customFormat="false" ht="15" hidden="false" customHeight="false" outlineLevel="0" collapsed="false">
      <c r="A1256" s="0" t="s">
        <v>2553</v>
      </c>
      <c r="B1256" s="0" t="s">
        <v>2554</v>
      </c>
      <c r="C1256" s="0" t="s">
        <v>20</v>
      </c>
      <c r="D1256" s="0" t="s">
        <v>42</v>
      </c>
      <c r="E1256" s="10" t="n">
        <v>45772.7708333333</v>
      </c>
      <c r="F1256" s="10" t="n">
        <v>45773.9111111111</v>
      </c>
      <c r="G1256" s="0" t="n">
        <v>365.15</v>
      </c>
      <c r="H1256" s="0" t="n">
        <v>358.78</v>
      </c>
      <c r="I1256" s="11" t="n">
        <f aca="false">H1256-G1256</f>
        <v>-6.37</v>
      </c>
      <c r="J1256" s="5" t="n">
        <f aca="false">IF(G1256=0,"",I1256/G1256)</f>
        <v>-0.017444885663426</v>
      </c>
      <c r="K1256" s="0" t="n">
        <v>74.5</v>
      </c>
      <c r="L1256" s="0" t="n">
        <v>5.5</v>
      </c>
      <c r="M1256" s="11" t="s">
        <v>1332</v>
      </c>
      <c r="N1256" s="12" t="n">
        <f aca="false">INT(E1256)</f>
        <v>45772</v>
      </c>
      <c r="O1256" s="12" t="n">
        <f aca="false">IF(F1256="","",INT(F1256))</f>
        <v>45773</v>
      </c>
    </row>
    <row r="1257" customFormat="false" ht="15" hidden="false" customHeight="false" outlineLevel="0" collapsed="false">
      <c r="A1257" s="0" t="s">
        <v>2555</v>
      </c>
      <c r="B1257" s="0" t="s">
        <v>2556</v>
      </c>
      <c r="C1257" s="0" t="s">
        <v>19</v>
      </c>
      <c r="D1257" s="0" t="s">
        <v>42</v>
      </c>
      <c r="E1257" s="10" t="n">
        <v>45772.7840277778</v>
      </c>
      <c r="F1257" s="10" t="n">
        <v>45773.1902777778</v>
      </c>
      <c r="G1257" s="0" t="n">
        <v>1067.98</v>
      </c>
      <c r="H1257" s="0" t="n">
        <v>1080.41</v>
      </c>
      <c r="I1257" s="11" t="n">
        <f aca="false">H1257-G1257</f>
        <v>12.4300000000001</v>
      </c>
      <c r="J1257" s="5" t="n">
        <f aca="false">IF(G1257=0,"",I1257/G1257)</f>
        <v>0.0116387947339838</v>
      </c>
      <c r="K1257" s="0" t="n">
        <v>115.7</v>
      </c>
      <c r="L1257" s="0" t="n">
        <v>5.18</v>
      </c>
      <c r="M1257" s="11" t="s">
        <v>1332</v>
      </c>
      <c r="N1257" s="12" t="n">
        <f aca="false">INT(E1257)</f>
        <v>45772</v>
      </c>
      <c r="O1257" s="12" t="n">
        <f aca="false">IF(F1257="","",INT(F1257))</f>
        <v>45773</v>
      </c>
    </row>
    <row r="1258" customFormat="false" ht="15" hidden="false" customHeight="false" outlineLevel="0" collapsed="false">
      <c r="A1258" s="0" t="s">
        <v>2557</v>
      </c>
      <c r="B1258" s="0" t="s">
        <v>2558</v>
      </c>
      <c r="C1258" s="0" t="s">
        <v>21</v>
      </c>
      <c r="D1258" s="0" t="s">
        <v>42</v>
      </c>
      <c r="E1258" s="10" t="n">
        <v>45775.3111111111</v>
      </c>
      <c r="F1258" s="10" t="n">
        <v>45776.361724537</v>
      </c>
      <c r="G1258" s="0" t="n">
        <v>349.93</v>
      </c>
      <c r="H1258" s="0" t="n">
        <v>340.35</v>
      </c>
      <c r="I1258" s="11" t="n">
        <f aca="false">H1258-G1258</f>
        <v>-9.57999999999998</v>
      </c>
      <c r="J1258" s="5" t="n">
        <f aca="false">IF(G1258=0,"",I1258/G1258)</f>
        <v>-0.027376903952219</v>
      </c>
      <c r="K1258" s="0" t="n">
        <v>82.1</v>
      </c>
      <c r="L1258" s="0" t="n">
        <v>25.21</v>
      </c>
      <c r="M1258" s="11" t="s">
        <v>1332</v>
      </c>
      <c r="N1258" s="12" t="n">
        <f aca="false">INT(E1258)</f>
        <v>45775</v>
      </c>
      <c r="O1258" s="12" t="n">
        <f aca="false">IF(F1258="","",INT(F1258))</f>
        <v>45776</v>
      </c>
    </row>
    <row r="1259" customFormat="false" ht="15" hidden="false" customHeight="false" outlineLevel="0" collapsed="false">
      <c r="A1259" s="0" t="s">
        <v>2559</v>
      </c>
      <c r="B1259" s="0" t="s">
        <v>2560</v>
      </c>
      <c r="C1259" s="0" t="s">
        <v>22</v>
      </c>
      <c r="D1259" s="0" t="s">
        <v>48</v>
      </c>
      <c r="E1259" s="10" t="n">
        <v>45775.3125</v>
      </c>
      <c r="F1259" s="10"/>
      <c r="G1259" s="0" t="n">
        <v>164.55</v>
      </c>
      <c r="H1259" s="0" t="n">
        <v>161.86</v>
      </c>
      <c r="I1259" s="11" t="n">
        <f aca="false">H1259-G1259</f>
        <v>-2.69</v>
      </c>
      <c r="J1259" s="5" t="n">
        <f aca="false">IF(G1259=0,"",I1259/G1259)</f>
        <v>-0.016347614706776</v>
      </c>
      <c r="K1259" s="0" t="n">
        <v>27.3</v>
      </c>
      <c r="M1259" s="11" t="s">
        <v>1332</v>
      </c>
      <c r="N1259" s="12" t="n">
        <f aca="false">INT(E1259)</f>
        <v>45775</v>
      </c>
      <c r="O1259" s="12" t="str">
        <f aca="false">IF(F1259="","",INT(F1259))</f>
        <v/>
      </c>
    </row>
    <row r="1260" customFormat="false" ht="15" hidden="false" customHeight="false" outlineLevel="0" collapsed="false">
      <c r="A1260" s="0" t="s">
        <v>2561</v>
      </c>
      <c r="B1260" s="0" t="s">
        <v>2562</v>
      </c>
      <c r="C1260" s="0" t="s">
        <v>19</v>
      </c>
      <c r="D1260" s="0" t="s">
        <v>42</v>
      </c>
      <c r="E1260" s="10" t="n">
        <v>45775.3159722222</v>
      </c>
      <c r="F1260" s="10" t="n">
        <v>45776.0253472222</v>
      </c>
      <c r="G1260" s="0" t="n">
        <v>4043.27</v>
      </c>
      <c r="H1260" s="0" t="n">
        <v>2849.5</v>
      </c>
      <c r="I1260" s="11" t="n">
        <f aca="false">H1260-G1260</f>
        <v>-1193.77</v>
      </c>
      <c r="J1260" s="5" t="n">
        <f aca="false">IF(G1260=0,"",I1260/G1260)</f>
        <v>-0.295248647752933</v>
      </c>
      <c r="K1260" s="0" t="n">
        <v>766.3</v>
      </c>
      <c r="L1260" s="0" t="n">
        <v>17.02</v>
      </c>
      <c r="M1260" s="11" t="s">
        <v>1332</v>
      </c>
      <c r="N1260" s="12" t="n">
        <f aca="false">INT(E1260)</f>
        <v>45775</v>
      </c>
      <c r="O1260" s="12" t="n">
        <f aca="false">IF(F1260="","",INT(F1260))</f>
        <v>45776</v>
      </c>
    </row>
    <row r="1261" customFormat="false" ht="15" hidden="false" customHeight="false" outlineLevel="0" collapsed="false">
      <c r="A1261" s="0" t="s">
        <v>2563</v>
      </c>
      <c r="B1261" s="0" t="s">
        <v>2564</v>
      </c>
      <c r="C1261" s="0" t="s">
        <v>24</v>
      </c>
      <c r="D1261" s="0" t="s">
        <v>42</v>
      </c>
      <c r="E1261" s="10" t="n">
        <v>45775.3173611111</v>
      </c>
      <c r="F1261" s="10" t="n">
        <v>45777.2718402778</v>
      </c>
      <c r="G1261" s="0" t="n">
        <v>589.11</v>
      </c>
      <c r="H1261" s="0" t="n">
        <v>596.59</v>
      </c>
      <c r="I1261" s="11" t="n">
        <f aca="false">H1261-G1261</f>
        <v>7.48000000000002</v>
      </c>
      <c r="J1261" s="5" t="n">
        <f aca="false">IF(G1261=0,"",I1261/G1261)</f>
        <v>0.0126971193834768</v>
      </c>
      <c r="K1261" s="0" t="n">
        <v>115.7</v>
      </c>
      <c r="L1261" s="0" t="n">
        <v>46.91</v>
      </c>
      <c r="M1261" s="11" t="s">
        <v>1332</v>
      </c>
      <c r="N1261" s="12" t="n">
        <f aca="false">INT(E1261)</f>
        <v>45775</v>
      </c>
      <c r="O1261" s="12" t="n">
        <f aca="false">IF(F1261="","",INT(F1261))</f>
        <v>45777</v>
      </c>
    </row>
    <row r="1262" customFormat="false" ht="15" hidden="false" customHeight="false" outlineLevel="0" collapsed="false">
      <c r="A1262" s="0" t="s">
        <v>2565</v>
      </c>
      <c r="B1262" s="0" t="s">
        <v>2566</v>
      </c>
      <c r="C1262" s="0" t="s">
        <v>24</v>
      </c>
      <c r="D1262" s="0" t="s">
        <v>42</v>
      </c>
      <c r="E1262" s="10" t="n">
        <v>45775.3201388889</v>
      </c>
      <c r="F1262" s="10" t="n">
        <v>45779.7993055556</v>
      </c>
      <c r="G1262" s="0" t="n">
        <v>208.34</v>
      </c>
      <c r="H1262" s="0" t="n">
        <v>213.24</v>
      </c>
      <c r="I1262" s="11" t="n">
        <f aca="false">H1262-G1262</f>
        <v>4.90000000000001</v>
      </c>
      <c r="J1262" s="5" t="n">
        <f aca="false">IF(G1262=0,"",I1262/G1262)</f>
        <v>0.0235192473840837</v>
      </c>
      <c r="K1262" s="0" t="n">
        <v>81.4</v>
      </c>
      <c r="L1262" s="0" t="n">
        <v>107.5</v>
      </c>
      <c r="M1262" s="11" t="s">
        <v>1332</v>
      </c>
      <c r="N1262" s="12" t="n">
        <f aca="false">INT(E1262)</f>
        <v>45775</v>
      </c>
      <c r="O1262" s="12" t="n">
        <f aca="false">IF(F1262="","",INT(F1262))</f>
        <v>45779</v>
      </c>
    </row>
    <row r="1263" customFormat="false" ht="15" hidden="false" customHeight="false" outlineLevel="0" collapsed="false">
      <c r="A1263" s="0" t="s">
        <v>2567</v>
      </c>
      <c r="B1263" s="0" t="s">
        <v>2568</v>
      </c>
      <c r="C1263" s="0" t="s">
        <v>21</v>
      </c>
      <c r="D1263" s="0" t="s">
        <v>42</v>
      </c>
      <c r="E1263" s="10" t="n">
        <v>45775.3673611111</v>
      </c>
      <c r="F1263" s="10" t="n">
        <v>45775.9922916667</v>
      </c>
      <c r="G1263" s="0" t="n">
        <v>604.51</v>
      </c>
      <c r="H1263" s="0" t="n">
        <v>618.44</v>
      </c>
      <c r="I1263" s="11" t="n">
        <f aca="false">H1263-G1263</f>
        <v>13.9300000000001</v>
      </c>
      <c r="J1263" s="5" t="n">
        <f aca="false">IF(G1263=0,"",I1263/G1263)</f>
        <v>0.0230434566839259</v>
      </c>
      <c r="K1263" s="0" t="n">
        <v>113.6</v>
      </c>
      <c r="L1263" s="0" t="n">
        <v>15</v>
      </c>
      <c r="M1263" s="11" t="s">
        <v>1332</v>
      </c>
      <c r="N1263" s="12" t="n">
        <f aca="false">INT(E1263)</f>
        <v>45775</v>
      </c>
      <c r="O1263" s="12" t="n">
        <f aca="false">IF(F1263="","",INT(F1263))</f>
        <v>45775</v>
      </c>
    </row>
    <row r="1264" customFormat="false" ht="15" hidden="false" customHeight="false" outlineLevel="0" collapsed="false">
      <c r="A1264" s="0" t="s">
        <v>2569</v>
      </c>
      <c r="B1264" s="0" t="s">
        <v>2570</v>
      </c>
      <c r="C1264" s="0" t="s">
        <v>20</v>
      </c>
      <c r="D1264" s="0" t="s">
        <v>42</v>
      </c>
      <c r="E1264" s="10" t="n">
        <v>45775.3694444444</v>
      </c>
      <c r="F1264" s="10" t="n">
        <v>45776.2555208333</v>
      </c>
      <c r="G1264" s="0" t="n">
        <v>404.64</v>
      </c>
      <c r="H1264" s="0" t="n">
        <v>393.63</v>
      </c>
      <c r="I1264" s="11" t="n">
        <f aca="false">H1264-G1264</f>
        <v>-11.01</v>
      </c>
      <c r="J1264" s="5" t="n">
        <f aca="false">IF(G1264=0,"",I1264/G1264)</f>
        <v>-0.0272093712930012</v>
      </c>
      <c r="K1264" s="0" t="n">
        <v>74.7</v>
      </c>
      <c r="L1264" s="0" t="n">
        <v>21.27</v>
      </c>
      <c r="M1264" s="11" t="s">
        <v>1332</v>
      </c>
      <c r="N1264" s="12" t="n">
        <f aca="false">INT(E1264)</f>
        <v>45775</v>
      </c>
      <c r="O1264" s="12" t="n">
        <f aca="false">IF(F1264="","",INT(F1264))</f>
        <v>45776</v>
      </c>
    </row>
    <row r="1265" customFormat="false" ht="15" hidden="false" customHeight="false" outlineLevel="0" collapsed="false">
      <c r="A1265" s="0" t="s">
        <v>2571</v>
      </c>
      <c r="B1265" s="0" t="s">
        <v>2572</v>
      </c>
      <c r="C1265" s="0" t="s">
        <v>22</v>
      </c>
      <c r="D1265" s="0" t="s">
        <v>42</v>
      </c>
      <c r="E1265" s="10" t="n">
        <v>45775.3770833333</v>
      </c>
      <c r="F1265" s="10" t="n">
        <v>45776.1770833333</v>
      </c>
      <c r="G1265" s="0" t="n">
        <v>805.12</v>
      </c>
      <c r="H1265" s="0" t="n">
        <v>813.76</v>
      </c>
      <c r="I1265" s="11" t="n">
        <f aca="false">H1265-G1265</f>
        <v>8.63999999999999</v>
      </c>
      <c r="J1265" s="5" t="n">
        <f aca="false">IF(G1265=0,"",I1265/G1265)</f>
        <v>0.010731319554849</v>
      </c>
      <c r="K1265" s="0" t="n">
        <v>124.6</v>
      </c>
      <c r="L1265" s="0" t="n">
        <v>19.2</v>
      </c>
      <c r="M1265" s="11" t="s">
        <v>1332</v>
      </c>
      <c r="N1265" s="12" t="n">
        <f aca="false">INT(E1265)</f>
        <v>45775</v>
      </c>
      <c r="O1265" s="12" t="n">
        <f aca="false">IF(F1265="","",INT(F1265))</f>
        <v>45776</v>
      </c>
    </row>
    <row r="1266" customFormat="false" ht="15" hidden="false" customHeight="false" outlineLevel="0" collapsed="false">
      <c r="A1266" s="0" t="s">
        <v>2573</v>
      </c>
      <c r="B1266" s="0" t="s">
        <v>2574</v>
      </c>
      <c r="C1266" s="0" t="s">
        <v>24</v>
      </c>
      <c r="D1266" s="0" t="s">
        <v>42</v>
      </c>
      <c r="E1266" s="10" t="n">
        <v>45775.3986111111</v>
      </c>
      <c r="F1266" s="10" t="n">
        <v>45778.3333333333</v>
      </c>
      <c r="G1266" s="0" t="n">
        <v>366.21</v>
      </c>
      <c r="H1266" s="0" t="n">
        <v>364.63</v>
      </c>
      <c r="I1266" s="11" t="n">
        <f aca="false">H1266-G1266</f>
        <v>-1.57999999999998</v>
      </c>
      <c r="J1266" s="5" t="n">
        <f aca="false">IF(G1266=0,"",I1266/G1266)</f>
        <v>-0.0043144643783621</v>
      </c>
      <c r="K1266" s="0" t="n">
        <v>118.9</v>
      </c>
      <c r="L1266" s="0" t="n">
        <v>70.43</v>
      </c>
      <c r="M1266" s="11" t="s">
        <v>1332</v>
      </c>
      <c r="N1266" s="12" t="n">
        <f aca="false">INT(E1266)</f>
        <v>45775</v>
      </c>
      <c r="O1266" s="12" t="n">
        <f aca="false">IF(F1266="","",INT(F1266))</f>
        <v>45778</v>
      </c>
    </row>
    <row r="1267" customFormat="false" ht="15" hidden="false" customHeight="false" outlineLevel="0" collapsed="false">
      <c r="A1267" s="0" t="s">
        <v>2575</v>
      </c>
      <c r="B1267" s="0" t="s">
        <v>2576</v>
      </c>
      <c r="C1267" s="0" t="s">
        <v>23</v>
      </c>
      <c r="D1267" s="0" t="s">
        <v>42</v>
      </c>
      <c r="E1267" s="10" t="n">
        <v>45775.4173611111</v>
      </c>
      <c r="F1267" s="10" t="n">
        <v>45776.2819444445</v>
      </c>
      <c r="G1267" s="0" t="n">
        <v>461.97</v>
      </c>
      <c r="H1267" s="0" t="n">
        <v>476.72</v>
      </c>
      <c r="I1267" s="11" t="n">
        <f aca="false">H1267-G1267</f>
        <v>14.75</v>
      </c>
      <c r="J1267" s="5" t="n">
        <f aca="false">IF(G1267=0,"",I1267/G1267)</f>
        <v>0.0319284802043423</v>
      </c>
      <c r="K1267" s="0" t="n">
        <v>172.6</v>
      </c>
      <c r="L1267" s="0" t="n">
        <v>20.75</v>
      </c>
      <c r="M1267" s="11" t="s">
        <v>1332</v>
      </c>
      <c r="N1267" s="12" t="n">
        <f aca="false">INT(E1267)</f>
        <v>45775</v>
      </c>
      <c r="O1267" s="12" t="n">
        <f aca="false">IF(F1267="","",INT(F1267))</f>
        <v>45776</v>
      </c>
    </row>
    <row r="1268" customFormat="false" ht="15" hidden="false" customHeight="false" outlineLevel="0" collapsed="false">
      <c r="A1268" s="0" t="s">
        <v>2577</v>
      </c>
      <c r="B1268" s="0" t="s">
        <v>2578</v>
      </c>
      <c r="C1268" s="0" t="s">
        <v>20</v>
      </c>
      <c r="D1268" s="0" t="s">
        <v>42</v>
      </c>
      <c r="E1268" s="10" t="n">
        <v>45775.4222222222</v>
      </c>
      <c r="F1268" s="10" t="n">
        <v>45775.9243055556</v>
      </c>
      <c r="G1268" s="0" t="n">
        <v>713.39</v>
      </c>
      <c r="H1268" s="0" t="n">
        <v>718.64</v>
      </c>
      <c r="I1268" s="11" t="n">
        <f aca="false">H1268-G1268</f>
        <v>5.25</v>
      </c>
      <c r="J1268" s="5" t="n">
        <f aca="false">IF(G1268=0,"",I1268/G1268)</f>
        <v>0.00735922847250452</v>
      </c>
      <c r="K1268" s="0" t="n">
        <v>102.5</v>
      </c>
      <c r="L1268" s="0" t="n">
        <v>12.05</v>
      </c>
      <c r="M1268" s="11" t="s">
        <v>1332</v>
      </c>
      <c r="N1268" s="12" t="n">
        <f aca="false">INT(E1268)</f>
        <v>45775</v>
      </c>
      <c r="O1268" s="12" t="n">
        <f aca="false">IF(F1268="","",INT(F1268))</f>
        <v>45775</v>
      </c>
    </row>
    <row r="1269" customFormat="false" ht="15" hidden="false" customHeight="false" outlineLevel="0" collapsed="false">
      <c r="A1269" s="0" t="s">
        <v>2579</v>
      </c>
      <c r="B1269" s="0" t="s">
        <v>2580</v>
      </c>
      <c r="C1269" s="0" t="s">
        <v>21</v>
      </c>
      <c r="D1269" s="0" t="s">
        <v>42</v>
      </c>
      <c r="E1269" s="10" t="n">
        <v>45775.4229166667</v>
      </c>
      <c r="F1269" s="10" t="n">
        <v>45775.8229166667</v>
      </c>
      <c r="G1269" s="0" t="n">
        <v>1065.58</v>
      </c>
      <c r="H1269" s="0" t="n">
        <v>1072.02</v>
      </c>
      <c r="I1269" s="11" t="n">
        <f aca="false">H1269-G1269</f>
        <v>6.44000000000006</v>
      </c>
      <c r="J1269" s="5" t="n">
        <f aca="false">IF(G1269=0,"",I1269/G1269)</f>
        <v>0.00604365697554389</v>
      </c>
      <c r="K1269" s="0" t="n">
        <v>203.7</v>
      </c>
      <c r="L1269" s="0" t="n">
        <v>9.6</v>
      </c>
      <c r="M1269" s="11" t="s">
        <v>1332</v>
      </c>
      <c r="N1269" s="12" t="n">
        <f aca="false">INT(E1269)</f>
        <v>45775</v>
      </c>
      <c r="O1269" s="12" t="n">
        <f aca="false">IF(F1269="","",INT(F1269))</f>
        <v>45775</v>
      </c>
    </row>
    <row r="1270" customFormat="false" ht="15" hidden="false" customHeight="false" outlineLevel="0" collapsed="false">
      <c r="A1270" s="0" t="s">
        <v>2581</v>
      </c>
      <c r="B1270" s="0" t="s">
        <v>2582</v>
      </c>
      <c r="C1270" s="0" t="s">
        <v>23</v>
      </c>
      <c r="D1270" s="0" t="s">
        <v>303</v>
      </c>
      <c r="E1270" s="10" t="n">
        <v>45775.4444444445</v>
      </c>
      <c r="F1270" s="10"/>
      <c r="G1270" s="0" t="n">
        <v>344.1</v>
      </c>
      <c r="H1270" s="0" t="n">
        <v>338.73</v>
      </c>
      <c r="I1270" s="11" t="n">
        <f aca="false">H1270-G1270</f>
        <v>-5.37</v>
      </c>
      <c r="J1270" s="5" t="n">
        <f aca="false">IF(G1270=0,"",I1270/G1270)</f>
        <v>-0.0156059285091543</v>
      </c>
      <c r="K1270" s="0" t="n">
        <v>106.3</v>
      </c>
      <c r="M1270" s="11" t="s">
        <v>1332</v>
      </c>
      <c r="N1270" s="12" t="n">
        <f aca="false">INT(E1270)</f>
        <v>45775</v>
      </c>
      <c r="O1270" s="12" t="str">
        <f aca="false">IF(F1270="","",INT(F1270))</f>
        <v/>
      </c>
    </row>
    <row r="1271" customFormat="false" ht="15" hidden="false" customHeight="false" outlineLevel="0" collapsed="false">
      <c r="A1271" s="0" t="s">
        <v>2583</v>
      </c>
      <c r="B1271" s="0" t="s">
        <v>2584</v>
      </c>
      <c r="C1271" s="0" t="s">
        <v>21</v>
      </c>
      <c r="D1271" s="0" t="s">
        <v>42</v>
      </c>
      <c r="E1271" s="10" t="n">
        <v>45775.4659722222</v>
      </c>
      <c r="F1271" s="10" t="n">
        <v>45776.2840277778</v>
      </c>
      <c r="G1271" s="0" t="n">
        <v>593.74</v>
      </c>
      <c r="H1271" s="0" t="n">
        <v>600.81</v>
      </c>
      <c r="I1271" s="11" t="n">
        <f aca="false">H1271-G1271</f>
        <v>7.06999999999994</v>
      </c>
      <c r="J1271" s="5" t="n">
        <f aca="false">IF(G1271=0,"",I1271/G1271)</f>
        <v>0.0119075689695825</v>
      </c>
      <c r="K1271" s="0" t="n">
        <v>91.6</v>
      </c>
      <c r="L1271" s="0" t="n">
        <v>19.63</v>
      </c>
      <c r="M1271" s="11" t="s">
        <v>1332</v>
      </c>
      <c r="N1271" s="12" t="n">
        <f aca="false">INT(E1271)</f>
        <v>45775</v>
      </c>
      <c r="O1271" s="12" t="n">
        <f aca="false">IF(F1271="","",INT(F1271))</f>
        <v>45776</v>
      </c>
    </row>
    <row r="1272" customFormat="false" ht="15" hidden="false" customHeight="false" outlineLevel="0" collapsed="false">
      <c r="A1272" s="0" t="s">
        <v>2585</v>
      </c>
      <c r="B1272" s="0" t="s">
        <v>2586</v>
      </c>
      <c r="C1272" s="0" t="s">
        <v>20</v>
      </c>
      <c r="D1272" s="0" t="s">
        <v>42</v>
      </c>
      <c r="E1272" s="10" t="n">
        <v>45775.4868055556</v>
      </c>
      <c r="F1272" s="10" t="n">
        <v>45778.5288310185</v>
      </c>
      <c r="G1272" s="0" t="n">
        <v>695.27</v>
      </c>
      <c r="H1272" s="0" t="n">
        <v>685.72</v>
      </c>
      <c r="I1272" s="11" t="n">
        <f aca="false">H1272-G1272</f>
        <v>-9.54999999999996</v>
      </c>
      <c r="J1272" s="5" t="n">
        <f aca="false">IF(G1272=0,"",I1272/G1272)</f>
        <v>-0.0137356710342744</v>
      </c>
      <c r="K1272" s="0" t="n">
        <v>150.1</v>
      </c>
      <c r="L1272" s="0" t="n">
        <v>73.01</v>
      </c>
      <c r="M1272" s="11" t="s">
        <v>1332</v>
      </c>
      <c r="N1272" s="12" t="n">
        <f aca="false">INT(E1272)</f>
        <v>45775</v>
      </c>
      <c r="O1272" s="12" t="n">
        <f aca="false">IF(F1272="","",INT(F1272))</f>
        <v>45778</v>
      </c>
    </row>
    <row r="1273" customFormat="false" ht="15" hidden="false" customHeight="false" outlineLevel="0" collapsed="false">
      <c r="A1273" s="0" t="s">
        <v>2587</v>
      </c>
      <c r="B1273" s="0" t="s">
        <v>2588</v>
      </c>
      <c r="C1273" s="0" t="s">
        <v>23</v>
      </c>
      <c r="D1273" s="0" t="s">
        <v>42</v>
      </c>
      <c r="E1273" s="10" t="n">
        <v>45775.49375</v>
      </c>
      <c r="F1273" s="10" t="n">
        <v>45776.1516319444</v>
      </c>
      <c r="G1273" s="0" t="n">
        <v>315.18</v>
      </c>
      <c r="H1273" s="0" t="n">
        <v>226.48</v>
      </c>
      <c r="I1273" s="11" t="n">
        <f aca="false">H1273-G1273</f>
        <v>-88.7</v>
      </c>
      <c r="J1273" s="5" t="n">
        <f aca="false">IF(G1273=0,"",I1273/G1273)</f>
        <v>-0.281426486452186</v>
      </c>
      <c r="K1273" s="0" t="n">
        <v>77.8</v>
      </c>
      <c r="L1273" s="0" t="n">
        <v>15.79</v>
      </c>
      <c r="M1273" s="11" t="s">
        <v>1332</v>
      </c>
      <c r="N1273" s="12" t="n">
        <f aca="false">INT(E1273)</f>
        <v>45775</v>
      </c>
      <c r="O1273" s="12" t="n">
        <f aca="false">IF(F1273="","",INT(F1273))</f>
        <v>45776</v>
      </c>
    </row>
    <row r="1274" customFormat="false" ht="15" hidden="false" customHeight="false" outlineLevel="0" collapsed="false">
      <c r="A1274" s="0" t="s">
        <v>2589</v>
      </c>
      <c r="B1274" s="0" t="s">
        <v>2590</v>
      </c>
      <c r="C1274" s="0" t="s">
        <v>19</v>
      </c>
      <c r="D1274" s="0" t="s">
        <v>42</v>
      </c>
      <c r="E1274" s="10" t="n">
        <v>45775.5145833333</v>
      </c>
      <c r="F1274" s="10" t="n">
        <v>45776</v>
      </c>
      <c r="G1274" s="0" t="n">
        <v>1286.73</v>
      </c>
      <c r="H1274" s="0" t="n">
        <v>1295.47</v>
      </c>
      <c r="I1274" s="11" t="n">
        <f aca="false">H1274-G1274</f>
        <v>8.74000000000001</v>
      </c>
      <c r="J1274" s="5" t="n">
        <f aca="false">IF(G1274=0,"",I1274/G1274)</f>
        <v>0.00679241177247753</v>
      </c>
      <c r="K1274" s="0" t="n">
        <v>221.8</v>
      </c>
      <c r="L1274" s="0" t="n">
        <v>11.65</v>
      </c>
      <c r="M1274" s="11" t="s">
        <v>1332</v>
      </c>
      <c r="N1274" s="12" t="n">
        <f aca="false">INT(E1274)</f>
        <v>45775</v>
      </c>
      <c r="O1274" s="12" t="n">
        <f aca="false">IF(F1274="","",INT(F1274))</f>
        <v>45776</v>
      </c>
    </row>
    <row r="1275" customFormat="false" ht="15" hidden="false" customHeight="false" outlineLevel="0" collapsed="false">
      <c r="A1275" s="0" t="s">
        <v>2591</v>
      </c>
      <c r="B1275" s="0" t="s">
        <v>2592</v>
      </c>
      <c r="C1275" s="0" t="s">
        <v>21</v>
      </c>
      <c r="D1275" s="0" t="s">
        <v>48</v>
      </c>
      <c r="E1275" s="10" t="n">
        <v>45775.5388888889</v>
      </c>
      <c r="F1275" s="10"/>
      <c r="G1275" s="0" t="n">
        <v>167.41</v>
      </c>
      <c r="H1275" s="0" t="n">
        <v>163.7</v>
      </c>
      <c r="I1275" s="11" t="n">
        <f aca="false">H1275-G1275</f>
        <v>-3.71000000000001</v>
      </c>
      <c r="J1275" s="5" t="n">
        <f aca="false">IF(G1275=0,"",I1275/G1275)</f>
        <v>-0.0221611612209546</v>
      </c>
      <c r="K1275" s="0" t="n">
        <v>29.4</v>
      </c>
      <c r="M1275" s="11" t="s">
        <v>1332</v>
      </c>
      <c r="N1275" s="12" t="n">
        <f aca="false">INT(E1275)</f>
        <v>45775</v>
      </c>
      <c r="O1275" s="12" t="str">
        <f aca="false">IF(F1275="","",INT(F1275))</f>
        <v/>
      </c>
    </row>
    <row r="1276" customFormat="false" ht="15" hidden="false" customHeight="false" outlineLevel="0" collapsed="false">
      <c r="A1276" s="0" t="s">
        <v>2593</v>
      </c>
      <c r="B1276" s="0" t="s">
        <v>2594</v>
      </c>
      <c r="C1276" s="0" t="s">
        <v>21</v>
      </c>
      <c r="D1276" s="0" t="s">
        <v>42</v>
      </c>
      <c r="E1276" s="10" t="n">
        <v>45775.5388888889</v>
      </c>
      <c r="F1276" s="10" t="n">
        <v>45776.0020833333</v>
      </c>
      <c r="G1276" s="0" t="n">
        <v>419.53</v>
      </c>
      <c r="H1276" s="0" t="n">
        <v>427.2</v>
      </c>
      <c r="I1276" s="11" t="n">
        <f aca="false">H1276-G1276</f>
        <v>7.67000000000002</v>
      </c>
      <c r="J1276" s="5" t="n">
        <f aca="false">IF(G1276=0,"",I1276/G1276)</f>
        <v>0.018282363597359</v>
      </c>
      <c r="K1276" s="0" t="n">
        <v>66.9</v>
      </c>
      <c r="L1276" s="0" t="n">
        <v>11.12</v>
      </c>
      <c r="M1276" s="11" t="s">
        <v>1332</v>
      </c>
      <c r="N1276" s="12" t="n">
        <f aca="false">INT(E1276)</f>
        <v>45775</v>
      </c>
      <c r="O1276" s="12" t="n">
        <f aca="false">IF(F1276="","",INT(F1276))</f>
        <v>45776</v>
      </c>
    </row>
    <row r="1277" customFormat="false" ht="15" hidden="false" customHeight="false" outlineLevel="0" collapsed="false">
      <c r="A1277" s="0" t="s">
        <v>2595</v>
      </c>
      <c r="B1277" s="0" t="s">
        <v>2596</v>
      </c>
      <c r="C1277" s="0" t="s">
        <v>21</v>
      </c>
      <c r="D1277" s="0" t="s">
        <v>42</v>
      </c>
      <c r="E1277" s="10" t="n">
        <v>45775.55</v>
      </c>
      <c r="F1277" s="10" t="n">
        <v>45776.2395833333</v>
      </c>
      <c r="G1277" s="0" t="n">
        <v>951.23</v>
      </c>
      <c r="H1277" s="0" t="n">
        <v>820.42</v>
      </c>
      <c r="I1277" s="11" t="n">
        <f aca="false">H1277-G1277</f>
        <v>-130.81</v>
      </c>
      <c r="J1277" s="5" t="n">
        <f aca="false">IF(G1277=0,"",I1277/G1277)</f>
        <v>-0.137516688918558</v>
      </c>
      <c r="K1277" s="0" t="n">
        <v>234.4</v>
      </c>
      <c r="L1277" s="0" t="n">
        <v>16.55</v>
      </c>
      <c r="M1277" s="11" t="s">
        <v>1332</v>
      </c>
      <c r="N1277" s="12" t="n">
        <f aca="false">INT(E1277)</f>
        <v>45775</v>
      </c>
      <c r="O1277" s="12" t="n">
        <f aca="false">IF(F1277="","",INT(F1277))</f>
        <v>45776</v>
      </c>
    </row>
    <row r="1278" customFormat="false" ht="15" hidden="false" customHeight="false" outlineLevel="0" collapsed="false">
      <c r="A1278" s="0" t="s">
        <v>2597</v>
      </c>
      <c r="B1278" s="0" t="s">
        <v>2598</v>
      </c>
      <c r="C1278" s="0" t="s">
        <v>19</v>
      </c>
      <c r="D1278" s="0" t="s">
        <v>42</v>
      </c>
      <c r="E1278" s="10" t="n">
        <v>45775.5534722222</v>
      </c>
      <c r="F1278" s="10" t="n">
        <v>45776.5381944445</v>
      </c>
      <c r="G1278" s="0" t="n">
        <v>432.55</v>
      </c>
      <c r="H1278" s="0" t="n">
        <v>440.84</v>
      </c>
      <c r="I1278" s="11" t="n">
        <f aca="false">H1278-G1278</f>
        <v>8.28999999999996</v>
      </c>
      <c r="J1278" s="5" t="n">
        <f aca="false">IF(G1278=0,"",I1278/G1278)</f>
        <v>0.0191654144029591</v>
      </c>
      <c r="K1278" s="0" t="n">
        <v>76.1</v>
      </c>
      <c r="L1278" s="0" t="n">
        <v>23.63</v>
      </c>
      <c r="M1278" s="11" t="s">
        <v>1332</v>
      </c>
      <c r="N1278" s="12" t="n">
        <f aca="false">INT(E1278)</f>
        <v>45775</v>
      </c>
      <c r="O1278" s="12" t="n">
        <f aca="false">IF(F1278="","",INT(F1278))</f>
        <v>45776</v>
      </c>
    </row>
    <row r="1279" customFormat="false" ht="15" hidden="false" customHeight="false" outlineLevel="0" collapsed="false">
      <c r="A1279" s="0" t="s">
        <v>2599</v>
      </c>
      <c r="B1279" s="0" t="s">
        <v>2600</v>
      </c>
      <c r="C1279" s="0" t="s">
        <v>20</v>
      </c>
      <c r="D1279" s="0" t="s">
        <v>42</v>
      </c>
      <c r="E1279" s="10" t="n">
        <v>45775.5645833333</v>
      </c>
      <c r="F1279" s="10" t="n">
        <v>45776.4020833333</v>
      </c>
      <c r="G1279" s="0" t="n">
        <v>673.76</v>
      </c>
      <c r="H1279" s="0" t="n">
        <v>659.77</v>
      </c>
      <c r="I1279" s="11" t="n">
        <f aca="false">H1279-G1279</f>
        <v>-13.99</v>
      </c>
      <c r="J1279" s="5" t="n">
        <f aca="false">IF(G1279=0,"",I1279/G1279)</f>
        <v>-0.0207640702920922</v>
      </c>
      <c r="K1279" s="0" t="n">
        <v>130.7</v>
      </c>
      <c r="L1279" s="0" t="n">
        <v>20.1</v>
      </c>
      <c r="M1279" s="11" t="s">
        <v>1332</v>
      </c>
      <c r="N1279" s="12" t="n">
        <f aca="false">INT(E1279)</f>
        <v>45775</v>
      </c>
      <c r="O1279" s="12" t="n">
        <f aca="false">IF(F1279="","",INT(F1279))</f>
        <v>45776</v>
      </c>
    </row>
    <row r="1280" customFormat="false" ht="15" hidden="false" customHeight="false" outlineLevel="0" collapsed="false">
      <c r="A1280" s="0" t="s">
        <v>2601</v>
      </c>
      <c r="B1280" s="0" t="s">
        <v>2602</v>
      </c>
      <c r="C1280" s="0" t="s">
        <v>19</v>
      </c>
      <c r="D1280" s="0" t="s">
        <v>42</v>
      </c>
      <c r="E1280" s="10" t="n">
        <v>45775.5798611111</v>
      </c>
      <c r="F1280" s="10" t="n">
        <v>45777.4483680556</v>
      </c>
      <c r="G1280" s="0" t="n">
        <v>104.66</v>
      </c>
      <c r="H1280" s="0" t="n">
        <v>103.49</v>
      </c>
      <c r="I1280" s="11" t="n">
        <f aca="false">H1280-G1280</f>
        <v>-1.17</v>
      </c>
      <c r="J1280" s="5" t="n">
        <f aca="false">IF(G1280=0,"",I1280/G1280)</f>
        <v>-0.0111790559908275</v>
      </c>
      <c r="K1280" s="0" t="n">
        <v>10.2</v>
      </c>
      <c r="L1280" s="0" t="n">
        <v>44.84</v>
      </c>
      <c r="M1280" s="11" t="s">
        <v>1332</v>
      </c>
      <c r="N1280" s="12" t="n">
        <f aca="false">INT(E1280)</f>
        <v>45775</v>
      </c>
      <c r="O1280" s="12" t="n">
        <f aca="false">IF(F1280="","",INT(F1280))</f>
        <v>45777</v>
      </c>
    </row>
    <row r="1281" customFormat="false" ht="15" hidden="false" customHeight="false" outlineLevel="0" collapsed="false">
      <c r="A1281" s="0" t="s">
        <v>2603</v>
      </c>
      <c r="B1281" s="0" t="s">
        <v>2604</v>
      </c>
      <c r="C1281" s="0" t="s">
        <v>20</v>
      </c>
      <c r="D1281" s="0" t="s">
        <v>42</v>
      </c>
      <c r="E1281" s="10" t="n">
        <v>45775.6138888889</v>
      </c>
      <c r="F1281" s="10" t="n">
        <v>45778.4752083333</v>
      </c>
      <c r="G1281" s="0" t="n">
        <v>466.34</v>
      </c>
      <c r="H1281" s="0" t="n">
        <v>468.55</v>
      </c>
      <c r="I1281" s="11" t="n">
        <f aca="false">H1281-G1281</f>
        <v>2.21000000000004</v>
      </c>
      <c r="J1281" s="5" t="n">
        <f aca="false">IF(G1281=0,"",I1281/G1281)</f>
        <v>0.00473903160783985</v>
      </c>
      <c r="K1281" s="0" t="n">
        <v>92.3</v>
      </c>
      <c r="L1281" s="0" t="n">
        <v>68.67</v>
      </c>
      <c r="M1281" s="11" t="s">
        <v>1332</v>
      </c>
      <c r="N1281" s="12" t="n">
        <f aca="false">INT(E1281)</f>
        <v>45775</v>
      </c>
      <c r="O1281" s="12" t="n">
        <f aca="false">IF(F1281="","",INT(F1281))</f>
        <v>45778</v>
      </c>
    </row>
    <row r="1282" customFormat="false" ht="15" hidden="false" customHeight="false" outlineLevel="0" collapsed="false">
      <c r="A1282" s="0" t="s">
        <v>2605</v>
      </c>
      <c r="B1282" s="0" t="s">
        <v>2606</v>
      </c>
      <c r="C1282" s="0" t="s">
        <v>23</v>
      </c>
      <c r="D1282" s="0" t="s">
        <v>42</v>
      </c>
      <c r="E1282" s="10" t="n">
        <v>45775.6340277778</v>
      </c>
      <c r="F1282" s="10" t="n">
        <v>45776.8840277778</v>
      </c>
      <c r="G1282" s="0" t="n">
        <v>296.97</v>
      </c>
      <c r="H1282" s="0" t="n">
        <v>298.55</v>
      </c>
      <c r="I1282" s="11" t="n">
        <f aca="false">H1282-G1282</f>
        <v>1.57999999999998</v>
      </c>
      <c r="J1282" s="5" t="n">
        <f aca="false">IF(G1282=0,"",I1282/G1282)</f>
        <v>0.00532040273428287</v>
      </c>
      <c r="K1282" s="0" t="n">
        <v>96.1</v>
      </c>
      <c r="L1282" s="0" t="n">
        <v>30</v>
      </c>
      <c r="M1282" s="11" t="s">
        <v>1332</v>
      </c>
      <c r="N1282" s="12" t="n">
        <f aca="false">INT(E1282)</f>
        <v>45775</v>
      </c>
      <c r="O1282" s="12" t="n">
        <f aca="false">IF(F1282="","",INT(F1282))</f>
        <v>45776</v>
      </c>
    </row>
    <row r="1283" customFormat="false" ht="15" hidden="false" customHeight="false" outlineLevel="0" collapsed="false">
      <c r="A1283" s="0" t="s">
        <v>2607</v>
      </c>
      <c r="B1283" s="0" t="s">
        <v>2608</v>
      </c>
      <c r="C1283" s="0" t="s">
        <v>19</v>
      </c>
      <c r="D1283" s="0" t="s">
        <v>48</v>
      </c>
      <c r="E1283" s="10" t="n">
        <v>45775.6375</v>
      </c>
      <c r="F1283" s="10"/>
      <c r="G1283" s="0" t="n">
        <v>172.17</v>
      </c>
      <c r="H1283" s="0" t="n">
        <v>163.12</v>
      </c>
      <c r="I1283" s="11" t="n">
        <f aca="false">H1283-G1283</f>
        <v>-9.04999999999998</v>
      </c>
      <c r="J1283" s="5" t="n">
        <f aca="false">IF(G1283=0,"",I1283/G1283)</f>
        <v>-0.052564325956903</v>
      </c>
      <c r="K1283" s="0" t="n">
        <v>32.4</v>
      </c>
      <c r="M1283" s="11" t="s">
        <v>1332</v>
      </c>
      <c r="N1283" s="12" t="n">
        <f aca="false">INT(E1283)</f>
        <v>45775</v>
      </c>
      <c r="O1283" s="12" t="str">
        <f aca="false">IF(F1283="","",INT(F1283))</f>
        <v/>
      </c>
    </row>
    <row r="1284" customFormat="false" ht="15" hidden="false" customHeight="false" outlineLevel="0" collapsed="false">
      <c r="A1284" s="0" t="s">
        <v>2609</v>
      </c>
      <c r="B1284" s="0" t="s">
        <v>2610</v>
      </c>
      <c r="C1284" s="0" t="s">
        <v>21</v>
      </c>
      <c r="D1284" s="0" t="s">
        <v>42</v>
      </c>
      <c r="E1284" s="10" t="n">
        <v>45775.6465277778</v>
      </c>
      <c r="F1284" s="10" t="n">
        <v>45776.0083333333</v>
      </c>
      <c r="G1284" s="0" t="n">
        <v>713.1</v>
      </c>
      <c r="H1284" s="0" t="n">
        <v>708.42</v>
      </c>
      <c r="I1284" s="11" t="n">
        <f aca="false">H1284-G1284</f>
        <v>-4.68000000000006</v>
      </c>
      <c r="J1284" s="5" t="n">
        <f aca="false">IF(G1284=0,"",I1284/G1284)</f>
        <v>-0.00656289440471191</v>
      </c>
      <c r="K1284" s="0" t="n">
        <v>135.4</v>
      </c>
      <c r="L1284" s="0" t="n">
        <v>8.68</v>
      </c>
      <c r="M1284" s="11" t="s">
        <v>1332</v>
      </c>
      <c r="N1284" s="12" t="n">
        <f aca="false">INT(E1284)</f>
        <v>45775</v>
      </c>
      <c r="O1284" s="12" t="n">
        <f aca="false">IF(F1284="","",INT(F1284))</f>
        <v>45776</v>
      </c>
    </row>
    <row r="1285" customFormat="false" ht="15" hidden="false" customHeight="false" outlineLevel="0" collapsed="false">
      <c r="A1285" s="0" t="s">
        <v>2611</v>
      </c>
      <c r="B1285" s="0" t="s">
        <v>2612</v>
      </c>
      <c r="C1285" s="0" t="s">
        <v>22</v>
      </c>
      <c r="D1285" s="0" t="s">
        <v>42</v>
      </c>
      <c r="E1285" s="10" t="n">
        <v>45775.6513888889</v>
      </c>
      <c r="F1285" s="10" t="n">
        <v>45776.0476273148</v>
      </c>
      <c r="G1285" s="0" t="n">
        <v>690.79</v>
      </c>
      <c r="H1285" s="0" t="n">
        <v>707.75</v>
      </c>
      <c r="I1285" s="11" t="n">
        <f aca="false">H1285-G1285</f>
        <v>16.96</v>
      </c>
      <c r="J1285" s="5" t="n">
        <f aca="false">IF(G1285=0,"",I1285/G1285)</f>
        <v>0.0245516003416379</v>
      </c>
      <c r="K1285" s="0" t="n">
        <v>116.9</v>
      </c>
      <c r="L1285" s="0" t="n">
        <v>9.51</v>
      </c>
      <c r="M1285" s="11" t="s">
        <v>1332</v>
      </c>
      <c r="N1285" s="12" t="n">
        <f aca="false">INT(E1285)</f>
        <v>45775</v>
      </c>
      <c r="O1285" s="12" t="n">
        <f aca="false">IF(F1285="","",INT(F1285))</f>
        <v>45776</v>
      </c>
    </row>
    <row r="1286" customFormat="false" ht="15" hidden="false" customHeight="false" outlineLevel="0" collapsed="false">
      <c r="A1286" s="0" t="s">
        <v>2613</v>
      </c>
      <c r="B1286" s="0" t="s">
        <v>2614</v>
      </c>
      <c r="C1286" s="0" t="s">
        <v>21</v>
      </c>
      <c r="D1286" s="0" t="s">
        <v>42</v>
      </c>
      <c r="E1286" s="10" t="n">
        <v>45775.65625</v>
      </c>
      <c r="F1286" s="10" t="n">
        <v>45776.9173611111</v>
      </c>
      <c r="G1286" s="0" t="n">
        <v>134.53</v>
      </c>
      <c r="H1286" s="0" t="n">
        <v>139.12</v>
      </c>
      <c r="I1286" s="11" t="n">
        <f aca="false">H1286-G1286</f>
        <v>4.59</v>
      </c>
      <c r="J1286" s="5" t="n">
        <f aca="false">IF(G1286=0,"",I1286/G1286)</f>
        <v>0.0341187839143686</v>
      </c>
      <c r="K1286" s="0" t="n">
        <v>30.3</v>
      </c>
      <c r="L1286" s="0" t="n">
        <v>30.27</v>
      </c>
      <c r="M1286" s="11" t="s">
        <v>1332</v>
      </c>
      <c r="N1286" s="12" t="n">
        <f aca="false">INT(E1286)</f>
        <v>45775</v>
      </c>
      <c r="O1286" s="12" t="n">
        <f aca="false">IF(F1286="","",INT(F1286))</f>
        <v>45776</v>
      </c>
    </row>
    <row r="1287" customFormat="false" ht="15" hidden="false" customHeight="false" outlineLevel="0" collapsed="false">
      <c r="A1287" s="0" t="s">
        <v>2615</v>
      </c>
      <c r="B1287" s="0" t="s">
        <v>2616</v>
      </c>
      <c r="C1287" s="0" t="s">
        <v>23</v>
      </c>
      <c r="D1287" s="0" t="s">
        <v>48</v>
      </c>
      <c r="E1287" s="10" t="n">
        <v>45775.6611111111</v>
      </c>
      <c r="F1287" s="10"/>
      <c r="G1287" s="0" t="n">
        <v>1580.02</v>
      </c>
      <c r="H1287" s="0" t="n">
        <v>1616.4</v>
      </c>
      <c r="I1287" s="11" t="n">
        <f aca="false">H1287-G1287</f>
        <v>36.3800000000001</v>
      </c>
      <c r="J1287" s="5" t="n">
        <f aca="false">IF(G1287=0,"",I1287/G1287)</f>
        <v>0.0230250249996836</v>
      </c>
      <c r="K1287" s="0" t="n">
        <v>519.4</v>
      </c>
      <c r="M1287" s="11" t="s">
        <v>1332</v>
      </c>
      <c r="N1287" s="12" t="n">
        <f aca="false">INT(E1287)</f>
        <v>45775</v>
      </c>
      <c r="O1287" s="12" t="str">
        <f aca="false">IF(F1287="","",INT(F1287))</f>
        <v/>
      </c>
    </row>
    <row r="1288" customFormat="false" ht="15" hidden="false" customHeight="false" outlineLevel="0" collapsed="false">
      <c r="A1288" s="0" t="s">
        <v>2617</v>
      </c>
      <c r="B1288" s="0" t="s">
        <v>2618</v>
      </c>
      <c r="C1288" s="0" t="s">
        <v>19</v>
      </c>
      <c r="D1288" s="0" t="s">
        <v>42</v>
      </c>
      <c r="E1288" s="10" t="n">
        <v>45775.6652777778</v>
      </c>
      <c r="F1288" s="10" t="n">
        <v>45776.9446990741</v>
      </c>
      <c r="G1288" s="0" t="n">
        <v>431.63</v>
      </c>
      <c r="H1288" s="0" t="n">
        <v>447.7</v>
      </c>
      <c r="I1288" s="11" t="n">
        <f aca="false">H1288-G1288</f>
        <v>16.07</v>
      </c>
      <c r="J1288" s="5" t="n">
        <f aca="false">IF(G1288=0,"",I1288/G1288)</f>
        <v>0.0372309617033107</v>
      </c>
      <c r="K1288" s="0" t="n">
        <v>53</v>
      </c>
      <c r="L1288" s="0" t="n">
        <v>30.71</v>
      </c>
      <c r="M1288" s="11" t="s">
        <v>1332</v>
      </c>
      <c r="N1288" s="12" t="n">
        <f aca="false">INT(E1288)</f>
        <v>45775</v>
      </c>
      <c r="O1288" s="12" t="n">
        <f aca="false">IF(F1288="","",INT(F1288))</f>
        <v>45776</v>
      </c>
    </row>
    <row r="1289" customFormat="false" ht="15" hidden="false" customHeight="false" outlineLevel="0" collapsed="false">
      <c r="A1289" s="0" t="s">
        <v>2619</v>
      </c>
      <c r="B1289" s="0" t="s">
        <v>2620</v>
      </c>
      <c r="C1289" s="0" t="s">
        <v>21</v>
      </c>
      <c r="D1289" s="0" t="s">
        <v>42</v>
      </c>
      <c r="E1289" s="10" t="n">
        <v>45775.6666666667</v>
      </c>
      <c r="F1289" s="10" t="n">
        <v>45776.2224305556</v>
      </c>
      <c r="G1289" s="0" t="n">
        <v>329.19</v>
      </c>
      <c r="H1289" s="0" t="n">
        <v>338.81</v>
      </c>
      <c r="I1289" s="11" t="n">
        <f aca="false">H1289-G1289</f>
        <v>9.62000000000001</v>
      </c>
      <c r="J1289" s="5" t="n">
        <f aca="false">IF(G1289=0,"",I1289/G1289)</f>
        <v>0.0292232449345363</v>
      </c>
      <c r="K1289" s="0" t="n">
        <v>46.7</v>
      </c>
      <c r="L1289" s="0" t="n">
        <v>13.34</v>
      </c>
      <c r="M1289" s="11" t="s">
        <v>1332</v>
      </c>
      <c r="N1289" s="12" t="n">
        <f aca="false">INT(E1289)</f>
        <v>45775</v>
      </c>
      <c r="O1289" s="12" t="n">
        <f aca="false">IF(F1289="","",INT(F1289))</f>
        <v>45776</v>
      </c>
    </row>
    <row r="1290" customFormat="false" ht="15" hidden="false" customHeight="false" outlineLevel="0" collapsed="false">
      <c r="A1290" s="0" t="s">
        <v>2621</v>
      </c>
      <c r="B1290" s="0" t="s">
        <v>2622</v>
      </c>
      <c r="C1290" s="0" t="s">
        <v>21</v>
      </c>
      <c r="D1290" s="0" t="s">
        <v>42</v>
      </c>
      <c r="E1290" s="10" t="n">
        <v>45775.6736111111</v>
      </c>
      <c r="F1290" s="10" t="n">
        <v>45776.9524305556</v>
      </c>
      <c r="G1290" s="0" t="n">
        <v>282.79</v>
      </c>
      <c r="H1290" s="0" t="n">
        <v>285.76</v>
      </c>
      <c r="I1290" s="11" t="n">
        <f aca="false">H1290-G1290</f>
        <v>2.96999999999997</v>
      </c>
      <c r="J1290" s="5" t="n">
        <f aca="false">IF(G1290=0,"",I1290/G1290)</f>
        <v>0.0105024930160189</v>
      </c>
      <c r="K1290" s="0" t="n">
        <v>63.6</v>
      </c>
      <c r="L1290" s="0" t="n">
        <v>30.69</v>
      </c>
      <c r="M1290" s="11" t="s">
        <v>1332</v>
      </c>
      <c r="N1290" s="12" t="n">
        <f aca="false">INT(E1290)</f>
        <v>45775</v>
      </c>
      <c r="O1290" s="12" t="n">
        <f aca="false">IF(F1290="","",INT(F1290))</f>
        <v>45776</v>
      </c>
    </row>
    <row r="1291" customFormat="false" ht="15" hidden="false" customHeight="false" outlineLevel="0" collapsed="false">
      <c r="A1291" s="0" t="s">
        <v>2623</v>
      </c>
      <c r="B1291" s="0" t="s">
        <v>2624</v>
      </c>
      <c r="C1291" s="0" t="s">
        <v>24</v>
      </c>
      <c r="D1291" s="0" t="s">
        <v>42</v>
      </c>
      <c r="E1291" s="10" t="n">
        <v>45775.6888888889</v>
      </c>
      <c r="F1291" s="10" t="n">
        <v>45781.5916666667</v>
      </c>
      <c r="G1291" s="0" t="n">
        <v>380.25</v>
      </c>
      <c r="H1291" s="0" t="n">
        <v>390.57</v>
      </c>
      <c r="I1291" s="11" t="n">
        <f aca="false">H1291-G1291</f>
        <v>10.32</v>
      </c>
      <c r="J1291" s="5" t="n">
        <f aca="false">IF(G1291=0,"",I1291/G1291)</f>
        <v>0.0271400394477317</v>
      </c>
      <c r="K1291" s="0" t="n">
        <v>143.7</v>
      </c>
      <c r="L1291" s="0" t="n">
        <v>103.47</v>
      </c>
      <c r="M1291" s="11" t="s">
        <v>1332</v>
      </c>
      <c r="N1291" s="12" t="n">
        <f aca="false">INT(E1291)</f>
        <v>45775</v>
      </c>
      <c r="O1291" s="12" t="n">
        <f aca="false">IF(F1291="","",INT(F1291))</f>
        <v>45781</v>
      </c>
    </row>
    <row r="1292" customFormat="false" ht="15" hidden="false" customHeight="false" outlineLevel="0" collapsed="false">
      <c r="A1292" s="0" t="s">
        <v>2625</v>
      </c>
      <c r="B1292" s="0" t="s">
        <v>2626</v>
      </c>
      <c r="C1292" s="0" t="s">
        <v>20</v>
      </c>
      <c r="D1292" s="0" t="s">
        <v>42</v>
      </c>
      <c r="E1292" s="10" t="n">
        <v>45775.7</v>
      </c>
      <c r="F1292" s="10" t="n">
        <v>45776.9076388889</v>
      </c>
      <c r="G1292" s="0" t="n">
        <v>340.33</v>
      </c>
      <c r="H1292" s="0" t="n">
        <v>336.12</v>
      </c>
      <c r="I1292" s="11" t="n">
        <f aca="false">H1292-G1292</f>
        <v>-4.20999999999998</v>
      </c>
      <c r="J1292" s="5" t="n">
        <f aca="false">IF(G1292=0,"",I1292/G1292)</f>
        <v>-0.0123703464284664</v>
      </c>
      <c r="K1292" s="0" t="n">
        <v>72.2</v>
      </c>
      <c r="L1292" s="0" t="n">
        <v>28.98</v>
      </c>
      <c r="M1292" s="11" t="s">
        <v>1332</v>
      </c>
      <c r="N1292" s="12" t="n">
        <f aca="false">INT(E1292)</f>
        <v>45775</v>
      </c>
      <c r="O1292" s="12" t="n">
        <f aca="false">IF(F1292="","",INT(F1292))</f>
        <v>45776</v>
      </c>
    </row>
    <row r="1293" customFormat="false" ht="15" hidden="false" customHeight="false" outlineLevel="0" collapsed="false">
      <c r="A1293" s="0" t="s">
        <v>2627</v>
      </c>
      <c r="B1293" s="0" t="s">
        <v>2628</v>
      </c>
      <c r="C1293" s="0" t="s">
        <v>21</v>
      </c>
      <c r="D1293" s="0" t="s">
        <v>42</v>
      </c>
      <c r="E1293" s="10" t="n">
        <v>45775.7180555556</v>
      </c>
      <c r="F1293" s="10" t="n">
        <v>45776.1409722222</v>
      </c>
      <c r="G1293" s="0" t="n">
        <v>431.97</v>
      </c>
      <c r="H1293" s="0" t="n">
        <v>429.97</v>
      </c>
      <c r="I1293" s="11" t="n">
        <f aca="false">H1293-G1293</f>
        <v>-2</v>
      </c>
      <c r="J1293" s="5" t="n">
        <f aca="false">IF(G1293=0,"",I1293/G1293)</f>
        <v>-0.00462995115401533</v>
      </c>
      <c r="K1293" s="0" t="n">
        <v>83</v>
      </c>
      <c r="L1293" s="0" t="n">
        <v>10.15</v>
      </c>
      <c r="M1293" s="11" t="s">
        <v>1332</v>
      </c>
      <c r="N1293" s="12" t="n">
        <f aca="false">INT(E1293)</f>
        <v>45775</v>
      </c>
      <c r="O1293" s="12" t="n">
        <f aca="false">IF(F1293="","",INT(F1293))</f>
        <v>45776</v>
      </c>
    </row>
    <row r="1294" customFormat="false" ht="15" hidden="false" customHeight="false" outlineLevel="0" collapsed="false">
      <c r="A1294" s="0" t="s">
        <v>2629</v>
      </c>
      <c r="B1294" s="0" t="s">
        <v>2630</v>
      </c>
      <c r="C1294" s="0" t="s">
        <v>22</v>
      </c>
      <c r="D1294" s="0" t="s">
        <v>42</v>
      </c>
      <c r="E1294" s="10" t="n">
        <v>45775.7270833333</v>
      </c>
      <c r="F1294" s="10" t="n">
        <v>45776.1770833333</v>
      </c>
      <c r="G1294" s="0" t="n">
        <v>1464.76</v>
      </c>
      <c r="H1294" s="0" t="n">
        <v>1471.41</v>
      </c>
      <c r="I1294" s="11" t="n">
        <f aca="false">H1294-G1294</f>
        <v>6.65000000000009</v>
      </c>
      <c r="J1294" s="5" t="n">
        <f aca="false">IF(G1294=0,"",I1294/G1294)</f>
        <v>0.00453999289986079</v>
      </c>
      <c r="K1294" s="0" t="n">
        <v>177.7</v>
      </c>
      <c r="L1294" s="0" t="n">
        <v>10.8</v>
      </c>
      <c r="M1294" s="11" t="s">
        <v>1332</v>
      </c>
      <c r="N1294" s="12" t="n">
        <f aca="false">INT(E1294)</f>
        <v>45775</v>
      </c>
      <c r="O1294" s="12" t="n">
        <f aca="false">IF(F1294="","",INT(F1294))</f>
        <v>45776</v>
      </c>
    </row>
    <row r="1295" customFormat="false" ht="15" hidden="false" customHeight="false" outlineLevel="0" collapsed="false">
      <c r="A1295" s="0" t="s">
        <v>2631</v>
      </c>
      <c r="B1295" s="0" t="s">
        <v>2632</v>
      </c>
      <c r="C1295" s="0" t="s">
        <v>24</v>
      </c>
      <c r="D1295" s="0" t="s">
        <v>42</v>
      </c>
      <c r="E1295" s="10" t="n">
        <v>45775.7423611111</v>
      </c>
      <c r="F1295" s="10" t="n">
        <v>45777.3916666667</v>
      </c>
      <c r="G1295" s="0" t="n">
        <v>310.94</v>
      </c>
      <c r="H1295" s="0" t="n">
        <v>311.4</v>
      </c>
      <c r="I1295" s="11" t="n">
        <f aca="false">H1295-G1295</f>
        <v>0.45999999999998</v>
      </c>
      <c r="J1295" s="5" t="n">
        <f aca="false">IF(G1295=0,"",I1295/G1295)</f>
        <v>0.00147938509037107</v>
      </c>
      <c r="K1295" s="0" t="n">
        <v>90.9</v>
      </c>
      <c r="L1295" s="0" t="n">
        <v>39.58</v>
      </c>
      <c r="M1295" s="11" t="s">
        <v>1332</v>
      </c>
      <c r="N1295" s="12" t="n">
        <f aca="false">INT(E1295)</f>
        <v>45775</v>
      </c>
      <c r="O1295" s="12" t="n">
        <f aca="false">IF(F1295="","",INT(F1295))</f>
        <v>45777</v>
      </c>
    </row>
    <row r="1296" customFormat="false" ht="15" hidden="false" customHeight="false" outlineLevel="0" collapsed="false">
      <c r="A1296" s="0" t="s">
        <v>2633</v>
      </c>
      <c r="B1296" s="0" t="s">
        <v>2634</v>
      </c>
      <c r="C1296" s="0" t="s">
        <v>21</v>
      </c>
      <c r="D1296" s="0" t="s">
        <v>42</v>
      </c>
      <c r="E1296" s="10" t="n">
        <v>45775.7631944444</v>
      </c>
      <c r="F1296" s="10" t="n">
        <v>45777.2805555556</v>
      </c>
      <c r="G1296" s="0" t="n">
        <v>453.8</v>
      </c>
      <c r="H1296" s="0" t="n">
        <v>442.17</v>
      </c>
      <c r="I1296" s="11" t="n">
        <f aca="false">H1296-G1296</f>
        <v>-11.63</v>
      </c>
      <c r="J1296" s="5" t="n">
        <f aca="false">IF(G1296=0,"",I1296/G1296)</f>
        <v>-0.0256280299691494</v>
      </c>
      <c r="K1296" s="0" t="n">
        <v>81</v>
      </c>
      <c r="L1296" s="0" t="n">
        <v>36.42</v>
      </c>
      <c r="M1296" s="11" t="s">
        <v>1332</v>
      </c>
      <c r="N1296" s="12" t="n">
        <f aca="false">INT(E1296)</f>
        <v>45775</v>
      </c>
      <c r="O1296" s="12" t="n">
        <f aca="false">IF(F1296="","",INT(F1296))</f>
        <v>45777</v>
      </c>
    </row>
    <row r="1297" customFormat="false" ht="15" hidden="false" customHeight="false" outlineLevel="0" collapsed="false">
      <c r="A1297" s="0" t="s">
        <v>2635</v>
      </c>
      <c r="B1297" s="0" t="s">
        <v>2636</v>
      </c>
      <c r="C1297" s="0" t="s">
        <v>24</v>
      </c>
      <c r="D1297" s="0" t="s">
        <v>42</v>
      </c>
      <c r="E1297" s="10" t="n">
        <v>45775.7881944445</v>
      </c>
      <c r="F1297" s="10" t="n">
        <v>45776.8708333333</v>
      </c>
      <c r="G1297" s="0" t="n">
        <v>111.54</v>
      </c>
      <c r="H1297" s="0" t="n">
        <v>109</v>
      </c>
      <c r="I1297" s="11" t="n">
        <f aca="false">H1297-G1297</f>
        <v>-2.54000000000001</v>
      </c>
      <c r="J1297" s="5" t="n">
        <f aca="false">IF(G1297=0,"",I1297/G1297)</f>
        <v>-0.0227720996951767</v>
      </c>
      <c r="K1297" s="0" t="n">
        <v>21.5</v>
      </c>
      <c r="L1297" s="0" t="n">
        <v>25.98</v>
      </c>
      <c r="M1297" s="11" t="s">
        <v>1332</v>
      </c>
      <c r="N1297" s="12" t="n">
        <f aca="false">INT(E1297)</f>
        <v>45775</v>
      </c>
      <c r="O1297" s="12" t="n">
        <f aca="false">IF(F1297="","",INT(F1297))</f>
        <v>45776</v>
      </c>
    </row>
    <row r="1298" customFormat="false" ht="15" hidden="false" customHeight="false" outlineLevel="0" collapsed="false">
      <c r="A1298" s="0" t="s">
        <v>2637</v>
      </c>
      <c r="B1298" s="0" t="s">
        <v>2638</v>
      </c>
      <c r="C1298" s="0" t="s">
        <v>20</v>
      </c>
      <c r="D1298" s="0" t="s">
        <v>42</v>
      </c>
      <c r="E1298" s="10" t="n">
        <v>45776.3027777778</v>
      </c>
      <c r="F1298" s="10" t="n">
        <v>45777.9915972222</v>
      </c>
      <c r="G1298" s="0" t="n">
        <v>169.85</v>
      </c>
      <c r="H1298" s="0" t="n">
        <v>171.64</v>
      </c>
      <c r="I1298" s="11" t="n">
        <f aca="false">H1298-G1298</f>
        <v>1.78999999999999</v>
      </c>
      <c r="J1298" s="5" t="n">
        <f aca="false">IF(G1298=0,"",I1298/G1298)</f>
        <v>0.0105387106270238</v>
      </c>
      <c r="K1298" s="0" t="n">
        <v>32.5</v>
      </c>
      <c r="L1298" s="0" t="n">
        <v>40.53</v>
      </c>
      <c r="M1298" s="11" t="s">
        <v>1332</v>
      </c>
      <c r="N1298" s="12" t="n">
        <f aca="false">INT(E1298)</f>
        <v>45776</v>
      </c>
      <c r="O1298" s="12" t="n">
        <f aca="false">IF(F1298="","",INT(F1298))</f>
        <v>45777</v>
      </c>
    </row>
    <row r="1299" customFormat="false" ht="15" hidden="false" customHeight="false" outlineLevel="0" collapsed="false">
      <c r="A1299" s="0" t="s">
        <v>2639</v>
      </c>
      <c r="B1299" s="0" t="s">
        <v>2640</v>
      </c>
      <c r="C1299" s="0" t="s">
        <v>22</v>
      </c>
      <c r="D1299" s="0" t="s">
        <v>42</v>
      </c>
      <c r="E1299" s="10" t="n">
        <v>45776.30625</v>
      </c>
      <c r="F1299" s="10" t="n">
        <v>45776.7729166667</v>
      </c>
      <c r="G1299" s="0" t="n">
        <v>210.76</v>
      </c>
      <c r="H1299" s="0" t="n">
        <v>208.42</v>
      </c>
      <c r="I1299" s="11" t="n">
        <f aca="false">H1299-G1299</f>
        <v>-2.34</v>
      </c>
      <c r="J1299" s="5" t="n">
        <f aca="false">IF(G1299=0,"",I1299/G1299)</f>
        <v>-0.0111026760296072</v>
      </c>
      <c r="K1299" s="0" t="n">
        <v>42</v>
      </c>
      <c r="L1299" s="0" t="n">
        <v>11.2</v>
      </c>
      <c r="M1299" s="11" t="s">
        <v>1332</v>
      </c>
      <c r="N1299" s="12" t="n">
        <f aca="false">INT(E1299)</f>
        <v>45776</v>
      </c>
      <c r="O1299" s="12" t="n">
        <f aca="false">IF(F1299="","",INT(F1299))</f>
        <v>45776</v>
      </c>
    </row>
    <row r="1300" customFormat="false" ht="15" hidden="false" customHeight="false" outlineLevel="0" collapsed="false">
      <c r="A1300" s="0" t="s">
        <v>2641</v>
      </c>
      <c r="B1300" s="0" t="s">
        <v>2642</v>
      </c>
      <c r="C1300" s="0" t="s">
        <v>23</v>
      </c>
      <c r="D1300" s="0" t="s">
        <v>42</v>
      </c>
      <c r="E1300" s="10" t="n">
        <v>45776.3138888889</v>
      </c>
      <c r="F1300" s="10" t="n">
        <v>45777.3123148148</v>
      </c>
      <c r="G1300" s="0" t="n">
        <v>330.27</v>
      </c>
      <c r="H1300" s="0" t="n">
        <v>323.36</v>
      </c>
      <c r="I1300" s="11" t="n">
        <f aca="false">H1300-G1300</f>
        <v>-6.90999999999997</v>
      </c>
      <c r="J1300" s="5" t="n">
        <f aca="false">IF(G1300=0,"",I1300/G1300)</f>
        <v>-0.0209222757138098</v>
      </c>
      <c r="K1300" s="0" t="n">
        <v>136.9</v>
      </c>
      <c r="L1300" s="0" t="n">
        <v>23.96</v>
      </c>
      <c r="M1300" s="11" t="s">
        <v>1332</v>
      </c>
      <c r="N1300" s="12" t="n">
        <f aca="false">INT(E1300)</f>
        <v>45776</v>
      </c>
      <c r="O1300" s="12" t="n">
        <f aca="false">IF(F1300="","",INT(F1300))</f>
        <v>45777</v>
      </c>
    </row>
    <row r="1301" customFormat="false" ht="15" hidden="false" customHeight="false" outlineLevel="0" collapsed="false">
      <c r="A1301" s="0" t="s">
        <v>2643</v>
      </c>
      <c r="B1301" s="0" t="s">
        <v>2644</v>
      </c>
      <c r="C1301" s="0" t="s">
        <v>23</v>
      </c>
      <c r="D1301" s="0" t="s">
        <v>42</v>
      </c>
      <c r="E1301" s="10" t="n">
        <v>45776.3145833333</v>
      </c>
      <c r="F1301" s="10" t="n">
        <v>45777.2826273148</v>
      </c>
      <c r="G1301" s="0" t="n">
        <v>258.53</v>
      </c>
      <c r="H1301" s="0" t="n">
        <v>263.01</v>
      </c>
      <c r="I1301" s="11" t="n">
        <f aca="false">H1301-G1301</f>
        <v>4.48000000000002</v>
      </c>
      <c r="J1301" s="5" t="n">
        <f aca="false">IF(G1301=0,"",I1301/G1301)</f>
        <v>0.01732874327931</v>
      </c>
      <c r="K1301" s="0" t="n">
        <v>104.8</v>
      </c>
      <c r="L1301" s="0" t="n">
        <v>23.23</v>
      </c>
      <c r="M1301" s="11" t="s">
        <v>1332</v>
      </c>
      <c r="N1301" s="12" t="n">
        <f aca="false">INT(E1301)</f>
        <v>45776</v>
      </c>
      <c r="O1301" s="12" t="n">
        <f aca="false">IF(F1301="","",INT(F1301))</f>
        <v>45777</v>
      </c>
    </row>
    <row r="1302" customFormat="false" ht="15" hidden="false" customHeight="false" outlineLevel="0" collapsed="false">
      <c r="A1302" s="0" t="s">
        <v>2645</v>
      </c>
      <c r="B1302" s="0" t="s">
        <v>2646</v>
      </c>
      <c r="C1302" s="0" t="s">
        <v>22</v>
      </c>
      <c r="D1302" s="0" t="s">
        <v>42</v>
      </c>
      <c r="E1302" s="10" t="n">
        <v>45776.3194444445</v>
      </c>
      <c r="F1302" s="10" t="n">
        <v>45776.8357407407</v>
      </c>
      <c r="G1302" s="0" t="n">
        <v>424.54</v>
      </c>
      <c r="H1302" s="0" t="n">
        <v>432.04</v>
      </c>
      <c r="I1302" s="11" t="n">
        <f aca="false">H1302-G1302</f>
        <v>7.5</v>
      </c>
      <c r="J1302" s="5" t="n">
        <f aca="false">IF(G1302=0,"",I1302/G1302)</f>
        <v>0.0176661798652659</v>
      </c>
      <c r="K1302" s="0" t="n">
        <v>44.7</v>
      </c>
      <c r="L1302" s="0" t="n">
        <v>12.39</v>
      </c>
      <c r="M1302" s="11" t="s">
        <v>1332</v>
      </c>
      <c r="N1302" s="12" t="n">
        <f aca="false">INT(E1302)</f>
        <v>45776</v>
      </c>
      <c r="O1302" s="12" t="n">
        <f aca="false">IF(F1302="","",INT(F1302))</f>
        <v>45776</v>
      </c>
    </row>
    <row r="1303" customFormat="false" ht="15" hidden="false" customHeight="false" outlineLevel="0" collapsed="false">
      <c r="A1303" s="0" t="s">
        <v>2647</v>
      </c>
      <c r="B1303" s="0" t="s">
        <v>2648</v>
      </c>
      <c r="C1303" s="0" t="s">
        <v>20</v>
      </c>
      <c r="D1303" s="0" t="s">
        <v>42</v>
      </c>
      <c r="E1303" s="10" t="n">
        <v>45776.3263888889</v>
      </c>
      <c r="F1303" s="10" t="n">
        <v>45777.9902777778</v>
      </c>
      <c r="G1303" s="0" t="n">
        <v>679.74</v>
      </c>
      <c r="H1303" s="0" t="n">
        <v>675.12</v>
      </c>
      <c r="I1303" s="11" t="n">
        <f aca="false">H1303-G1303</f>
        <v>-4.62</v>
      </c>
      <c r="J1303" s="5" t="n">
        <f aca="false">IF(G1303=0,"",I1303/G1303)</f>
        <v>-0.00679671639156149</v>
      </c>
      <c r="K1303" s="0" t="n">
        <v>87.6</v>
      </c>
      <c r="L1303" s="0" t="n">
        <v>39.93</v>
      </c>
      <c r="M1303" s="11" t="s">
        <v>1332</v>
      </c>
      <c r="N1303" s="12" t="n">
        <f aca="false">INT(E1303)</f>
        <v>45776</v>
      </c>
      <c r="O1303" s="12" t="n">
        <f aca="false">IF(F1303="","",INT(F1303))</f>
        <v>45777</v>
      </c>
    </row>
    <row r="1304" customFormat="false" ht="15" hidden="false" customHeight="false" outlineLevel="0" collapsed="false">
      <c r="A1304" s="0" t="s">
        <v>2649</v>
      </c>
      <c r="B1304" s="0" t="s">
        <v>2650</v>
      </c>
      <c r="C1304" s="0" t="s">
        <v>21</v>
      </c>
      <c r="D1304" s="0" t="s">
        <v>42</v>
      </c>
      <c r="E1304" s="10" t="n">
        <v>45776.3340277778</v>
      </c>
      <c r="F1304" s="10" t="n">
        <v>45776.9145833333</v>
      </c>
      <c r="G1304" s="0" t="n">
        <v>377.87</v>
      </c>
      <c r="H1304" s="0" t="n">
        <v>377.02</v>
      </c>
      <c r="I1304" s="11" t="n">
        <f aca="false">H1304-G1304</f>
        <v>-0.850000000000023</v>
      </c>
      <c r="J1304" s="5" t="n">
        <f aca="false">IF(G1304=0,"",I1304/G1304)</f>
        <v>-0.00224945086934666</v>
      </c>
      <c r="K1304" s="0" t="n">
        <v>85.7</v>
      </c>
      <c r="L1304" s="0" t="n">
        <v>13.93</v>
      </c>
      <c r="M1304" s="11" t="s">
        <v>1332</v>
      </c>
      <c r="N1304" s="12" t="n">
        <f aca="false">INT(E1304)</f>
        <v>45776</v>
      </c>
      <c r="O1304" s="12" t="n">
        <f aca="false">IF(F1304="","",INT(F1304))</f>
        <v>45776</v>
      </c>
    </row>
    <row r="1305" customFormat="false" ht="15" hidden="false" customHeight="false" outlineLevel="0" collapsed="false">
      <c r="A1305" s="0" t="s">
        <v>2651</v>
      </c>
      <c r="B1305" s="0" t="s">
        <v>2652</v>
      </c>
      <c r="C1305" s="0" t="s">
        <v>19</v>
      </c>
      <c r="D1305" s="0" t="s">
        <v>42</v>
      </c>
      <c r="E1305" s="10" t="n">
        <v>45776.3652777778</v>
      </c>
      <c r="F1305" s="10" t="n">
        <v>45777.4451388889</v>
      </c>
      <c r="G1305" s="0" t="n">
        <v>244.93</v>
      </c>
      <c r="H1305" s="0" t="n">
        <v>243.61</v>
      </c>
      <c r="I1305" s="11" t="n">
        <f aca="false">H1305-G1305</f>
        <v>-1.31999999999999</v>
      </c>
      <c r="J1305" s="5" t="n">
        <f aca="false">IF(G1305=0,"",I1305/G1305)</f>
        <v>-0.00538929490058381</v>
      </c>
      <c r="K1305" s="0" t="n">
        <v>36.2</v>
      </c>
      <c r="L1305" s="0" t="n">
        <v>25.92</v>
      </c>
      <c r="M1305" s="11" t="s">
        <v>1332</v>
      </c>
      <c r="N1305" s="12" t="n">
        <f aca="false">INT(E1305)</f>
        <v>45776</v>
      </c>
      <c r="O1305" s="12" t="n">
        <f aca="false">IF(F1305="","",INT(F1305))</f>
        <v>45777</v>
      </c>
    </row>
    <row r="1306" customFormat="false" ht="15" hidden="false" customHeight="false" outlineLevel="0" collapsed="false">
      <c r="A1306" s="0" t="s">
        <v>2653</v>
      </c>
      <c r="B1306" s="0" t="s">
        <v>2654</v>
      </c>
      <c r="C1306" s="0" t="s">
        <v>23</v>
      </c>
      <c r="D1306" s="0" t="s">
        <v>42</v>
      </c>
      <c r="E1306" s="10" t="n">
        <v>45776.4034722222</v>
      </c>
      <c r="F1306" s="10" t="n">
        <v>45778.0381944445</v>
      </c>
      <c r="G1306" s="0" t="n">
        <v>274.31</v>
      </c>
      <c r="H1306" s="0" t="n">
        <v>266.31</v>
      </c>
      <c r="I1306" s="11" t="n">
        <f aca="false">H1306-G1306</f>
        <v>-8</v>
      </c>
      <c r="J1306" s="5" t="n">
        <f aca="false">IF(G1306=0,"",I1306/G1306)</f>
        <v>-0.0291640844300244</v>
      </c>
      <c r="K1306" s="0" t="n">
        <v>118.3</v>
      </c>
      <c r="L1306" s="0" t="n">
        <v>39.23</v>
      </c>
      <c r="M1306" s="11" t="s">
        <v>1332</v>
      </c>
      <c r="N1306" s="12" t="n">
        <f aca="false">INT(E1306)</f>
        <v>45776</v>
      </c>
      <c r="O1306" s="12" t="n">
        <f aca="false">IF(F1306="","",INT(F1306))</f>
        <v>45778</v>
      </c>
    </row>
    <row r="1307" customFormat="false" ht="15" hidden="false" customHeight="false" outlineLevel="0" collapsed="false">
      <c r="A1307" s="0" t="s">
        <v>2655</v>
      </c>
      <c r="B1307" s="0" t="s">
        <v>2656</v>
      </c>
      <c r="C1307" s="0" t="s">
        <v>23</v>
      </c>
      <c r="D1307" s="0" t="s">
        <v>42</v>
      </c>
      <c r="E1307" s="10" t="n">
        <v>45776.4604166667</v>
      </c>
      <c r="F1307" s="10" t="n">
        <v>45777.8916666667</v>
      </c>
      <c r="G1307" s="0" t="n">
        <v>2477.79</v>
      </c>
      <c r="H1307" s="0" t="n">
        <v>2494.41</v>
      </c>
      <c r="I1307" s="11" t="n">
        <f aca="false">H1307-G1307</f>
        <v>16.6199999999999</v>
      </c>
      <c r="J1307" s="5" t="n">
        <f aca="false">IF(G1307=0,"",I1307/G1307)</f>
        <v>0.00670759023161765</v>
      </c>
      <c r="K1307" s="0" t="n">
        <v>615.8</v>
      </c>
      <c r="L1307" s="0" t="n">
        <v>34.35</v>
      </c>
      <c r="M1307" s="11" t="s">
        <v>1332</v>
      </c>
      <c r="N1307" s="12" t="n">
        <f aca="false">INT(E1307)</f>
        <v>45776</v>
      </c>
      <c r="O1307" s="12" t="n">
        <f aca="false">IF(F1307="","",INT(F1307))</f>
        <v>45777</v>
      </c>
    </row>
    <row r="1308" customFormat="false" ht="15" hidden="false" customHeight="false" outlineLevel="0" collapsed="false">
      <c r="A1308" s="0" t="s">
        <v>2657</v>
      </c>
      <c r="B1308" s="0" t="s">
        <v>2658</v>
      </c>
      <c r="C1308" s="0" t="s">
        <v>19</v>
      </c>
      <c r="D1308" s="0" t="s">
        <v>42</v>
      </c>
      <c r="E1308" s="10" t="n">
        <v>45776.5145833333</v>
      </c>
      <c r="F1308" s="10" t="n">
        <v>45776.9152777778</v>
      </c>
      <c r="G1308" s="0" t="n">
        <v>527.65</v>
      </c>
      <c r="H1308" s="0" t="n">
        <v>529.99</v>
      </c>
      <c r="I1308" s="11" t="n">
        <f aca="false">H1308-G1308</f>
        <v>2.34000000000003</v>
      </c>
      <c r="J1308" s="5" t="n">
        <f aca="false">IF(G1308=0,"",I1308/G1308)</f>
        <v>0.00443475788875207</v>
      </c>
      <c r="K1308" s="0" t="n">
        <v>102.1</v>
      </c>
      <c r="L1308" s="0" t="n">
        <v>9.62</v>
      </c>
      <c r="M1308" s="11" t="s">
        <v>1332</v>
      </c>
      <c r="N1308" s="12" t="n">
        <f aca="false">INT(E1308)</f>
        <v>45776</v>
      </c>
      <c r="O1308" s="12" t="n">
        <f aca="false">IF(F1308="","",INT(F1308))</f>
        <v>45776</v>
      </c>
    </row>
    <row r="1309" customFormat="false" ht="15" hidden="false" customHeight="false" outlineLevel="0" collapsed="false">
      <c r="A1309" s="0" t="s">
        <v>2659</v>
      </c>
      <c r="B1309" s="0" t="s">
        <v>2660</v>
      </c>
      <c r="C1309" s="0" t="s">
        <v>20</v>
      </c>
      <c r="D1309" s="0" t="s">
        <v>42</v>
      </c>
      <c r="E1309" s="10" t="n">
        <v>45776.5145833333</v>
      </c>
      <c r="F1309" s="10" t="n">
        <v>45777.2284722222</v>
      </c>
      <c r="G1309" s="0" t="n">
        <v>159.36</v>
      </c>
      <c r="H1309" s="0" t="n">
        <v>159.07</v>
      </c>
      <c r="I1309" s="11" t="n">
        <f aca="false">H1309-G1309</f>
        <v>-0.29000000000002</v>
      </c>
      <c r="J1309" s="5" t="n">
        <f aca="false">IF(G1309=0,"",I1309/G1309)</f>
        <v>-0.00181977911646599</v>
      </c>
      <c r="K1309" s="0" t="n">
        <v>21.2</v>
      </c>
      <c r="L1309" s="0" t="n">
        <v>17.13</v>
      </c>
      <c r="M1309" s="11" t="s">
        <v>1332</v>
      </c>
      <c r="N1309" s="12" t="n">
        <f aca="false">INT(E1309)</f>
        <v>45776</v>
      </c>
      <c r="O1309" s="12" t="n">
        <f aca="false">IF(F1309="","",INT(F1309))</f>
        <v>45777</v>
      </c>
    </row>
    <row r="1310" customFormat="false" ht="15" hidden="false" customHeight="false" outlineLevel="0" collapsed="false">
      <c r="A1310" s="0" t="s">
        <v>2661</v>
      </c>
      <c r="B1310" s="0" t="s">
        <v>2662</v>
      </c>
      <c r="C1310" s="0" t="s">
        <v>23</v>
      </c>
      <c r="D1310" s="0" t="s">
        <v>42</v>
      </c>
      <c r="E1310" s="10" t="n">
        <v>45776.5180555556</v>
      </c>
      <c r="F1310" s="10" t="n">
        <v>45777.7090277778</v>
      </c>
      <c r="G1310" s="0" t="n">
        <v>789.83</v>
      </c>
      <c r="H1310" s="0" t="n">
        <v>963.74</v>
      </c>
      <c r="I1310" s="11" t="n">
        <f aca="false">H1310-G1310</f>
        <v>173.91</v>
      </c>
      <c r="J1310" s="5" t="n">
        <f aca="false">IF(G1310=0,"",I1310/G1310)</f>
        <v>0.22018662243774</v>
      </c>
      <c r="K1310" s="0" t="n">
        <v>233.9</v>
      </c>
      <c r="L1310" s="0" t="n">
        <v>28.58</v>
      </c>
      <c r="M1310" s="11" t="s">
        <v>1332</v>
      </c>
      <c r="N1310" s="12" t="n">
        <f aca="false">INT(E1310)</f>
        <v>45776</v>
      </c>
      <c r="O1310" s="12" t="n">
        <f aca="false">IF(F1310="","",INT(F1310))</f>
        <v>45777</v>
      </c>
    </row>
    <row r="1311" customFormat="false" ht="15" hidden="false" customHeight="false" outlineLevel="0" collapsed="false">
      <c r="A1311" s="0" t="s">
        <v>2663</v>
      </c>
      <c r="B1311" s="0" t="s">
        <v>2664</v>
      </c>
      <c r="C1311" s="0" t="s">
        <v>24</v>
      </c>
      <c r="D1311" s="0" t="s">
        <v>42</v>
      </c>
      <c r="E1311" s="10" t="n">
        <v>45776.5277777778</v>
      </c>
      <c r="F1311" s="10" t="n">
        <v>45777.3083333333</v>
      </c>
      <c r="G1311" s="0" t="n">
        <v>648.06</v>
      </c>
      <c r="H1311" s="0" t="n">
        <v>673.46</v>
      </c>
      <c r="I1311" s="11" t="n">
        <f aca="false">H1311-G1311</f>
        <v>25.4000000000001</v>
      </c>
      <c r="J1311" s="5" t="n">
        <f aca="false">IF(G1311=0,"",I1311/G1311)</f>
        <v>0.0391939017992163</v>
      </c>
      <c r="K1311" s="0" t="n">
        <v>234.3</v>
      </c>
      <c r="L1311" s="0" t="n">
        <v>18.73</v>
      </c>
      <c r="M1311" s="11" t="s">
        <v>1332</v>
      </c>
      <c r="N1311" s="12" t="n">
        <f aca="false">INT(E1311)</f>
        <v>45776</v>
      </c>
      <c r="O1311" s="12" t="n">
        <f aca="false">IF(F1311="","",INT(F1311))</f>
        <v>45777</v>
      </c>
    </row>
    <row r="1312" customFormat="false" ht="15" hidden="false" customHeight="false" outlineLevel="0" collapsed="false">
      <c r="A1312" s="0" t="s">
        <v>2665</v>
      </c>
      <c r="B1312" s="0" t="s">
        <v>2666</v>
      </c>
      <c r="C1312" s="0" t="s">
        <v>24</v>
      </c>
      <c r="D1312" s="0" t="s">
        <v>42</v>
      </c>
      <c r="E1312" s="10" t="n">
        <v>45776.5298611111</v>
      </c>
      <c r="F1312" s="10" t="n">
        <v>45777.2868055556</v>
      </c>
      <c r="G1312" s="0" t="n">
        <v>331.31</v>
      </c>
      <c r="H1312" s="0" t="n">
        <v>338.18</v>
      </c>
      <c r="I1312" s="11" t="n">
        <f aca="false">H1312-G1312</f>
        <v>6.87</v>
      </c>
      <c r="J1312" s="5" t="n">
        <f aca="false">IF(G1312=0,"",I1312/G1312)</f>
        <v>0.0207358667109354</v>
      </c>
      <c r="K1312" s="0" t="n">
        <v>123</v>
      </c>
      <c r="L1312" s="0" t="n">
        <v>18.17</v>
      </c>
      <c r="M1312" s="11" t="s">
        <v>1332</v>
      </c>
      <c r="N1312" s="12" t="n">
        <f aca="false">INT(E1312)</f>
        <v>45776</v>
      </c>
      <c r="O1312" s="12" t="n">
        <f aca="false">IF(F1312="","",INT(F1312))</f>
        <v>45777</v>
      </c>
    </row>
    <row r="1313" customFormat="false" ht="15" hidden="false" customHeight="false" outlineLevel="0" collapsed="false">
      <c r="A1313" s="0" t="s">
        <v>2667</v>
      </c>
      <c r="B1313" s="0" t="s">
        <v>2668</v>
      </c>
      <c r="C1313" s="0" t="s">
        <v>21</v>
      </c>
      <c r="D1313" s="0" t="s">
        <v>42</v>
      </c>
      <c r="E1313" s="10" t="n">
        <v>45776.5375</v>
      </c>
      <c r="F1313" s="10" t="n">
        <v>45777.1319444445</v>
      </c>
      <c r="G1313" s="0" t="n">
        <v>461.4</v>
      </c>
      <c r="H1313" s="0" t="n">
        <v>460.92</v>
      </c>
      <c r="I1313" s="11" t="n">
        <f aca="false">H1313-G1313</f>
        <v>-0.479999999999961</v>
      </c>
      <c r="J1313" s="5" t="n">
        <f aca="false">IF(G1313=0,"",I1313/G1313)</f>
        <v>-0.001040312093628</v>
      </c>
      <c r="K1313" s="0" t="n">
        <v>62.9</v>
      </c>
      <c r="L1313" s="0" t="n">
        <v>14.27</v>
      </c>
      <c r="M1313" s="11" t="s">
        <v>1332</v>
      </c>
      <c r="N1313" s="12" t="n">
        <f aca="false">INT(E1313)</f>
        <v>45776</v>
      </c>
      <c r="O1313" s="12" t="n">
        <f aca="false">IF(F1313="","",INT(F1313))</f>
        <v>45777</v>
      </c>
    </row>
    <row r="1314" customFormat="false" ht="15" hidden="false" customHeight="false" outlineLevel="0" collapsed="false">
      <c r="A1314" s="0" t="s">
        <v>2669</v>
      </c>
      <c r="B1314" s="0" t="s">
        <v>2670</v>
      </c>
      <c r="C1314" s="0" t="s">
        <v>21</v>
      </c>
      <c r="D1314" s="0" t="s">
        <v>42</v>
      </c>
      <c r="E1314" s="10" t="n">
        <v>45776.5673611111</v>
      </c>
      <c r="F1314" s="10" t="n">
        <v>45777.0879282407</v>
      </c>
      <c r="G1314" s="0" t="n">
        <v>194.2</v>
      </c>
      <c r="H1314" s="0" t="n">
        <v>196.91</v>
      </c>
      <c r="I1314" s="11" t="n">
        <f aca="false">H1314-G1314</f>
        <v>2.71000000000001</v>
      </c>
      <c r="J1314" s="5" t="n">
        <f aca="false">IF(G1314=0,"",I1314/G1314)</f>
        <v>0.0139546858908342</v>
      </c>
      <c r="K1314" s="0" t="n">
        <v>37.5</v>
      </c>
      <c r="L1314" s="0" t="n">
        <v>12.49</v>
      </c>
      <c r="M1314" s="11" t="s">
        <v>1332</v>
      </c>
      <c r="N1314" s="12" t="n">
        <f aca="false">INT(E1314)</f>
        <v>45776</v>
      </c>
      <c r="O1314" s="12" t="n">
        <f aca="false">IF(F1314="","",INT(F1314))</f>
        <v>45777</v>
      </c>
    </row>
    <row r="1315" customFormat="false" ht="15" hidden="false" customHeight="false" outlineLevel="0" collapsed="false">
      <c r="A1315" s="0" t="s">
        <v>2671</v>
      </c>
      <c r="B1315" s="0" t="s">
        <v>2672</v>
      </c>
      <c r="C1315" s="0" t="s">
        <v>20</v>
      </c>
      <c r="D1315" s="0" t="s">
        <v>48</v>
      </c>
      <c r="E1315" s="10" t="n">
        <v>45776.5868055556</v>
      </c>
      <c r="F1315" s="10"/>
      <c r="G1315" s="0" t="n">
        <v>267.25</v>
      </c>
      <c r="H1315" s="0" t="n">
        <v>277.65</v>
      </c>
      <c r="I1315" s="11" t="n">
        <f aca="false">H1315-G1315</f>
        <v>10.4</v>
      </c>
      <c r="J1315" s="5" t="n">
        <f aca="false">IF(G1315=0,"",I1315/G1315)</f>
        <v>0.0389148737137511</v>
      </c>
      <c r="K1315" s="0" t="n">
        <v>52.5</v>
      </c>
      <c r="M1315" s="11" t="s">
        <v>1332</v>
      </c>
      <c r="N1315" s="12" t="n">
        <f aca="false">INT(E1315)</f>
        <v>45776</v>
      </c>
      <c r="O1315" s="12" t="str">
        <f aca="false">IF(F1315="","",INT(F1315))</f>
        <v/>
      </c>
    </row>
    <row r="1316" customFormat="false" ht="15" hidden="false" customHeight="false" outlineLevel="0" collapsed="false">
      <c r="A1316" s="0" t="s">
        <v>2673</v>
      </c>
      <c r="B1316" s="0" t="s">
        <v>2674</v>
      </c>
      <c r="C1316" s="0" t="s">
        <v>21</v>
      </c>
      <c r="D1316" s="0" t="s">
        <v>42</v>
      </c>
      <c r="E1316" s="10" t="n">
        <v>45776.5888888889</v>
      </c>
      <c r="F1316" s="10" t="n">
        <v>45777.3715277778</v>
      </c>
      <c r="G1316" s="0" t="n">
        <v>198.75</v>
      </c>
      <c r="H1316" s="0" t="n">
        <v>196.23</v>
      </c>
      <c r="I1316" s="11" t="n">
        <f aca="false">H1316-G1316</f>
        <v>-2.52000000000001</v>
      </c>
      <c r="J1316" s="5" t="n">
        <f aca="false">IF(G1316=0,"",I1316/G1316)</f>
        <v>-0.0126792452830189</v>
      </c>
      <c r="K1316" s="0" t="n">
        <v>33.2</v>
      </c>
      <c r="L1316" s="0" t="n">
        <v>18.78</v>
      </c>
      <c r="M1316" s="11" t="s">
        <v>1332</v>
      </c>
      <c r="N1316" s="12" t="n">
        <f aca="false">INT(E1316)</f>
        <v>45776</v>
      </c>
      <c r="O1316" s="12" t="n">
        <f aca="false">IF(F1316="","",INT(F1316))</f>
        <v>45777</v>
      </c>
    </row>
    <row r="1317" customFormat="false" ht="15" hidden="false" customHeight="false" outlineLevel="0" collapsed="false">
      <c r="A1317" s="0" t="s">
        <v>2675</v>
      </c>
      <c r="B1317" s="0" t="s">
        <v>2676</v>
      </c>
      <c r="C1317" s="0" t="s">
        <v>20</v>
      </c>
      <c r="D1317" s="0" t="s">
        <v>42</v>
      </c>
      <c r="E1317" s="10" t="n">
        <v>45776.5930555556</v>
      </c>
      <c r="F1317" s="10" t="n">
        <v>45777.3620486111</v>
      </c>
      <c r="G1317" s="0" t="n">
        <v>784.46</v>
      </c>
      <c r="H1317" s="0" t="n">
        <v>773.35</v>
      </c>
      <c r="I1317" s="11" t="n">
        <f aca="false">H1317-G1317</f>
        <v>-11.11</v>
      </c>
      <c r="J1317" s="5" t="n">
        <f aca="false">IF(G1317=0,"",I1317/G1317)</f>
        <v>-0.0141626086734824</v>
      </c>
      <c r="K1317" s="0" t="n">
        <v>142.2</v>
      </c>
      <c r="L1317" s="0" t="n">
        <v>18.46</v>
      </c>
      <c r="M1317" s="11" t="s">
        <v>1332</v>
      </c>
      <c r="N1317" s="12" t="n">
        <f aca="false">INT(E1317)</f>
        <v>45776</v>
      </c>
      <c r="O1317" s="12" t="n">
        <f aca="false">IF(F1317="","",INT(F1317))</f>
        <v>45777</v>
      </c>
    </row>
    <row r="1318" customFormat="false" ht="15" hidden="false" customHeight="false" outlineLevel="0" collapsed="false">
      <c r="A1318" s="0" t="s">
        <v>2677</v>
      </c>
      <c r="B1318" s="0" t="s">
        <v>2678</v>
      </c>
      <c r="C1318" s="0" t="s">
        <v>23</v>
      </c>
      <c r="D1318" s="0" t="s">
        <v>42</v>
      </c>
      <c r="E1318" s="10" t="n">
        <v>45776.6194444444</v>
      </c>
      <c r="F1318" s="10" t="n">
        <v>45777.8861111111</v>
      </c>
      <c r="G1318" s="0" t="n">
        <v>414.09</v>
      </c>
      <c r="H1318" s="0" t="n">
        <v>425.46</v>
      </c>
      <c r="I1318" s="11" t="n">
        <f aca="false">H1318-G1318</f>
        <v>11.37</v>
      </c>
      <c r="J1318" s="5" t="n">
        <f aca="false">IF(G1318=0,"",I1318/G1318)</f>
        <v>0.0274577990291966</v>
      </c>
      <c r="K1318" s="0" t="n">
        <v>135.8</v>
      </c>
      <c r="L1318" s="0" t="n">
        <v>30.4</v>
      </c>
      <c r="M1318" s="11" t="s">
        <v>1332</v>
      </c>
      <c r="N1318" s="12" t="n">
        <f aca="false">INT(E1318)</f>
        <v>45776</v>
      </c>
      <c r="O1318" s="12" t="n">
        <f aca="false">IF(F1318="","",INT(F1318))</f>
        <v>45777</v>
      </c>
    </row>
    <row r="1319" customFormat="false" ht="15" hidden="false" customHeight="false" outlineLevel="0" collapsed="false">
      <c r="A1319" s="0" t="s">
        <v>2679</v>
      </c>
      <c r="B1319" s="0" t="s">
        <v>2680</v>
      </c>
      <c r="C1319" s="0" t="s">
        <v>21</v>
      </c>
      <c r="D1319" s="0" t="s">
        <v>42</v>
      </c>
      <c r="E1319" s="10" t="n">
        <v>45776.6291666667</v>
      </c>
      <c r="F1319" s="10" t="n">
        <v>45777.0701041667</v>
      </c>
      <c r="G1319" s="0" t="n">
        <v>188.89</v>
      </c>
      <c r="H1319" s="0" t="n">
        <v>190.38</v>
      </c>
      <c r="I1319" s="11" t="n">
        <f aca="false">H1319-G1319</f>
        <v>1.49000000000001</v>
      </c>
      <c r="J1319" s="5" t="n">
        <f aca="false">IF(G1319=0,"",I1319/G1319)</f>
        <v>0.00788818889300656</v>
      </c>
      <c r="K1319" s="0" t="n">
        <v>25.5</v>
      </c>
      <c r="L1319" s="0" t="n">
        <v>10.58</v>
      </c>
      <c r="M1319" s="11" t="s">
        <v>1332</v>
      </c>
      <c r="N1319" s="12" t="n">
        <f aca="false">INT(E1319)</f>
        <v>45776</v>
      </c>
      <c r="O1319" s="12" t="n">
        <f aca="false">IF(F1319="","",INT(F1319))</f>
        <v>45777</v>
      </c>
    </row>
    <row r="1320" customFormat="false" ht="15" hidden="false" customHeight="false" outlineLevel="0" collapsed="false">
      <c r="A1320" s="0" t="s">
        <v>2681</v>
      </c>
      <c r="B1320" s="0" t="s">
        <v>2682</v>
      </c>
      <c r="C1320" s="0" t="s">
        <v>23</v>
      </c>
      <c r="D1320" s="0" t="s">
        <v>42</v>
      </c>
      <c r="E1320" s="10" t="n">
        <v>45776.63125</v>
      </c>
      <c r="F1320" s="10" t="n">
        <v>45777.575</v>
      </c>
      <c r="G1320" s="0" t="n">
        <v>775.72</v>
      </c>
      <c r="H1320" s="0" t="n">
        <v>771.35</v>
      </c>
      <c r="I1320" s="11" t="n">
        <f aca="false">H1320-G1320</f>
        <v>-4.37</v>
      </c>
      <c r="J1320" s="5" t="n">
        <f aca="false">IF(G1320=0,"",I1320/G1320)</f>
        <v>-0.00563347599649359</v>
      </c>
      <c r="K1320" s="0" t="n">
        <v>323.3</v>
      </c>
      <c r="L1320" s="0" t="n">
        <v>22.65</v>
      </c>
      <c r="M1320" s="11" t="s">
        <v>1332</v>
      </c>
      <c r="N1320" s="12" t="n">
        <f aca="false">INT(E1320)</f>
        <v>45776</v>
      </c>
      <c r="O1320" s="12" t="n">
        <f aca="false">IF(F1320="","",INT(F1320))</f>
        <v>45777</v>
      </c>
    </row>
    <row r="1321" customFormat="false" ht="15" hidden="false" customHeight="false" outlineLevel="0" collapsed="false">
      <c r="A1321" s="0" t="s">
        <v>2683</v>
      </c>
      <c r="B1321" s="0" t="s">
        <v>2684</v>
      </c>
      <c r="C1321" s="0" t="s">
        <v>19</v>
      </c>
      <c r="D1321" s="0" t="s">
        <v>42</v>
      </c>
      <c r="E1321" s="10" t="n">
        <v>45776.6458333333</v>
      </c>
      <c r="F1321" s="10" t="n">
        <v>45779.5333217593</v>
      </c>
      <c r="G1321" s="0" t="n">
        <v>400.9</v>
      </c>
      <c r="H1321" s="0" t="n">
        <v>409.64</v>
      </c>
      <c r="I1321" s="11" t="n">
        <f aca="false">H1321-G1321</f>
        <v>8.74000000000001</v>
      </c>
      <c r="J1321" s="5" t="n">
        <f aca="false">IF(G1321=0,"",I1321/G1321)</f>
        <v>0.0218009478672986</v>
      </c>
      <c r="K1321" s="0" t="n">
        <v>62.4</v>
      </c>
      <c r="L1321" s="0" t="n">
        <v>69.3</v>
      </c>
      <c r="M1321" s="11" t="s">
        <v>1332</v>
      </c>
      <c r="N1321" s="12" t="n">
        <f aca="false">INT(E1321)</f>
        <v>45776</v>
      </c>
      <c r="O1321" s="12" t="n">
        <f aca="false">IF(F1321="","",INT(F1321))</f>
        <v>45779</v>
      </c>
    </row>
    <row r="1322" customFormat="false" ht="15" hidden="false" customHeight="false" outlineLevel="0" collapsed="false">
      <c r="A1322" s="0" t="s">
        <v>2685</v>
      </c>
      <c r="B1322" s="0" t="s">
        <v>2686</v>
      </c>
      <c r="C1322" s="0" t="s">
        <v>20</v>
      </c>
      <c r="D1322" s="0" t="s">
        <v>42</v>
      </c>
      <c r="E1322" s="10" t="n">
        <v>45776.6576388889</v>
      </c>
      <c r="F1322" s="10" t="n">
        <v>45777.6355787037</v>
      </c>
      <c r="G1322" s="0" t="n">
        <v>552.57</v>
      </c>
      <c r="H1322" s="0" t="n">
        <v>563.47</v>
      </c>
      <c r="I1322" s="11" t="n">
        <f aca="false">H1322-G1322</f>
        <v>10.9</v>
      </c>
      <c r="J1322" s="5" t="n">
        <f aca="false">IF(G1322=0,"",I1322/G1322)</f>
        <v>0.0197260075646524</v>
      </c>
      <c r="K1322" s="0" t="n">
        <v>61.8</v>
      </c>
      <c r="L1322" s="0" t="n">
        <v>23.47</v>
      </c>
      <c r="M1322" s="11" t="s">
        <v>1332</v>
      </c>
      <c r="N1322" s="12" t="n">
        <f aca="false">INT(E1322)</f>
        <v>45776</v>
      </c>
      <c r="O1322" s="12" t="n">
        <f aca="false">IF(F1322="","",INT(F1322))</f>
        <v>45777</v>
      </c>
    </row>
    <row r="1323" customFormat="false" ht="15" hidden="false" customHeight="false" outlineLevel="0" collapsed="false">
      <c r="A1323" s="0" t="s">
        <v>2687</v>
      </c>
      <c r="B1323" s="0" t="s">
        <v>2688</v>
      </c>
      <c r="C1323" s="0" t="s">
        <v>23</v>
      </c>
      <c r="D1323" s="0" t="s">
        <v>42</v>
      </c>
      <c r="E1323" s="10" t="n">
        <v>45776.6701388889</v>
      </c>
      <c r="F1323" s="10" t="n">
        <v>45777.947662037</v>
      </c>
      <c r="G1323" s="0" t="n">
        <v>104.6</v>
      </c>
      <c r="H1323" s="0" t="n">
        <v>105.37</v>
      </c>
      <c r="I1323" s="11" t="n">
        <f aca="false">H1323-G1323</f>
        <v>0.77000000000001</v>
      </c>
      <c r="J1323" s="5" t="n">
        <f aca="false">IF(G1323=0,"",I1323/G1323)</f>
        <v>0.00736137667304025</v>
      </c>
      <c r="K1323" s="0" t="n">
        <v>23.3</v>
      </c>
      <c r="L1323" s="0" t="n">
        <v>30.66</v>
      </c>
      <c r="M1323" s="11" t="s">
        <v>1332</v>
      </c>
      <c r="N1323" s="12" t="n">
        <f aca="false">INT(E1323)</f>
        <v>45776</v>
      </c>
      <c r="O1323" s="12" t="n">
        <f aca="false">IF(F1323="","",INT(F1323))</f>
        <v>45777</v>
      </c>
    </row>
    <row r="1324" customFormat="false" ht="15" hidden="false" customHeight="false" outlineLevel="0" collapsed="false">
      <c r="A1324" s="0" t="s">
        <v>2689</v>
      </c>
      <c r="B1324" s="0" t="s">
        <v>2690</v>
      </c>
      <c r="C1324" s="0" t="s">
        <v>21</v>
      </c>
      <c r="D1324" s="0" t="s">
        <v>42</v>
      </c>
      <c r="E1324" s="10" t="n">
        <v>45776.6875</v>
      </c>
      <c r="F1324" s="10" t="n">
        <v>45777.0791666667</v>
      </c>
      <c r="G1324" s="0" t="n">
        <v>674.9</v>
      </c>
      <c r="H1324" s="0" t="n">
        <v>689.61</v>
      </c>
      <c r="I1324" s="11" t="n">
        <f aca="false">H1324-G1324</f>
        <v>14.71</v>
      </c>
      <c r="J1324" s="5" t="n">
        <f aca="false">IF(G1324=0,"",I1324/G1324)</f>
        <v>0.0217958216032005</v>
      </c>
      <c r="K1324" s="0" t="n">
        <v>87.6</v>
      </c>
      <c r="L1324" s="0" t="n">
        <v>9.4</v>
      </c>
      <c r="M1324" s="11" t="s">
        <v>1332</v>
      </c>
      <c r="N1324" s="12" t="n">
        <f aca="false">INT(E1324)</f>
        <v>45776</v>
      </c>
      <c r="O1324" s="12" t="n">
        <f aca="false">IF(F1324="","",INT(F1324))</f>
        <v>45777</v>
      </c>
    </row>
    <row r="1325" customFormat="false" ht="15" hidden="false" customHeight="false" outlineLevel="0" collapsed="false">
      <c r="A1325" s="0" t="s">
        <v>2691</v>
      </c>
      <c r="B1325" s="0" t="s">
        <v>2692</v>
      </c>
      <c r="C1325" s="0" t="s">
        <v>24</v>
      </c>
      <c r="D1325" s="0" t="s">
        <v>42</v>
      </c>
      <c r="E1325" s="10" t="n">
        <v>45776.6881944445</v>
      </c>
      <c r="F1325" s="10" t="n">
        <v>45778.0457638889</v>
      </c>
      <c r="G1325" s="0" t="n">
        <v>1300.43</v>
      </c>
      <c r="H1325" s="0" t="n">
        <v>1284.81</v>
      </c>
      <c r="I1325" s="11" t="n">
        <f aca="false">H1325-G1325</f>
        <v>-15.6200000000001</v>
      </c>
      <c r="J1325" s="5" t="n">
        <f aca="false">IF(G1325=0,"",I1325/G1325)</f>
        <v>-0.012011411610006</v>
      </c>
      <c r="K1325" s="0" t="n">
        <v>523.9</v>
      </c>
      <c r="L1325" s="0" t="n">
        <v>32.58</v>
      </c>
      <c r="M1325" s="11" t="s">
        <v>1332</v>
      </c>
      <c r="N1325" s="12" t="n">
        <f aca="false">INT(E1325)</f>
        <v>45776</v>
      </c>
      <c r="O1325" s="12" t="n">
        <f aca="false">IF(F1325="","",INT(F1325))</f>
        <v>45778</v>
      </c>
    </row>
    <row r="1326" customFormat="false" ht="15" hidden="false" customHeight="false" outlineLevel="0" collapsed="false">
      <c r="A1326" s="0" t="s">
        <v>2693</v>
      </c>
      <c r="B1326" s="0" t="s">
        <v>2694</v>
      </c>
      <c r="C1326" s="0" t="s">
        <v>23</v>
      </c>
      <c r="D1326" s="0" t="s">
        <v>42</v>
      </c>
      <c r="E1326" s="10" t="n">
        <v>45776.7305555556</v>
      </c>
      <c r="F1326" s="10" t="n">
        <v>45777.8493055556</v>
      </c>
      <c r="G1326" s="0" t="n">
        <v>787.21</v>
      </c>
      <c r="H1326" s="0" t="n">
        <v>793.51</v>
      </c>
      <c r="I1326" s="11" t="n">
        <f aca="false">H1326-G1326</f>
        <v>6.29999999999995</v>
      </c>
      <c r="J1326" s="5" t="n">
        <f aca="false">IF(G1326=0,"",I1326/G1326)</f>
        <v>0.00800294711703352</v>
      </c>
      <c r="K1326" s="0" t="n">
        <v>252.9</v>
      </c>
      <c r="L1326" s="0" t="n">
        <v>26.85</v>
      </c>
      <c r="M1326" s="11" t="s">
        <v>1332</v>
      </c>
      <c r="N1326" s="12" t="n">
        <f aca="false">INT(E1326)</f>
        <v>45776</v>
      </c>
      <c r="O1326" s="12" t="n">
        <f aca="false">IF(F1326="","",INT(F1326))</f>
        <v>45777</v>
      </c>
    </row>
    <row r="1327" customFormat="false" ht="15" hidden="false" customHeight="false" outlineLevel="0" collapsed="false">
      <c r="A1327" s="0" t="s">
        <v>2695</v>
      </c>
      <c r="B1327" s="0" t="s">
        <v>2696</v>
      </c>
      <c r="C1327" s="0" t="s">
        <v>21</v>
      </c>
      <c r="D1327" s="0" t="s">
        <v>42</v>
      </c>
      <c r="E1327" s="10" t="n">
        <v>45776.7347222222</v>
      </c>
      <c r="F1327" s="10" t="n">
        <v>45777.1138888889</v>
      </c>
      <c r="G1327" s="0" t="n">
        <v>173.99</v>
      </c>
      <c r="H1327" s="0" t="n">
        <v>176.03</v>
      </c>
      <c r="I1327" s="11" t="n">
        <f aca="false">H1327-G1327</f>
        <v>2.03999999999999</v>
      </c>
      <c r="J1327" s="5" t="n">
        <f aca="false">IF(G1327=0,"",I1327/G1327)</f>
        <v>0.0117248117707914</v>
      </c>
      <c r="K1327" s="0" t="n">
        <v>29.3</v>
      </c>
      <c r="L1327" s="0" t="n">
        <v>9.1</v>
      </c>
      <c r="M1327" s="11" t="s">
        <v>1332</v>
      </c>
      <c r="N1327" s="12" t="n">
        <f aca="false">INT(E1327)</f>
        <v>45776</v>
      </c>
      <c r="O1327" s="12" t="n">
        <f aca="false">IF(F1327="","",INT(F1327))</f>
        <v>45777</v>
      </c>
    </row>
    <row r="1328" customFormat="false" ht="15" hidden="false" customHeight="false" outlineLevel="0" collapsed="false">
      <c r="A1328" s="0" t="s">
        <v>2697</v>
      </c>
      <c r="B1328" s="0" t="s">
        <v>2698</v>
      </c>
      <c r="C1328" s="0" t="s">
        <v>20</v>
      </c>
      <c r="D1328" s="0" t="s">
        <v>42</v>
      </c>
      <c r="E1328" s="10" t="n">
        <v>45776.7375</v>
      </c>
      <c r="F1328" s="10" t="n">
        <v>45777.6208333333</v>
      </c>
      <c r="G1328" s="0" t="n">
        <v>640.99</v>
      </c>
      <c r="H1328" s="0" t="n">
        <v>750.89</v>
      </c>
      <c r="I1328" s="11" t="n">
        <f aca="false">H1328-G1328</f>
        <v>109.9</v>
      </c>
      <c r="J1328" s="5" t="n">
        <f aca="false">IF(G1328=0,"",I1328/G1328)</f>
        <v>0.171453532816425</v>
      </c>
      <c r="K1328" s="0" t="n">
        <v>122.2</v>
      </c>
      <c r="L1328" s="0" t="n">
        <v>21.2</v>
      </c>
      <c r="M1328" s="11" t="s">
        <v>1332</v>
      </c>
      <c r="N1328" s="12" t="n">
        <f aca="false">INT(E1328)</f>
        <v>45776</v>
      </c>
      <c r="O1328" s="12" t="n">
        <f aca="false">IF(F1328="","",INT(F1328))</f>
        <v>45777</v>
      </c>
    </row>
    <row r="1329" customFormat="false" ht="15" hidden="false" customHeight="false" outlineLevel="0" collapsed="false">
      <c r="A1329" s="0" t="s">
        <v>2699</v>
      </c>
      <c r="B1329" s="0" t="s">
        <v>2700</v>
      </c>
      <c r="C1329" s="0" t="s">
        <v>23</v>
      </c>
      <c r="D1329" s="0" t="s">
        <v>42</v>
      </c>
      <c r="E1329" s="10" t="n">
        <v>45776.7409722222</v>
      </c>
      <c r="F1329" s="10" t="n">
        <v>45778.1012962963</v>
      </c>
      <c r="G1329" s="0" t="n">
        <v>1364.99</v>
      </c>
      <c r="H1329" s="0" t="n">
        <v>1345.67</v>
      </c>
      <c r="I1329" s="11" t="n">
        <f aca="false">H1329-G1329</f>
        <v>-19.3199999999999</v>
      </c>
      <c r="J1329" s="5" t="n">
        <f aca="false">IF(G1329=0,"",I1329/G1329)</f>
        <v>-0.0141539498457864</v>
      </c>
      <c r="K1329" s="0" t="n">
        <v>555.9</v>
      </c>
      <c r="L1329" s="0" t="n">
        <v>32.65</v>
      </c>
      <c r="M1329" s="11" t="s">
        <v>1332</v>
      </c>
      <c r="N1329" s="12" t="n">
        <f aca="false">INT(E1329)</f>
        <v>45776</v>
      </c>
      <c r="O1329" s="12" t="n">
        <f aca="false">IF(F1329="","",INT(F1329))</f>
        <v>45778</v>
      </c>
    </row>
    <row r="1330" customFormat="false" ht="15" hidden="false" customHeight="false" outlineLevel="0" collapsed="false">
      <c r="A1330" s="0" t="s">
        <v>2701</v>
      </c>
      <c r="B1330" s="0" t="s">
        <v>2702</v>
      </c>
      <c r="C1330" s="0" t="s">
        <v>21</v>
      </c>
      <c r="D1330" s="0" t="s">
        <v>42</v>
      </c>
      <c r="E1330" s="10" t="n">
        <v>45776.7444444444</v>
      </c>
      <c r="F1330" s="10" t="n">
        <v>45776.9652777778</v>
      </c>
      <c r="G1330" s="0" t="n">
        <v>1600.43</v>
      </c>
      <c r="H1330" s="0" t="n">
        <v>1614.3</v>
      </c>
      <c r="I1330" s="11" t="n">
        <f aca="false">H1330-G1330</f>
        <v>13.8699999999999</v>
      </c>
      <c r="J1330" s="5" t="n">
        <f aca="false">IF(G1330=0,"",I1330/G1330)</f>
        <v>0.00866642089938322</v>
      </c>
      <c r="K1330" s="0" t="n">
        <v>249</v>
      </c>
      <c r="L1330" s="0" t="n">
        <v>5.3</v>
      </c>
      <c r="M1330" s="11" t="s">
        <v>1332</v>
      </c>
      <c r="N1330" s="12" t="n">
        <f aca="false">INT(E1330)</f>
        <v>45776</v>
      </c>
      <c r="O1330" s="12" t="n">
        <f aca="false">IF(F1330="","",INT(F1330))</f>
        <v>45776</v>
      </c>
    </row>
    <row r="1331" customFormat="false" ht="15" hidden="false" customHeight="false" outlineLevel="0" collapsed="false">
      <c r="A1331" s="0" t="s">
        <v>2703</v>
      </c>
      <c r="B1331" s="0" t="s">
        <v>2704</v>
      </c>
      <c r="C1331" s="0" t="s">
        <v>20</v>
      </c>
      <c r="D1331" s="0" t="s">
        <v>42</v>
      </c>
      <c r="E1331" s="10" t="n">
        <v>45776.7493055556</v>
      </c>
      <c r="F1331" s="10" t="n">
        <v>45778.4430555556</v>
      </c>
      <c r="G1331" s="0" t="n">
        <v>223.67</v>
      </c>
      <c r="H1331" s="0" t="n">
        <v>220.17</v>
      </c>
      <c r="I1331" s="11" t="n">
        <f aca="false">H1331-G1331</f>
        <v>-3.5</v>
      </c>
      <c r="J1331" s="5" t="n">
        <f aca="false">IF(G1331=0,"",I1331/G1331)</f>
        <v>-0.0156480529351276</v>
      </c>
      <c r="K1331" s="0" t="n">
        <v>32.1</v>
      </c>
      <c r="L1331" s="0" t="n">
        <v>40.65</v>
      </c>
      <c r="M1331" s="11" t="s">
        <v>1332</v>
      </c>
      <c r="N1331" s="12" t="n">
        <f aca="false">INT(E1331)</f>
        <v>45776</v>
      </c>
      <c r="O1331" s="12" t="n">
        <f aca="false">IF(F1331="","",INT(F1331))</f>
        <v>45778</v>
      </c>
    </row>
    <row r="1332" customFormat="false" ht="15" hidden="false" customHeight="false" outlineLevel="0" collapsed="false">
      <c r="A1332" s="0" t="s">
        <v>2705</v>
      </c>
      <c r="B1332" s="0" t="s">
        <v>2706</v>
      </c>
      <c r="C1332" s="0" t="s">
        <v>24</v>
      </c>
      <c r="D1332" s="0" t="s">
        <v>42</v>
      </c>
      <c r="E1332" s="10" t="n">
        <v>45776.7652777778</v>
      </c>
      <c r="F1332" s="10" t="n">
        <v>45777.2430555556</v>
      </c>
      <c r="G1332" s="0" t="n">
        <v>471.69</v>
      </c>
      <c r="H1332" s="0" t="n">
        <v>470.77</v>
      </c>
      <c r="I1332" s="11" t="n">
        <f aca="false">H1332-G1332</f>
        <v>-0.920000000000016</v>
      </c>
      <c r="J1332" s="5" t="n">
        <f aca="false">IF(G1332=0,"",I1332/G1332)</f>
        <v>-0.00195043354745705</v>
      </c>
      <c r="K1332" s="0" t="n">
        <v>174.5</v>
      </c>
      <c r="L1332" s="0" t="n">
        <v>11.47</v>
      </c>
      <c r="M1332" s="11" t="s">
        <v>1332</v>
      </c>
      <c r="N1332" s="12" t="n">
        <f aca="false">INT(E1332)</f>
        <v>45776</v>
      </c>
      <c r="O1332" s="12" t="n">
        <f aca="false">IF(F1332="","",INT(F1332))</f>
        <v>45777</v>
      </c>
    </row>
    <row r="1333" customFormat="false" ht="15" hidden="false" customHeight="false" outlineLevel="0" collapsed="false">
      <c r="A1333" s="0" t="s">
        <v>2707</v>
      </c>
      <c r="B1333" s="0" t="s">
        <v>2708</v>
      </c>
      <c r="C1333" s="0" t="s">
        <v>21</v>
      </c>
      <c r="D1333" s="0" t="s">
        <v>42</v>
      </c>
      <c r="E1333" s="10" t="n">
        <v>45776.7652777778</v>
      </c>
      <c r="F1333" s="10" t="n">
        <v>45777.4097222222</v>
      </c>
      <c r="G1333" s="0" t="n">
        <v>1312.45</v>
      </c>
      <c r="H1333" s="0" t="n">
        <v>1319.83</v>
      </c>
      <c r="I1333" s="11" t="n">
        <f aca="false">H1333-G1333</f>
        <v>7.37999999999988</v>
      </c>
      <c r="J1333" s="5" t="n">
        <f aca="false">IF(G1333=0,"",I1333/G1333)</f>
        <v>0.00562307135509915</v>
      </c>
      <c r="K1333" s="0" t="n">
        <v>317.9</v>
      </c>
      <c r="L1333" s="0" t="n">
        <v>15.47</v>
      </c>
      <c r="M1333" s="11" t="s">
        <v>1332</v>
      </c>
      <c r="N1333" s="12" t="n">
        <f aca="false">INT(E1333)</f>
        <v>45776</v>
      </c>
      <c r="O1333" s="12" t="n">
        <f aca="false">IF(F1333="","",INT(F1333))</f>
        <v>45777</v>
      </c>
    </row>
    <row r="1334" customFormat="false" ht="15" hidden="false" customHeight="false" outlineLevel="0" collapsed="false">
      <c r="A1334" s="0" t="s">
        <v>2709</v>
      </c>
      <c r="B1334" s="0" t="s">
        <v>2710</v>
      </c>
      <c r="C1334" s="0" t="s">
        <v>22</v>
      </c>
      <c r="D1334" s="0" t="s">
        <v>42</v>
      </c>
      <c r="E1334" s="10" t="n">
        <v>45776.7805555556</v>
      </c>
      <c r="F1334" s="10" t="n">
        <v>45777.2186458333</v>
      </c>
      <c r="G1334" s="0" t="n">
        <v>279.12</v>
      </c>
      <c r="H1334" s="0" t="n">
        <v>240.41</v>
      </c>
      <c r="I1334" s="11" t="n">
        <f aca="false">H1334-G1334</f>
        <v>-38.71</v>
      </c>
      <c r="J1334" s="5" t="n">
        <f aca="false">IF(G1334=0,"",I1334/G1334)</f>
        <v>-0.138685869876756</v>
      </c>
      <c r="K1334" s="0" t="n">
        <v>31.9</v>
      </c>
      <c r="L1334" s="0" t="n">
        <v>10.51</v>
      </c>
      <c r="M1334" s="11" t="s">
        <v>1332</v>
      </c>
      <c r="N1334" s="12" t="n">
        <f aca="false">INT(E1334)</f>
        <v>45776</v>
      </c>
      <c r="O1334" s="12" t="n">
        <f aca="false">IF(F1334="","",INT(F1334))</f>
        <v>45777</v>
      </c>
    </row>
    <row r="1335" customFormat="false" ht="15" hidden="false" customHeight="false" outlineLevel="0" collapsed="false">
      <c r="A1335" s="0" t="s">
        <v>2711</v>
      </c>
      <c r="B1335" s="0" t="s">
        <v>2712</v>
      </c>
      <c r="C1335" s="0" t="s">
        <v>23</v>
      </c>
      <c r="D1335" s="0" t="s">
        <v>42</v>
      </c>
      <c r="E1335" s="10" t="n">
        <v>45776.7833333333</v>
      </c>
      <c r="F1335" s="10" t="n">
        <v>45779.05625</v>
      </c>
      <c r="G1335" s="0" t="n">
        <v>814.91</v>
      </c>
      <c r="H1335" s="0" t="n">
        <v>801.74</v>
      </c>
      <c r="I1335" s="11" t="n">
        <f aca="false">H1335-G1335</f>
        <v>-13.17</v>
      </c>
      <c r="J1335" s="5" t="n">
        <f aca="false">IF(G1335=0,"",I1335/G1335)</f>
        <v>-0.0161612938852143</v>
      </c>
      <c r="K1335" s="0" t="n">
        <v>343.3</v>
      </c>
      <c r="L1335" s="0" t="n">
        <v>54.55</v>
      </c>
      <c r="M1335" s="11" t="s">
        <v>1332</v>
      </c>
      <c r="N1335" s="12" t="n">
        <f aca="false">INT(E1335)</f>
        <v>45776</v>
      </c>
      <c r="O1335" s="12" t="n">
        <f aca="false">IF(F1335="","",INT(F1335))</f>
        <v>45779</v>
      </c>
    </row>
    <row r="1336" customFormat="false" ht="15" hidden="false" customHeight="false" outlineLevel="0" collapsed="false">
      <c r="A1336" s="0" t="s">
        <v>2713</v>
      </c>
      <c r="B1336" s="0" t="s">
        <v>2714</v>
      </c>
      <c r="C1336" s="0" t="s">
        <v>22</v>
      </c>
      <c r="D1336" s="0" t="s">
        <v>42</v>
      </c>
      <c r="E1336" s="10" t="n">
        <v>45777.3159722222</v>
      </c>
      <c r="F1336" s="10" t="n">
        <v>45778.2673611111</v>
      </c>
      <c r="G1336" s="0" t="n">
        <v>834.47</v>
      </c>
      <c r="H1336" s="0" t="n">
        <v>832.59</v>
      </c>
      <c r="I1336" s="11" t="n">
        <f aca="false">H1336-G1336</f>
        <v>-1.88</v>
      </c>
      <c r="J1336" s="5" t="n">
        <f aca="false">IF(G1336=0,"",I1336/G1336)</f>
        <v>-0.00225292700756168</v>
      </c>
      <c r="K1336" s="0" t="n">
        <v>126</v>
      </c>
      <c r="L1336" s="0" t="n">
        <v>22.83</v>
      </c>
      <c r="M1336" s="11" t="s">
        <v>1332</v>
      </c>
      <c r="N1336" s="12" t="n">
        <f aca="false">INT(E1336)</f>
        <v>45777</v>
      </c>
      <c r="O1336" s="12" t="n">
        <f aca="false">IF(F1336="","",INT(F1336))</f>
        <v>45778</v>
      </c>
    </row>
    <row r="1337" customFormat="false" ht="15" hidden="false" customHeight="false" outlineLevel="0" collapsed="false">
      <c r="A1337" s="0" t="s">
        <v>2715</v>
      </c>
      <c r="B1337" s="0" t="s">
        <v>2716</v>
      </c>
      <c r="C1337" s="0" t="s">
        <v>21</v>
      </c>
      <c r="D1337" s="0" t="s">
        <v>42</v>
      </c>
      <c r="E1337" s="10" t="n">
        <v>45777.3215277778</v>
      </c>
      <c r="F1337" s="10" t="n">
        <v>45779.475</v>
      </c>
      <c r="G1337" s="0" t="n">
        <v>208.45</v>
      </c>
      <c r="H1337" s="0" t="n">
        <v>214.27</v>
      </c>
      <c r="I1337" s="11" t="n">
        <f aca="false">H1337-G1337</f>
        <v>5.82000000000002</v>
      </c>
      <c r="J1337" s="5" t="n">
        <f aca="false">IF(G1337=0,"",I1337/G1337)</f>
        <v>0.0279203645958264</v>
      </c>
      <c r="K1337" s="0" t="n">
        <v>32.6</v>
      </c>
      <c r="L1337" s="0" t="n">
        <v>51.68</v>
      </c>
      <c r="M1337" s="11" t="s">
        <v>1332</v>
      </c>
      <c r="N1337" s="12" t="n">
        <f aca="false">INT(E1337)</f>
        <v>45777</v>
      </c>
      <c r="O1337" s="12" t="n">
        <f aca="false">IF(F1337="","",INT(F1337))</f>
        <v>45779</v>
      </c>
    </row>
    <row r="1338" customFormat="false" ht="15" hidden="false" customHeight="false" outlineLevel="0" collapsed="false">
      <c r="A1338" s="0" t="s">
        <v>2717</v>
      </c>
      <c r="B1338" s="0" t="s">
        <v>2718</v>
      </c>
      <c r="C1338" s="0" t="s">
        <v>23</v>
      </c>
      <c r="D1338" s="0" t="s">
        <v>42</v>
      </c>
      <c r="E1338" s="10" t="n">
        <v>45777.3222222222</v>
      </c>
      <c r="F1338" s="10" t="n">
        <v>45778.3177662037</v>
      </c>
      <c r="G1338" s="0" t="n">
        <v>711.4</v>
      </c>
      <c r="H1338" s="0" t="n">
        <v>700.01</v>
      </c>
      <c r="I1338" s="11" t="n">
        <f aca="false">H1338-G1338</f>
        <v>-11.39</v>
      </c>
      <c r="J1338" s="5" t="n">
        <f aca="false">IF(G1338=0,"",I1338/G1338)</f>
        <v>-0.0160106831599662</v>
      </c>
      <c r="K1338" s="0" t="n">
        <v>247.1</v>
      </c>
      <c r="L1338" s="0" t="n">
        <v>23.89</v>
      </c>
      <c r="M1338" s="11" t="s">
        <v>1332</v>
      </c>
      <c r="N1338" s="12" t="n">
        <f aca="false">INT(E1338)</f>
        <v>45777</v>
      </c>
      <c r="O1338" s="12" t="n">
        <f aca="false">IF(F1338="","",INT(F1338))</f>
        <v>45778</v>
      </c>
    </row>
    <row r="1339" customFormat="false" ht="15" hidden="false" customHeight="false" outlineLevel="0" collapsed="false">
      <c r="A1339" s="0" t="s">
        <v>2719</v>
      </c>
      <c r="B1339" s="0" t="s">
        <v>2720</v>
      </c>
      <c r="C1339" s="0" t="s">
        <v>21</v>
      </c>
      <c r="D1339" s="0" t="s">
        <v>48</v>
      </c>
      <c r="E1339" s="10" t="n">
        <v>45777.3465277778</v>
      </c>
      <c r="F1339" s="10"/>
      <c r="G1339" s="0" t="n">
        <v>422.49</v>
      </c>
      <c r="H1339" s="0" t="n">
        <v>421.13</v>
      </c>
      <c r="I1339" s="11" t="n">
        <f aca="false">H1339-G1339</f>
        <v>-1.36000000000001</v>
      </c>
      <c r="J1339" s="5" t="n">
        <f aca="false">IF(G1339=0,"",I1339/G1339)</f>
        <v>-0.00321901110085449</v>
      </c>
      <c r="K1339" s="0" t="n">
        <v>86.2</v>
      </c>
      <c r="M1339" s="11" t="s">
        <v>1332</v>
      </c>
      <c r="N1339" s="12" t="n">
        <f aca="false">INT(E1339)</f>
        <v>45777</v>
      </c>
      <c r="O1339" s="12" t="str">
        <f aca="false">IF(F1339="","",INT(F1339))</f>
        <v/>
      </c>
    </row>
    <row r="1340" customFormat="false" ht="15" hidden="false" customHeight="false" outlineLevel="0" collapsed="false">
      <c r="A1340" s="0" t="s">
        <v>2721</v>
      </c>
      <c r="B1340" s="0" t="s">
        <v>2722</v>
      </c>
      <c r="C1340" s="0" t="s">
        <v>20</v>
      </c>
      <c r="D1340" s="0" t="s">
        <v>42</v>
      </c>
      <c r="E1340" s="10" t="n">
        <v>45777.35625</v>
      </c>
      <c r="F1340" s="10" t="n">
        <v>45778.9117592593</v>
      </c>
      <c r="G1340" s="0" t="n">
        <v>418.19</v>
      </c>
      <c r="H1340" s="0" t="n">
        <v>410.44</v>
      </c>
      <c r="I1340" s="11" t="n">
        <f aca="false">H1340-G1340</f>
        <v>-7.75</v>
      </c>
      <c r="J1340" s="5" t="n">
        <f aca="false">IF(G1340=0,"",I1340/G1340)</f>
        <v>-0.0185322461082283</v>
      </c>
      <c r="K1340" s="0" t="n">
        <v>84.6</v>
      </c>
      <c r="L1340" s="0" t="n">
        <v>37.33</v>
      </c>
      <c r="M1340" s="11" t="s">
        <v>1332</v>
      </c>
      <c r="N1340" s="12" t="n">
        <f aca="false">INT(E1340)</f>
        <v>45777</v>
      </c>
      <c r="O1340" s="12" t="n">
        <f aca="false">IF(F1340="","",INT(F1340))</f>
        <v>45778</v>
      </c>
    </row>
    <row r="1341" customFormat="false" ht="15" hidden="false" customHeight="false" outlineLevel="0" collapsed="false">
      <c r="A1341" s="0" t="s">
        <v>2723</v>
      </c>
      <c r="B1341" s="0" t="s">
        <v>2724</v>
      </c>
      <c r="C1341" s="0" t="s">
        <v>23</v>
      </c>
      <c r="D1341" s="0" t="s">
        <v>42</v>
      </c>
      <c r="E1341" s="10" t="n">
        <v>45777.3631944444</v>
      </c>
      <c r="F1341" s="10" t="n">
        <v>45778.4673611111</v>
      </c>
      <c r="G1341" s="0" t="n">
        <v>865.18</v>
      </c>
      <c r="H1341" s="0" t="n">
        <v>869.89</v>
      </c>
      <c r="I1341" s="11" t="n">
        <f aca="false">H1341-G1341</f>
        <v>4.71000000000004</v>
      </c>
      <c r="J1341" s="5" t="n">
        <f aca="false">IF(G1341=0,"",I1341/G1341)</f>
        <v>0.00544395385931256</v>
      </c>
      <c r="K1341" s="0" t="n">
        <v>299.8</v>
      </c>
      <c r="L1341" s="0" t="n">
        <v>26.5</v>
      </c>
      <c r="M1341" s="11" t="s">
        <v>1332</v>
      </c>
      <c r="N1341" s="12" t="n">
        <f aca="false">INT(E1341)</f>
        <v>45777</v>
      </c>
      <c r="O1341" s="12" t="n">
        <f aca="false">IF(F1341="","",INT(F1341))</f>
        <v>45778</v>
      </c>
    </row>
    <row r="1342" customFormat="false" ht="15" hidden="false" customHeight="false" outlineLevel="0" collapsed="false">
      <c r="A1342" s="0" t="s">
        <v>2725</v>
      </c>
      <c r="B1342" s="0" t="s">
        <v>2726</v>
      </c>
      <c r="C1342" s="0" t="s">
        <v>24</v>
      </c>
      <c r="D1342" s="0" t="s">
        <v>42</v>
      </c>
      <c r="E1342" s="10" t="n">
        <v>45777.3833333333</v>
      </c>
      <c r="F1342" s="10" t="n">
        <v>45778.2222222222</v>
      </c>
      <c r="G1342" s="0" t="n">
        <v>90.23</v>
      </c>
      <c r="H1342" s="0" t="n">
        <v>90.21</v>
      </c>
      <c r="I1342" s="11" t="n">
        <f aca="false">H1342-G1342</f>
        <v>-0.0200000000000102</v>
      </c>
      <c r="J1342" s="5" t="n">
        <f aca="false">IF(G1342=0,"",I1342/G1342)</f>
        <v>-0.000221655768591491</v>
      </c>
      <c r="K1342" s="0" t="n">
        <v>18.1</v>
      </c>
      <c r="L1342" s="0" t="n">
        <v>20.13</v>
      </c>
      <c r="M1342" s="11" t="s">
        <v>1332</v>
      </c>
      <c r="N1342" s="12" t="n">
        <f aca="false">INT(E1342)</f>
        <v>45777</v>
      </c>
      <c r="O1342" s="12" t="n">
        <f aca="false">IF(F1342="","",INT(F1342))</f>
        <v>45778</v>
      </c>
    </row>
    <row r="1343" customFormat="false" ht="15" hidden="false" customHeight="false" outlineLevel="0" collapsed="false">
      <c r="A1343" s="0" t="s">
        <v>2727</v>
      </c>
      <c r="B1343" s="0" t="s">
        <v>2728</v>
      </c>
      <c r="C1343" s="0" t="s">
        <v>20</v>
      </c>
      <c r="D1343" s="0" t="s">
        <v>303</v>
      </c>
      <c r="E1343" s="10" t="n">
        <v>45777.3847222222</v>
      </c>
      <c r="F1343" s="10"/>
      <c r="G1343" s="0" t="n">
        <v>641.87</v>
      </c>
      <c r="H1343" s="0" t="n">
        <v>642.3</v>
      </c>
      <c r="I1343" s="11" t="n">
        <f aca="false">H1343-G1343</f>
        <v>0.42999999999995</v>
      </c>
      <c r="J1343" s="5" t="n">
        <f aca="false">IF(G1343=0,"",I1343/G1343)</f>
        <v>0.000669917584557543</v>
      </c>
      <c r="K1343" s="0" t="n">
        <v>117.6</v>
      </c>
      <c r="M1343" s="11" t="s">
        <v>1332</v>
      </c>
      <c r="N1343" s="12" t="n">
        <f aca="false">INT(E1343)</f>
        <v>45777</v>
      </c>
      <c r="O1343" s="12" t="str">
        <f aca="false">IF(F1343="","",INT(F1343))</f>
        <v/>
      </c>
    </row>
    <row r="1344" customFormat="false" ht="15" hidden="false" customHeight="false" outlineLevel="0" collapsed="false">
      <c r="A1344" s="0" t="s">
        <v>2729</v>
      </c>
      <c r="B1344" s="0" t="s">
        <v>2730</v>
      </c>
      <c r="C1344" s="0" t="s">
        <v>19</v>
      </c>
      <c r="D1344" s="0" t="s">
        <v>42</v>
      </c>
      <c r="E1344" s="10" t="n">
        <v>45777.3868055556</v>
      </c>
      <c r="F1344" s="10" t="n">
        <v>45782.2701388889</v>
      </c>
      <c r="G1344" s="0" t="n">
        <v>124.5</v>
      </c>
      <c r="H1344" s="0" t="n">
        <v>136.02</v>
      </c>
      <c r="I1344" s="11" t="n">
        <f aca="false">H1344-G1344</f>
        <v>11.52</v>
      </c>
      <c r="J1344" s="5" t="n">
        <f aca="false">IF(G1344=0,"",I1344/G1344)</f>
        <v>0.0925301204819278</v>
      </c>
      <c r="K1344" s="0" t="n">
        <v>16.7</v>
      </c>
      <c r="L1344" s="0" t="n">
        <v>69.2</v>
      </c>
      <c r="M1344" s="11" t="s">
        <v>1332</v>
      </c>
      <c r="N1344" s="12" t="n">
        <f aca="false">INT(E1344)</f>
        <v>45777</v>
      </c>
      <c r="O1344" s="12" t="n">
        <f aca="false">IF(F1344="","",INT(F1344))</f>
        <v>45782</v>
      </c>
    </row>
    <row r="1345" customFormat="false" ht="15" hidden="false" customHeight="false" outlineLevel="0" collapsed="false">
      <c r="A1345" s="0" t="s">
        <v>2731</v>
      </c>
      <c r="B1345" s="0" t="s">
        <v>2732</v>
      </c>
      <c r="C1345" s="0" t="s">
        <v>22</v>
      </c>
      <c r="D1345" s="0" t="s">
        <v>42</v>
      </c>
      <c r="E1345" s="10" t="n">
        <v>45777.4055555556</v>
      </c>
      <c r="F1345" s="10" t="n">
        <v>45778.5243055556</v>
      </c>
      <c r="G1345" s="0" t="n">
        <v>1339.43</v>
      </c>
      <c r="H1345" s="0" t="n">
        <v>1310.22</v>
      </c>
      <c r="I1345" s="11" t="n">
        <f aca="false">H1345-G1345</f>
        <v>-29.21</v>
      </c>
      <c r="J1345" s="5" t="n">
        <f aca="false">IF(G1345=0,"",I1345/G1345)</f>
        <v>-0.0218077839080803</v>
      </c>
      <c r="K1345" s="0" t="n">
        <v>134.5</v>
      </c>
      <c r="L1345" s="0" t="n">
        <v>26.85</v>
      </c>
      <c r="M1345" s="11" t="s">
        <v>1332</v>
      </c>
      <c r="N1345" s="12" t="n">
        <f aca="false">INT(E1345)</f>
        <v>45777</v>
      </c>
      <c r="O1345" s="12" t="n">
        <f aca="false">IF(F1345="","",INT(F1345))</f>
        <v>45778</v>
      </c>
    </row>
    <row r="1346" customFormat="false" ht="15" hidden="false" customHeight="false" outlineLevel="0" collapsed="false">
      <c r="A1346" s="0" t="s">
        <v>2733</v>
      </c>
      <c r="B1346" s="0" t="s">
        <v>2734</v>
      </c>
      <c r="C1346" s="0" t="s">
        <v>19</v>
      </c>
      <c r="D1346" s="0" t="s">
        <v>42</v>
      </c>
      <c r="E1346" s="10" t="n">
        <v>45777.4118055556</v>
      </c>
      <c r="F1346" s="10" t="n">
        <v>45777.8243055556</v>
      </c>
      <c r="G1346" s="0" t="n">
        <v>541.14</v>
      </c>
      <c r="H1346" s="0" t="n">
        <v>533.72</v>
      </c>
      <c r="I1346" s="11" t="n">
        <f aca="false">H1346-G1346</f>
        <v>-7.41999999999996</v>
      </c>
      <c r="J1346" s="5" t="n">
        <f aca="false">IF(G1346=0,"",I1346/G1346)</f>
        <v>-0.0137117936208744</v>
      </c>
      <c r="K1346" s="0" t="n">
        <v>54.8</v>
      </c>
      <c r="L1346" s="0" t="n">
        <v>9.9</v>
      </c>
      <c r="M1346" s="11" t="s">
        <v>1332</v>
      </c>
      <c r="N1346" s="12" t="n">
        <f aca="false">INT(E1346)</f>
        <v>45777</v>
      </c>
      <c r="O1346" s="12" t="n">
        <f aca="false">IF(F1346="","",INT(F1346))</f>
        <v>45777</v>
      </c>
    </row>
    <row r="1347" customFormat="false" ht="15" hidden="false" customHeight="false" outlineLevel="0" collapsed="false">
      <c r="A1347" s="0" t="s">
        <v>2735</v>
      </c>
      <c r="B1347" s="0" t="s">
        <v>2736</v>
      </c>
      <c r="C1347" s="0" t="s">
        <v>23</v>
      </c>
      <c r="D1347" s="0" t="s">
        <v>42</v>
      </c>
      <c r="E1347" s="10" t="n">
        <v>45777.4201388889</v>
      </c>
      <c r="F1347" s="10" t="n">
        <v>45778.9111111111</v>
      </c>
      <c r="G1347" s="0" t="n">
        <v>290.04</v>
      </c>
      <c r="H1347" s="0" t="n">
        <v>344.5</v>
      </c>
      <c r="I1347" s="11" t="n">
        <f aca="false">H1347-G1347</f>
        <v>54.46</v>
      </c>
      <c r="J1347" s="5" t="n">
        <f aca="false">IF(G1347=0,"",I1347/G1347)</f>
        <v>0.187767204523514</v>
      </c>
      <c r="K1347" s="0" t="n">
        <v>86.9</v>
      </c>
      <c r="L1347" s="0" t="n">
        <v>35.78</v>
      </c>
      <c r="M1347" s="11" t="s">
        <v>1332</v>
      </c>
      <c r="N1347" s="12" t="n">
        <f aca="false">INT(E1347)</f>
        <v>45777</v>
      </c>
      <c r="O1347" s="12" t="n">
        <f aca="false">IF(F1347="","",INT(F1347))</f>
        <v>45778</v>
      </c>
    </row>
    <row r="1348" customFormat="false" ht="15" hidden="false" customHeight="false" outlineLevel="0" collapsed="false">
      <c r="A1348" s="0" t="s">
        <v>2737</v>
      </c>
      <c r="B1348" s="0" t="s">
        <v>2738</v>
      </c>
      <c r="C1348" s="0" t="s">
        <v>21</v>
      </c>
      <c r="D1348" s="0" t="s">
        <v>42</v>
      </c>
      <c r="E1348" s="10" t="n">
        <v>45777.4486111111</v>
      </c>
      <c r="F1348" s="10" t="n">
        <v>45777.8208333333</v>
      </c>
      <c r="G1348" s="0" t="n">
        <v>191.39</v>
      </c>
      <c r="H1348" s="0" t="n">
        <v>192.11</v>
      </c>
      <c r="I1348" s="11" t="n">
        <f aca="false">H1348-G1348</f>
        <v>0.720000000000027</v>
      </c>
      <c r="J1348" s="5" t="n">
        <f aca="false">IF(G1348=0,"",I1348/G1348)</f>
        <v>0.0037619520351117</v>
      </c>
      <c r="K1348" s="0" t="n">
        <v>35.4</v>
      </c>
      <c r="L1348" s="0" t="n">
        <v>8.93</v>
      </c>
      <c r="M1348" s="11" t="s">
        <v>1332</v>
      </c>
      <c r="N1348" s="12" t="n">
        <f aca="false">INT(E1348)</f>
        <v>45777</v>
      </c>
      <c r="O1348" s="12" t="n">
        <f aca="false">IF(F1348="","",INT(F1348))</f>
        <v>45777</v>
      </c>
    </row>
    <row r="1349" customFormat="false" ht="15" hidden="false" customHeight="false" outlineLevel="0" collapsed="false">
      <c r="A1349" s="0" t="s">
        <v>2739</v>
      </c>
      <c r="B1349" s="0" t="s">
        <v>2740</v>
      </c>
      <c r="C1349" s="0" t="s">
        <v>23</v>
      </c>
      <c r="D1349" s="0" t="s">
        <v>42</v>
      </c>
      <c r="E1349" s="10" t="n">
        <v>45777.4770833333</v>
      </c>
      <c r="F1349" s="10" t="n">
        <v>45779.2548611111</v>
      </c>
      <c r="G1349" s="0" t="n">
        <v>177.95</v>
      </c>
      <c r="H1349" s="0" t="n">
        <v>182.08</v>
      </c>
      <c r="I1349" s="11" t="n">
        <f aca="false">H1349-G1349</f>
        <v>4.13000000000002</v>
      </c>
      <c r="J1349" s="5" t="n">
        <f aca="false">IF(G1349=0,"",I1349/G1349)</f>
        <v>0.023208766507446</v>
      </c>
      <c r="K1349" s="0" t="n">
        <v>76.9</v>
      </c>
      <c r="L1349" s="0" t="n">
        <v>42.67</v>
      </c>
      <c r="M1349" s="11" t="s">
        <v>1332</v>
      </c>
      <c r="N1349" s="12" t="n">
        <f aca="false">INT(E1349)</f>
        <v>45777</v>
      </c>
      <c r="O1349" s="12" t="n">
        <f aca="false">IF(F1349="","",INT(F1349))</f>
        <v>45779</v>
      </c>
    </row>
    <row r="1350" customFormat="false" ht="15" hidden="false" customHeight="false" outlineLevel="0" collapsed="false">
      <c r="A1350" s="0" t="s">
        <v>2741</v>
      </c>
      <c r="B1350" s="0" t="s">
        <v>2742</v>
      </c>
      <c r="C1350" s="0" t="s">
        <v>22</v>
      </c>
      <c r="D1350" s="0" t="s">
        <v>42</v>
      </c>
      <c r="E1350" s="10" t="n">
        <v>45777.4854166667</v>
      </c>
      <c r="F1350" s="10" t="n">
        <v>45779.1736111111</v>
      </c>
      <c r="G1350" s="0" t="n">
        <v>225.78</v>
      </c>
      <c r="H1350" s="0" t="n">
        <v>223.08</v>
      </c>
      <c r="I1350" s="11" t="n">
        <f aca="false">H1350-G1350</f>
        <v>-2.69999999999999</v>
      </c>
      <c r="J1350" s="5" t="n">
        <f aca="false">IF(G1350=0,"",I1350/G1350)</f>
        <v>-0.0119585437151209</v>
      </c>
      <c r="K1350" s="0" t="n">
        <v>23.8</v>
      </c>
      <c r="L1350" s="0" t="n">
        <v>40.52</v>
      </c>
      <c r="M1350" s="11" t="s">
        <v>1332</v>
      </c>
      <c r="N1350" s="12" t="n">
        <f aca="false">INT(E1350)</f>
        <v>45777</v>
      </c>
      <c r="O1350" s="12" t="n">
        <f aca="false">IF(F1350="","",INT(F1350))</f>
        <v>45779</v>
      </c>
    </row>
    <row r="1351" customFormat="false" ht="15" hidden="false" customHeight="false" outlineLevel="0" collapsed="false">
      <c r="A1351" s="0" t="s">
        <v>2743</v>
      </c>
      <c r="B1351" s="0" t="s">
        <v>2744</v>
      </c>
      <c r="C1351" s="0" t="s">
        <v>23</v>
      </c>
      <c r="D1351" s="0" t="s">
        <v>42</v>
      </c>
      <c r="E1351" s="10" t="n">
        <v>45777.5173611111</v>
      </c>
      <c r="F1351" s="10" t="n">
        <v>45778.8972222222</v>
      </c>
      <c r="G1351" s="0" t="n">
        <v>3461.58</v>
      </c>
      <c r="H1351" s="0" t="n">
        <v>3471.39</v>
      </c>
      <c r="I1351" s="11" t="n">
        <f aca="false">H1351-G1351</f>
        <v>9.80999999999995</v>
      </c>
      <c r="J1351" s="5" t="n">
        <f aca="false">IF(G1351=0,"",I1351/G1351)</f>
        <v>0.00283396599240808</v>
      </c>
      <c r="K1351" s="0" t="n">
        <v>687.1</v>
      </c>
      <c r="L1351" s="0" t="n">
        <v>33.12</v>
      </c>
      <c r="M1351" s="11" t="s">
        <v>1332</v>
      </c>
      <c r="N1351" s="12" t="n">
        <f aca="false">INT(E1351)</f>
        <v>45777</v>
      </c>
      <c r="O1351" s="12" t="n">
        <f aca="false">IF(F1351="","",INT(F1351))</f>
        <v>45778</v>
      </c>
    </row>
    <row r="1352" customFormat="false" ht="15" hidden="false" customHeight="false" outlineLevel="0" collapsed="false">
      <c r="A1352" s="0" t="s">
        <v>2745</v>
      </c>
      <c r="B1352" s="0" t="s">
        <v>2746</v>
      </c>
      <c r="C1352" s="0" t="s">
        <v>23</v>
      </c>
      <c r="D1352" s="0" t="s">
        <v>303</v>
      </c>
      <c r="E1352" s="10" t="n">
        <v>45777.5291666667</v>
      </c>
      <c r="F1352" s="10"/>
      <c r="G1352" s="0" t="n">
        <v>679.63</v>
      </c>
      <c r="H1352" s="0" t="n">
        <v>682.63</v>
      </c>
      <c r="I1352" s="11" t="n">
        <f aca="false">H1352-G1352</f>
        <v>3</v>
      </c>
      <c r="J1352" s="5" t="n">
        <f aca="false">IF(G1352=0,"",I1352/G1352)</f>
        <v>0.00441416653178936</v>
      </c>
      <c r="K1352" s="0" t="n">
        <v>266.4</v>
      </c>
      <c r="M1352" s="11" t="s">
        <v>1332</v>
      </c>
      <c r="N1352" s="12" t="n">
        <f aca="false">INT(E1352)</f>
        <v>45777</v>
      </c>
      <c r="O1352" s="12" t="str">
        <f aca="false">IF(F1352="","",INT(F1352))</f>
        <v/>
      </c>
    </row>
    <row r="1353" customFormat="false" ht="15" hidden="false" customHeight="false" outlineLevel="0" collapsed="false">
      <c r="A1353" s="0" t="s">
        <v>2747</v>
      </c>
      <c r="B1353" s="0" t="s">
        <v>2748</v>
      </c>
      <c r="C1353" s="0" t="s">
        <v>19</v>
      </c>
      <c r="D1353" s="0" t="s">
        <v>48</v>
      </c>
      <c r="E1353" s="10" t="n">
        <v>45777.5409722222</v>
      </c>
      <c r="F1353" s="10"/>
      <c r="G1353" s="0" t="n">
        <v>672.99</v>
      </c>
      <c r="H1353" s="0" t="n">
        <v>681.32</v>
      </c>
      <c r="I1353" s="11" t="n">
        <f aca="false">H1353-G1353</f>
        <v>8.33000000000004</v>
      </c>
      <c r="J1353" s="5" t="n">
        <f aca="false">IF(G1353=0,"",I1353/G1353)</f>
        <v>0.0123775984784321</v>
      </c>
      <c r="K1353" s="0" t="n">
        <v>117.2</v>
      </c>
      <c r="M1353" s="11" t="s">
        <v>1332</v>
      </c>
      <c r="N1353" s="12" t="n">
        <f aca="false">INT(E1353)</f>
        <v>45777</v>
      </c>
      <c r="O1353" s="12" t="str">
        <f aca="false">IF(F1353="","",INT(F1353))</f>
        <v/>
      </c>
    </row>
    <row r="1354" customFormat="false" ht="15" hidden="false" customHeight="false" outlineLevel="0" collapsed="false">
      <c r="A1354" s="0" t="s">
        <v>2749</v>
      </c>
      <c r="B1354" s="0" t="s">
        <v>2750</v>
      </c>
      <c r="C1354" s="0" t="s">
        <v>20</v>
      </c>
      <c r="D1354" s="0" t="s">
        <v>42</v>
      </c>
      <c r="E1354" s="10" t="n">
        <v>45777.5527777778</v>
      </c>
      <c r="F1354" s="10" t="n">
        <v>45778.4201388889</v>
      </c>
      <c r="G1354" s="0" t="n">
        <v>205.34</v>
      </c>
      <c r="H1354" s="0" t="n">
        <v>206.07</v>
      </c>
      <c r="I1354" s="11" t="n">
        <f aca="false">H1354-G1354</f>
        <v>0.72999999999999</v>
      </c>
      <c r="J1354" s="5" t="n">
        <f aca="false">IF(G1354=0,"",I1354/G1354)</f>
        <v>0.00355507938053954</v>
      </c>
      <c r="K1354" s="0" t="n">
        <v>40.5</v>
      </c>
      <c r="L1354" s="0" t="n">
        <v>20.82</v>
      </c>
      <c r="M1354" s="11" t="s">
        <v>1332</v>
      </c>
      <c r="N1354" s="12" t="n">
        <f aca="false">INT(E1354)</f>
        <v>45777</v>
      </c>
      <c r="O1354" s="12" t="n">
        <f aca="false">IF(F1354="","",INT(F1354))</f>
        <v>45778</v>
      </c>
    </row>
    <row r="1355" customFormat="false" ht="15" hidden="false" customHeight="false" outlineLevel="0" collapsed="false">
      <c r="A1355" s="0" t="s">
        <v>2751</v>
      </c>
      <c r="B1355" s="0" t="s">
        <v>2752</v>
      </c>
      <c r="C1355" s="0" t="s">
        <v>20</v>
      </c>
      <c r="D1355" s="0" t="s">
        <v>42</v>
      </c>
      <c r="E1355" s="10" t="n">
        <v>45777.5666666667</v>
      </c>
      <c r="F1355" s="10" t="n">
        <v>45779.7360648148</v>
      </c>
      <c r="G1355" s="0" t="n">
        <v>890.45</v>
      </c>
      <c r="H1355" s="0" t="n">
        <v>880.96</v>
      </c>
      <c r="I1355" s="11" t="n">
        <f aca="false">H1355-G1355</f>
        <v>-9.49000000000001</v>
      </c>
      <c r="J1355" s="5" t="n">
        <f aca="false">IF(G1355=0,"",I1355/G1355)</f>
        <v>-0.0106575327081813</v>
      </c>
      <c r="K1355" s="0" t="n">
        <v>104.9</v>
      </c>
      <c r="L1355" s="0" t="n">
        <v>52.07</v>
      </c>
      <c r="M1355" s="11" t="s">
        <v>1332</v>
      </c>
      <c r="N1355" s="12" t="n">
        <f aca="false">INT(E1355)</f>
        <v>45777</v>
      </c>
      <c r="O1355" s="12" t="n">
        <f aca="false">IF(F1355="","",INT(F1355))</f>
        <v>45779</v>
      </c>
    </row>
    <row r="1356" customFormat="false" ht="15" hidden="false" customHeight="false" outlineLevel="0" collapsed="false">
      <c r="A1356" s="0" t="s">
        <v>2753</v>
      </c>
      <c r="B1356" s="0" t="s">
        <v>2754</v>
      </c>
      <c r="C1356" s="0" t="s">
        <v>21</v>
      </c>
      <c r="D1356" s="0" t="s">
        <v>42</v>
      </c>
      <c r="E1356" s="10" t="n">
        <v>45777.5965277778</v>
      </c>
      <c r="F1356" s="10" t="n">
        <v>45778.3</v>
      </c>
      <c r="G1356" s="0" t="n">
        <v>815.67</v>
      </c>
      <c r="H1356" s="0" t="n">
        <v>814.11</v>
      </c>
      <c r="I1356" s="11" t="n">
        <f aca="false">H1356-G1356</f>
        <v>-1.55999999999995</v>
      </c>
      <c r="J1356" s="5" t="n">
        <f aca="false">IF(G1356=0,"",I1356/G1356)</f>
        <v>-0.00191253815881416</v>
      </c>
      <c r="K1356" s="0" t="n">
        <v>130.2</v>
      </c>
      <c r="L1356" s="0" t="n">
        <v>16.88</v>
      </c>
      <c r="M1356" s="11" t="s">
        <v>1332</v>
      </c>
      <c r="N1356" s="12" t="n">
        <f aca="false">INT(E1356)</f>
        <v>45777</v>
      </c>
      <c r="O1356" s="12" t="n">
        <f aca="false">IF(F1356="","",INT(F1356))</f>
        <v>45778</v>
      </c>
    </row>
    <row r="1357" customFormat="false" ht="15" hidden="false" customHeight="false" outlineLevel="0" collapsed="false">
      <c r="A1357" s="0" t="s">
        <v>2755</v>
      </c>
      <c r="B1357" s="0" t="s">
        <v>2756</v>
      </c>
      <c r="C1357" s="0" t="s">
        <v>21</v>
      </c>
      <c r="D1357" s="0" t="s">
        <v>42</v>
      </c>
      <c r="E1357" s="10" t="n">
        <v>45777.5979166667</v>
      </c>
      <c r="F1357" s="10" t="n">
        <v>45778.8777777778</v>
      </c>
      <c r="G1357" s="0" t="n">
        <v>291.11</v>
      </c>
      <c r="H1357" s="0" t="n">
        <v>301.27</v>
      </c>
      <c r="I1357" s="11" t="n">
        <f aca="false">H1357-G1357</f>
        <v>10.16</v>
      </c>
      <c r="J1357" s="5" t="n">
        <f aca="false">IF(G1357=0,"",I1357/G1357)</f>
        <v>0.0349008965683074</v>
      </c>
      <c r="K1357" s="0" t="n">
        <v>57.7</v>
      </c>
      <c r="L1357" s="0" t="n">
        <v>30.72</v>
      </c>
      <c r="M1357" s="11" t="s">
        <v>1332</v>
      </c>
      <c r="N1357" s="12" t="n">
        <f aca="false">INT(E1357)</f>
        <v>45777</v>
      </c>
      <c r="O1357" s="12" t="n">
        <f aca="false">IF(F1357="","",INT(F1357))</f>
        <v>45778</v>
      </c>
    </row>
    <row r="1358" customFormat="false" ht="15" hidden="false" customHeight="false" outlineLevel="0" collapsed="false">
      <c r="A1358" s="0" t="s">
        <v>2757</v>
      </c>
      <c r="B1358" s="0" t="s">
        <v>2758</v>
      </c>
      <c r="C1358" s="0" t="s">
        <v>23</v>
      </c>
      <c r="D1358" s="0" t="s">
        <v>42</v>
      </c>
      <c r="E1358" s="10" t="n">
        <v>45777.6368055556</v>
      </c>
      <c r="F1358" s="10" t="n">
        <v>45778.6722222222</v>
      </c>
      <c r="G1358" s="0" t="n">
        <v>886.79</v>
      </c>
      <c r="H1358" s="0" t="n">
        <v>885.15</v>
      </c>
      <c r="I1358" s="11" t="n">
        <f aca="false">H1358-G1358</f>
        <v>-1.63999999999999</v>
      </c>
      <c r="J1358" s="5" t="n">
        <f aca="false">IF(G1358=0,"",I1358/G1358)</f>
        <v>-0.00184936681739756</v>
      </c>
      <c r="K1358" s="0" t="n">
        <v>234.7</v>
      </c>
      <c r="L1358" s="0" t="n">
        <v>24.85</v>
      </c>
      <c r="M1358" s="11" t="s">
        <v>1332</v>
      </c>
      <c r="N1358" s="12" t="n">
        <f aca="false">INT(E1358)</f>
        <v>45777</v>
      </c>
      <c r="O1358" s="12" t="n">
        <f aca="false">IF(F1358="","",INT(F1358))</f>
        <v>45778</v>
      </c>
    </row>
    <row r="1359" customFormat="false" ht="15" hidden="false" customHeight="false" outlineLevel="0" collapsed="false">
      <c r="A1359" s="0" t="s">
        <v>2759</v>
      </c>
      <c r="B1359" s="0" t="s">
        <v>2760</v>
      </c>
      <c r="C1359" s="0" t="s">
        <v>19</v>
      </c>
      <c r="D1359" s="0" t="s">
        <v>42</v>
      </c>
      <c r="E1359" s="10" t="n">
        <v>45777.6604166667</v>
      </c>
      <c r="F1359" s="10" t="n">
        <v>45778.2756944444</v>
      </c>
      <c r="G1359" s="0" t="n">
        <v>1317.51</v>
      </c>
      <c r="H1359" s="0" t="n">
        <v>1300.81</v>
      </c>
      <c r="I1359" s="11" t="n">
        <f aca="false">H1359-G1359</f>
        <v>-16.7</v>
      </c>
      <c r="J1359" s="5" t="n">
        <f aca="false">IF(G1359=0,"",I1359/G1359)</f>
        <v>-0.0126754256134679</v>
      </c>
      <c r="K1359" s="0" t="n">
        <v>195.6</v>
      </c>
      <c r="L1359" s="0" t="n">
        <v>14.77</v>
      </c>
      <c r="M1359" s="11" t="s">
        <v>1332</v>
      </c>
      <c r="N1359" s="12" t="n">
        <f aca="false">INT(E1359)</f>
        <v>45777</v>
      </c>
      <c r="O1359" s="12" t="n">
        <f aca="false">IF(F1359="","",INT(F1359))</f>
        <v>45778</v>
      </c>
    </row>
    <row r="1360" customFormat="false" ht="15" hidden="false" customHeight="false" outlineLevel="0" collapsed="false">
      <c r="A1360" s="0" t="s">
        <v>2761</v>
      </c>
      <c r="B1360" s="0" t="s">
        <v>2762</v>
      </c>
      <c r="C1360" s="0" t="s">
        <v>23</v>
      </c>
      <c r="D1360" s="0" t="s">
        <v>42</v>
      </c>
      <c r="E1360" s="10" t="n">
        <v>45777.6798611111</v>
      </c>
      <c r="F1360" s="10" t="n">
        <v>45778.5228819445</v>
      </c>
      <c r="G1360" s="0" t="n">
        <v>472.27</v>
      </c>
      <c r="H1360" s="0" t="n">
        <v>473.98</v>
      </c>
      <c r="I1360" s="11" t="n">
        <f aca="false">H1360-G1360</f>
        <v>1.71000000000004</v>
      </c>
      <c r="J1360" s="5" t="n">
        <f aca="false">IF(G1360=0,"",I1360/G1360)</f>
        <v>0.00362081012979871</v>
      </c>
      <c r="K1360" s="0" t="n">
        <v>119.3</v>
      </c>
      <c r="L1360" s="0" t="n">
        <v>20.23</v>
      </c>
      <c r="M1360" s="11" t="s">
        <v>1332</v>
      </c>
      <c r="N1360" s="12" t="n">
        <f aca="false">INT(E1360)</f>
        <v>45777</v>
      </c>
      <c r="O1360" s="12" t="n">
        <f aca="false">IF(F1360="","",INT(F1360))</f>
        <v>45778</v>
      </c>
    </row>
    <row r="1361" customFormat="false" ht="15" hidden="false" customHeight="false" outlineLevel="0" collapsed="false">
      <c r="A1361" s="0" t="s">
        <v>2763</v>
      </c>
      <c r="B1361" s="0" t="s">
        <v>2764</v>
      </c>
      <c r="C1361" s="0" t="s">
        <v>22</v>
      </c>
      <c r="D1361" s="0" t="s">
        <v>42</v>
      </c>
      <c r="E1361" s="10" t="n">
        <v>45777.7479166667</v>
      </c>
      <c r="F1361" s="10" t="n">
        <v>45778.5423611111</v>
      </c>
      <c r="G1361" s="0" t="n">
        <v>297.33</v>
      </c>
      <c r="H1361" s="0" t="n">
        <v>293.65</v>
      </c>
      <c r="I1361" s="11" t="n">
        <f aca="false">H1361-G1361</f>
        <v>-3.68000000000001</v>
      </c>
      <c r="J1361" s="5" t="n">
        <f aca="false">IF(G1361=0,"",I1361/G1361)</f>
        <v>-0.0123768203679414</v>
      </c>
      <c r="K1361" s="0" t="n">
        <v>34.6</v>
      </c>
      <c r="L1361" s="0" t="n">
        <v>19.07</v>
      </c>
      <c r="M1361" s="11" t="s">
        <v>1332</v>
      </c>
      <c r="N1361" s="12" t="n">
        <f aca="false">INT(E1361)</f>
        <v>45777</v>
      </c>
      <c r="O1361" s="12" t="n">
        <f aca="false">IF(F1361="","",INT(F1361))</f>
        <v>45778</v>
      </c>
    </row>
    <row r="1362" customFormat="false" ht="15" hidden="false" customHeight="false" outlineLevel="0" collapsed="false">
      <c r="A1362" s="0" t="s">
        <v>2765</v>
      </c>
      <c r="B1362" s="0" t="s">
        <v>2766</v>
      </c>
      <c r="C1362" s="0" t="s">
        <v>20</v>
      </c>
      <c r="D1362" s="0" t="s">
        <v>48</v>
      </c>
      <c r="E1362" s="10" t="n">
        <v>45777.7479166667</v>
      </c>
      <c r="F1362" s="10"/>
      <c r="G1362" s="0" t="n">
        <v>636.68</v>
      </c>
      <c r="H1362" s="0" t="n">
        <v>650.43</v>
      </c>
      <c r="I1362" s="11" t="n">
        <f aca="false">H1362-G1362</f>
        <v>13.75</v>
      </c>
      <c r="J1362" s="5" t="n">
        <f aca="false">IF(G1362=0,"",I1362/G1362)</f>
        <v>0.021596406357982</v>
      </c>
      <c r="K1362" s="0" t="n">
        <v>91.2</v>
      </c>
      <c r="M1362" s="11" t="s">
        <v>1332</v>
      </c>
      <c r="N1362" s="12" t="n">
        <f aca="false">INT(E1362)</f>
        <v>45777</v>
      </c>
      <c r="O1362" s="12" t="str">
        <f aca="false">IF(F1362="","",INT(F1362))</f>
        <v/>
      </c>
    </row>
    <row r="1363" customFormat="false" ht="15" hidden="false" customHeight="false" outlineLevel="0" collapsed="false">
      <c r="A1363" s="0" t="s">
        <v>2767</v>
      </c>
      <c r="B1363" s="0" t="s">
        <v>2768</v>
      </c>
      <c r="C1363" s="0" t="s">
        <v>23</v>
      </c>
      <c r="D1363" s="0" t="s">
        <v>42</v>
      </c>
      <c r="E1363" s="10" t="n">
        <v>45778.2930555556</v>
      </c>
      <c r="F1363" s="10" t="n">
        <v>45780.0611111111</v>
      </c>
      <c r="G1363" s="0" t="n">
        <v>970.83</v>
      </c>
      <c r="H1363" s="0" t="n">
        <v>987.9</v>
      </c>
      <c r="I1363" s="11" t="n">
        <f aca="false">H1363-G1363</f>
        <v>17.0699999999999</v>
      </c>
      <c r="J1363" s="5" t="n">
        <f aca="false">IF(G1363=0,"",I1363/G1363)</f>
        <v>0.0175828929884737</v>
      </c>
      <c r="K1363" s="0" t="n">
        <v>223.1</v>
      </c>
      <c r="L1363" s="0" t="n">
        <v>40.97</v>
      </c>
      <c r="M1363" s="11" t="s">
        <v>2769</v>
      </c>
      <c r="N1363" s="12" t="n">
        <f aca="false">INT(E1363)</f>
        <v>45778</v>
      </c>
      <c r="O1363" s="12" t="n">
        <f aca="false">IF(F1363="","",INT(F1363))</f>
        <v>45780</v>
      </c>
    </row>
    <row r="1364" customFormat="false" ht="15" hidden="false" customHeight="false" outlineLevel="0" collapsed="false">
      <c r="A1364" s="0" t="s">
        <v>2770</v>
      </c>
      <c r="B1364" s="0" t="s">
        <v>2771</v>
      </c>
      <c r="C1364" s="0" t="s">
        <v>23</v>
      </c>
      <c r="D1364" s="0" t="s">
        <v>42</v>
      </c>
      <c r="E1364" s="10" t="n">
        <v>45778.2972222222</v>
      </c>
      <c r="F1364" s="10" t="n">
        <v>45778.8034722222</v>
      </c>
      <c r="G1364" s="0" t="n">
        <v>523.37</v>
      </c>
      <c r="H1364" s="0" t="n">
        <v>510.43</v>
      </c>
      <c r="I1364" s="11" t="n">
        <f aca="false">H1364-G1364</f>
        <v>-12.94</v>
      </c>
      <c r="J1364" s="5" t="n">
        <f aca="false">IF(G1364=0,"",I1364/G1364)</f>
        <v>-0.0247243823681143</v>
      </c>
      <c r="K1364" s="0" t="n">
        <v>226.1</v>
      </c>
      <c r="L1364" s="0" t="n">
        <v>12.15</v>
      </c>
      <c r="M1364" s="11" t="s">
        <v>2769</v>
      </c>
      <c r="N1364" s="12" t="n">
        <f aca="false">INT(E1364)</f>
        <v>45778</v>
      </c>
      <c r="O1364" s="12" t="n">
        <f aca="false">IF(F1364="","",INT(F1364))</f>
        <v>45778</v>
      </c>
    </row>
    <row r="1365" customFormat="false" ht="15" hidden="false" customHeight="false" outlineLevel="0" collapsed="false">
      <c r="A1365" s="0" t="s">
        <v>2772</v>
      </c>
      <c r="B1365" s="0" t="s">
        <v>2773</v>
      </c>
      <c r="C1365" s="0" t="s">
        <v>22</v>
      </c>
      <c r="D1365" s="0" t="s">
        <v>42</v>
      </c>
      <c r="E1365" s="10" t="n">
        <v>45778.3</v>
      </c>
      <c r="F1365" s="10" t="n">
        <v>45778.9908449074</v>
      </c>
      <c r="G1365" s="0" t="n">
        <v>1353.29</v>
      </c>
      <c r="H1365" s="0" t="n">
        <v>1371.9</v>
      </c>
      <c r="I1365" s="11" t="n">
        <f aca="false">H1365-G1365</f>
        <v>18.6100000000001</v>
      </c>
      <c r="J1365" s="5" t="n">
        <f aca="false">IF(G1365=0,"",I1365/G1365)</f>
        <v>0.0137516718515618</v>
      </c>
      <c r="K1365" s="0" t="n">
        <v>162.5</v>
      </c>
      <c r="L1365" s="0" t="n">
        <v>16.58</v>
      </c>
      <c r="M1365" s="11" t="s">
        <v>2769</v>
      </c>
      <c r="N1365" s="12" t="n">
        <f aca="false">INT(E1365)</f>
        <v>45778</v>
      </c>
      <c r="O1365" s="12" t="n">
        <f aca="false">IF(F1365="","",INT(F1365))</f>
        <v>45778</v>
      </c>
    </row>
    <row r="1366" customFormat="false" ht="15" hidden="false" customHeight="false" outlineLevel="0" collapsed="false">
      <c r="A1366" s="0" t="s">
        <v>2774</v>
      </c>
      <c r="B1366" s="0" t="s">
        <v>2775</v>
      </c>
      <c r="C1366" s="0" t="s">
        <v>21</v>
      </c>
      <c r="D1366" s="0" t="s">
        <v>42</v>
      </c>
      <c r="E1366" s="10" t="n">
        <v>45778.3069444444</v>
      </c>
      <c r="F1366" s="10" t="n">
        <v>45779.2017476852</v>
      </c>
      <c r="G1366" s="0" t="n">
        <v>704.67</v>
      </c>
      <c r="H1366" s="0" t="n">
        <v>696.17</v>
      </c>
      <c r="I1366" s="11" t="n">
        <f aca="false">H1366-G1366</f>
        <v>-8.5</v>
      </c>
      <c r="J1366" s="5" t="n">
        <f aca="false">IF(G1366=0,"",I1366/G1366)</f>
        <v>-0.0120623838108618</v>
      </c>
      <c r="K1366" s="0" t="n">
        <v>113.5</v>
      </c>
      <c r="L1366" s="0" t="n">
        <v>21.48</v>
      </c>
      <c r="M1366" s="11" t="s">
        <v>2769</v>
      </c>
      <c r="N1366" s="12" t="n">
        <f aca="false">INT(E1366)</f>
        <v>45778</v>
      </c>
      <c r="O1366" s="12" t="n">
        <f aca="false">IF(F1366="","",INT(F1366))</f>
        <v>45779</v>
      </c>
    </row>
    <row r="1367" customFormat="false" ht="15" hidden="false" customHeight="false" outlineLevel="0" collapsed="false">
      <c r="A1367" s="0" t="s">
        <v>2776</v>
      </c>
      <c r="B1367" s="0" t="s">
        <v>2777</v>
      </c>
      <c r="C1367" s="0" t="s">
        <v>24</v>
      </c>
      <c r="D1367" s="0" t="s">
        <v>42</v>
      </c>
      <c r="E1367" s="10" t="n">
        <v>45778.3083333333</v>
      </c>
      <c r="F1367" s="10" t="n">
        <v>45779.9158449074</v>
      </c>
      <c r="G1367" s="0" t="n">
        <v>288.24</v>
      </c>
      <c r="H1367" s="0" t="n">
        <v>258.51</v>
      </c>
      <c r="I1367" s="11" t="n">
        <f aca="false">H1367-G1367</f>
        <v>-29.73</v>
      </c>
      <c r="J1367" s="5" t="n">
        <f aca="false">IF(G1367=0,"",I1367/G1367)</f>
        <v>-0.103143213988343</v>
      </c>
      <c r="K1367" s="0" t="n">
        <v>53.8</v>
      </c>
      <c r="L1367" s="0" t="n">
        <v>38.58</v>
      </c>
      <c r="M1367" s="11" t="s">
        <v>2769</v>
      </c>
      <c r="N1367" s="12" t="n">
        <f aca="false">INT(E1367)</f>
        <v>45778</v>
      </c>
      <c r="O1367" s="12" t="n">
        <f aca="false">IF(F1367="","",INT(F1367))</f>
        <v>45779</v>
      </c>
    </row>
    <row r="1368" customFormat="false" ht="15" hidden="false" customHeight="false" outlineLevel="0" collapsed="false">
      <c r="A1368" s="0" t="s">
        <v>2778</v>
      </c>
      <c r="B1368" s="0" t="s">
        <v>2779</v>
      </c>
      <c r="C1368" s="0" t="s">
        <v>24</v>
      </c>
      <c r="D1368" s="0" t="s">
        <v>42</v>
      </c>
      <c r="E1368" s="10" t="n">
        <v>45778.3173611111</v>
      </c>
      <c r="F1368" s="10" t="n">
        <v>45781.0558217593</v>
      </c>
      <c r="G1368" s="0" t="n">
        <v>146.86</v>
      </c>
      <c r="H1368" s="0" t="n">
        <v>149.18</v>
      </c>
      <c r="I1368" s="11" t="n">
        <f aca="false">H1368-G1368</f>
        <v>2.31999999999999</v>
      </c>
      <c r="J1368" s="5" t="n">
        <f aca="false">IF(G1368=0,"",I1368/G1368)</f>
        <v>0.0157973580280539</v>
      </c>
      <c r="K1368" s="0" t="n">
        <v>54.7</v>
      </c>
      <c r="L1368" s="0" t="n">
        <v>40.38</v>
      </c>
      <c r="M1368" s="11" t="s">
        <v>2769</v>
      </c>
      <c r="N1368" s="12" t="n">
        <f aca="false">INT(E1368)</f>
        <v>45778</v>
      </c>
      <c r="O1368" s="12" t="n">
        <f aca="false">IF(F1368="","",INT(F1368))</f>
        <v>45781</v>
      </c>
    </row>
    <row r="1369" customFormat="false" ht="15" hidden="false" customHeight="false" outlineLevel="0" collapsed="false">
      <c r="A1369" s="0" t="s">
        <v>2780</v>
      </c>
      <c r="B1369" s="0" t="s">
        <v>2781</v>
      </c>
      <c r="C1369" s="0" t="s">
        <v>21</v>
      </c>
      <c r="D1369" s="0" t="s">
        <v>42</v>
      </c>
      <c r="E1369" s="10" t="n">
        <v>45778.31875</v>
      </c>
      <c r="F1369" s="10" t="n">
        <v>45778.7909722222</v>
      </c>
      <c r="G1369" s="0" t="n">
        <v>1015.1</v>
      </c>
      <c r="H1369" s="0" t="n">
        <v>1000.9</v>
      </c>
      <c r="I1369" s="11" t="n">
        <f aca="false">H1369-G1369</f>
        <v>-14.2</v>
      </c>
      <c r="J1369" s="5" t="n">
        <f aca="false">IF(G1369=0,"",I1369/G1369)</f>
        <v>-0.0139887695793518</v>
      </c>
      <c r="K1369" s="0" t="n">
        <v>256.2</v>
      </c>
      <c r="L1369" s="0" t="n">
        <v>11.33</v>
      </c>
      <c r="M1369" s="11" t="s">
        <v>2769</v>
      </c>
      <c r="N1369" s="12" t="n">
        <f aca="false">INT(E1369)</f>
        <v>45778</v>
      </c>
      <c r="O1369" s="12" t="n">
        <f aca="false">IF(F1369="","",INT(F1369))</f>
        <v>45778</v>
      </c>
    </row>
    <row r="1370" customFormat="false" ht="15" hidden="false" customHeight="false" outlineLevel="0" collapsed="false">
      <c r="A1370" s="0" t="s">
        <v>2782</v>
      </c>
      <c r="B1370" s="0" t="s">
        <v>2783</v>
      </c>
      <c r="C1370" s="0" t="s">
        <v>21</v>
      </c>
      <c r="D1370" s="0" t="s">
        <v>42</v>
      </c>
      <c r="E1370" s="10" t="n">
        <v>45778.3444444445</v>
      </c>
      <c r="F1370" s="10" t="n">
        <v>45779.9763888889</v>
      </c>
      <c r="G1370" s="0" t="n">
        <v>680.94</v>
      </c>
      <c r="H1370" s="0" t="n">
        <v>667.05</v>
      </c>
      <c r="I1370" s="11" t="n">
        <f aca="false">H1370-G1370</f>
        <v>-13.8900000000001</v>
      </c>
      <c r="J1370" s="5" t="n">
        <f aca="false">IF(G1370=0,"",I1370/G1370)</f>
        <v>-0.0203982729755927</v>
      </c>
      <c r="K1370" s="0" t="n">
        <v>154.2</v>
      </c>
      <c r="L1370" s="0" t="n">
        <v>39.17</v>
      </c>
      <c r="M1370" s="11" t="s">
        <v>2769</v>
      </c>
      <c r="N1370" s="12" t="n">
        <f aca="false">INT(E1370)</f>
        <v>45778</v>
      </c>
      <c r="O1370" s="12" t="n">
        <f aca="false">IF(F1370="","",INT(F1370))</f>
        <v>45779</v>
      </c>
    </row>
    <row r="1371" customFormat="false" ht="15" hidden="false" customHeight="false" outlineLevel="0" collapsed="false">
      <c r="A1371" s="0" t="s">
        <v>2784</v>
      </c>
      <c r="B1371" s="0" t="s">
        <v>2785</v>
      </c>
      <c r="C1371" s="0" t="s">
        <v>19</v>
      </c>
      <c r="D1371" s="0" t="s">
        <v>42</v>
      </c>
      <c r="E1371" s="10" t="n">
        <v>45778.3451388889</v>
      </c>
      <c r="F1371" s="10" t="n">
        <v>45779.1944444445</v>
      </c>
      <c r="G1371" s="0" t="n">
        <v>213.53</v>
      </c>
      <c r="H1371" s="0" t="n">
        <v>211.75</v>
      </c>
      <c r="I1371" s="11" t="n">
        <f aca="false">H1371-G1371</f>
        <v>-1.78</v>
      </c>
      <c r="J1371" s="5" t="n">
        <f aca="false">IF(G1371=0,"",I1371/G1371)</f>
        <v>-0.00833606518990306</v>
      </c>
      <c r="K1371" s="0" t="n">
        <v>19.7</v>
      </c>
      <c r="L1371" s="0" t="n">
        <v>20.38</v>
      </c>
      <c r="M1371" s="11" t="s">
        <v>2769</v>
      </c>
      <c r="N1371" s="12" t="n">
        <f aca="false">INT(E1371)</f>
        <v>45778</v>
      </c>
      <c r="O1371" s="12" t="n">
        <f aca="false">IF(F1371="","",INT(F1371))</f>
        <v>45779</v>
      </c>
    </row>
    <row r="1372" customFormat="false" ht="15" hidden="false" customHeight="false" outlineLevel="0" collapsed="false">
      <c r="A1372" s="0" t="s">
        <v>2786</v>
      </c>
      <c r="B1372" s="0" t="s">
        <v>2787</v>
      </c>
      <c r="C1372" s="0" t="s">
        <v>19</v>
      </c>
      <c r="D1372" s="0" t="s">
        <v>48</v>
      </c>
      <c r="E1372" s="10" t="n">
        <v>45778.3486111111</v>
      </c>
      <c r="F1372" s="10"/>
      <c r="G1372" s="0" t="n">
        <v>98.61</v>
      </c>
      <c r="H1372" s="0" t="n">
        <v>99.07</v>
      </c>
      <c r="I1372" s="11" t="n">
        <f aca="false">H1372-G1372</f>
        <v>0.459999999999994</v>
      </c>
      <c r="J1372" s="5" t="n">
        <f aca="false">IF(G1372=0,"",I1372/G1372)</f>
        <v>0.00466484129398635</v>
      </c>
      <c r="K1372" s="0" t="n">
        <v>10.5</v>
      </c>
      <c r="M1372" s="11" t="s">
        <v>2769</v>
      </c>
      <c r="N1372" s="12" t="n">
        <f aca="false">INT(E1372)</f>
        <v>45778</v>
      </c>
      <c r="O1372" s="12" t="str">
        <f aca="false">IF(F1372="","",INT(F1372))</f>
        <v/>
      </c>
    </row>
    <row r="1373" customFormat="false" ht="15" hidden="false" customHeight="false" outlineLevel="0" collapsed="false">
      <c r="A1373" s="0" t="s">
        <v>2788</v>
      </c>
      <c r="B1373" s="0" t="s">
        <v>2789</v>
      </c>
      <c r="C1373" s="0" t="s">
        <v>22</v>
      </c>
      <c r="D1373" s="0" t="s">
        <v>42</v>
      </c>
      <c r="E1373" s="10" t="n">
        <v>45778.3645833333</v>
      </c>
      <c r="F1373" s="10" t="n">
        <v>45779.1077314815</v>
      </c>
      <c r="G1373" s="0" t="n">
        <v>142.92</v>
      </c>
      <c r="H1373" s="0" t="n">
        <v>143.75</v>
      </c>
      <c r="I1373" s="11" t="n">
        <f aca="false">H1373-G1373</f>
        <v>0.830000000000013</v>
      </c>
      <c r="J1373" s="5" t="n">
        <f aca="false">IF(G1373=0,"",I1373/G1373)</f>
        <v>0.00580744472432139</v>
      </c>
      <c r="K1373" s="0" t="n">
        <v>19.5</v>
      </c>
      <c r="L1373" s="0" t="n">
        <v>17.84</v>
      </c>
      <c r="M1373" s="11" t="s">
        <v>2769</v>
      </c>
      <c r="N1373" s="12" t="n">
        <f aca="false">INT(E1373)</f>
        <v>45778</v>
      </c>
      <c r="O1373" s="12" t="n">
        <f aca="false">IF(F1373="","",INT(F1373))</f>
        <v>45779</v>
      </c>
    </row>
    <row r="1374" customFormat="false" ht="15" hidden="false" customHeight="false" outlineLevel="0" collapsed="false">
      <c r="A1374" s="0" t="s">
        <v>2790</v>
      </c>
      <c r="B1374" s="0" t="s">
        <v>2791</v>
      </c>
      <c r="C1374" s="0" t="s">
        <v>20</v>
      </c>
      <c r="D1374" s="0" t="s">
        <v>42</v>
      </c>
      <c r="E1374" s="10" t="n">
        <v>45778.4222222222</v>
      </c>
      <c r="F1374" s="10" t="n">
        <v>45781.4409722222</v>
      </c>
      <c r="G1374" s="0" t="n">
        <v>519.5</v>
      </c>
      <c r="H1374" s="0" t="n">
        <v>517.81</v>
      </c>
      <c r="I1374" s="11" t="n">
        <f aca="false">H1374-G1374</f>
        <v>-1.69000000000005</v>
      </c>
      <c r="J1374" s="5" t="n">
        <f aca="false">IF(G1374=0,"",I1374/G1374)</f>
        <v>-0.00325312800769982</v>
      </c>
      <c r="K1374" s="0" t="n">
        <v>110.2</v>
      </c>
      <c r="L1374" s="0" t="n">
        <v>37.87</v>
      </c>
      <c r="M1374" s="11" t="s">
        <v>2769</v>
      </c>
      <c r="N1374" s="12" t="n">
        <f aca="false">INT(E1374)</f>
        <v>45778</v>
      </c>
      <c r="O1374" s="12" t="n">
        <f aca="false">IF(F1374="","",INT(F1374))</f>
        <v>45781</v>
      </c>
    </row>
    <row r="1375" customFormat="false" ht="15" hidden="false" customHeight="false" outlineLevel="0" collapsed="false">
      <c r="A1375" s="0" t="s">
        <v>2792</v>
      </c>
      <c r="B1375" s="0" t="s">
        <v>2793</v>
      </c>
      <c r="C1375" s="0" t="s">
        <v>19</v>
      </c>
      <c r="D1375" s="0" t="s">
        <v>42</v>
      </c>
      <c r="E1375" s="10" t="n">
        <v>45778.4229166667</v>
      </c>
      <c r="F1375" s="10" t="n">
        <v>45779.1426041667</v>
      </c>
      <c r="G1375" s="0" t="n">
        <v>413.85</v>
      </c>
      <c r="H1375" s="0" t="n">
        <v>412.13</v>
      </c>
      <c r="I1375" s="11" t="n">
        <f aca="false">H1375-G1375</f>
        <v>-1.72000000000003</v>
      </c>
      <c r="J1375" s="5" t="n">
        <f aca="false">IF(G1375=0,"",I1375/G1375)</f>
        <v>-0.00415609520357624</v>
      </c>
      <c r="K1375" s="0" t="n">
        <v>70.2</v>
      </c>
      <c r="L1375" s="0" t="n">
        <v>17.27</v>
      </c>
      <c r="M1375" s="11" t="s">
        <v>2769</v>
      </c>
      <c r="N1375" s="12" t="n">
        <f aca="false">INT(E1375)</f>
        <v>45778</v>
      </c>
      <c r="O1375" s="12" t="n">
        <f aca="false">IF(F1375="","",INT(F1375))</f>
        <v>45779</v>
      </c>
    </row>
    <row r="1376" customFormat="false" ht="15" hidden="false" customHeight="false" outlineLevel="0" collapsed="false">
      <c r="A1376" s="0" t="s">
        <v>2794</v>
      </c>
      <c r="B1376" s="0" t="s">
        <v>2795</v>
      </c>
      <c r="C1376" s="0" t="s">
        <v>22</v>
      </c>
      <c r="D1376" s="0" t="s">
        <v>42</v>
      </c>
      <c r="E1376" s="10" t="n">
        <v>45778.45</v>
      </c>
      <c r="F1376" s="10" t="n">
        <v>45780.603287037</v>
      </c>
      <c r="G1376" s="0" t="n">
        <v>386.64</v>
      </c>
      <c r="H1376" s="0" t="n">
        <v>385.71</v>
      </c>
      <c r="I1376" s="11" t="n">
        <f aca="false">H1376-G1376</f>
        <v>-0.930000000000007</v>
      </c>
      <c r="J1376" s="5" t="n">
        <f aca="false">IF(G1376=0,"",I1376/G1376)</f>
        <v>-0.00240533829919307</v>
      </c>
      <c r="K1376" s="0" t="n">
        <v>47.5</v>
      </c>
      <c r="L1376" s="0" t="n">
        <v>37.2</v>
      </c>
      <c r="M1376" s="11" t="s">
        <v>2769</v>
      </c>
      <c r="N1376" s="12" t="n">
        <f aca="false">INT(E1376)</f>
        <v>45778</v>
      </c>
      <c r="O1376" s="12" t="n">
        <f aca="false">IF(F1376="","",INT(F1376))</f>
        <v>45780</v>
      </c>
    </row>
    <row r="1377" customFormat="false" ht="15" hidden="false" customHeight="false" outlineLevel="0" collapsed="false">
      <c r="A1377" s="0" t="s">
        <v>2796</v>
      </c>
      <c r="B1377" s="0" t="s">
        <v>2797</v>
      </c>
      <c r="C1377" s="0" t="s">
        <v>19</v>
      </c>
      <c r="D1377" s="0" t="s">
        <v>42</v>
      </c>
      <c r="E1377" s="10" t="n">
        <v>45778.4604166667</v>
      </c>
      <c r="F1377" s="10" t="n">
        <v>45779.5097222222</v>
      </c>
      <c r="G1377" s="0" t="n">
        <v>240.53</v>
      </c>
      <c r="H1377" s="0" t="n">
        <v>242.93</v>
      </c>
      <c r="I1377" s="11" t="n">
        <f aca="false">H1377-G1377</f>
        <v>2.40000000000001</v>
      </c>
      <c r="J1377" s="5" t="n">
        <f aca="false">IF(G1377=0,"",I1377/G1377)</f>
        <v>0.00997796532657051</v>
      </c>
      <c r="K1377" s="0" t="n">
        <v>20.8</v>
      </c>
      <c r="L1377" s="0" t="n">
        <v>25.18</v>
      </c>
      <c r="M1377" s="11" t="s">
        <v>2769</v>
      </c>
      <c r="N1377" s="12" t="n">
        <f aca="false">INT(E1377)</f>
        <v>45778</v>
      </c>
      <c r="O1377" s="12" t="n">
        <f aca="false">IF(F1377="","",INT(F1377))</f>
        <v>45779</v>
      </c>
    </row>
    <row r="1378" customFormat="false" ht="15" hidden="false" customHeight="false" outlineLevel="0" collapsed="false">
      <c r="A1378" s="0" t="s">
        <v>2798</v>
      </c>
      <c r="B1378" s="0" t="s">
        <v>2799</v>
      </c>
      <c r="C1378" s="0" t="s">
        <v>20</v>
      </c>
      <c r="D1378" s="0" t="s">
        <v>42</v>
      </c>
      <c r="E1378" s="10" t="n">
        <v>45778.525</v>
      </c>
      <c r="F1378" s="10" t="n">
        <v>45779.5277777778</v>
      </c>
      <c r="G1378" s="0" t="n">
        <v>204.52</v>
      </c>
      <c r="H1378" s="0" t="n">
        <v>206.05</v>
      </c>
      <c r="I1378" s="11" t="n">
        <f aca="false">H1378-G1378</f>
        <v>1.53</v>
      </c>
      <c r="J1378" s="5" t="n">
        <f aca="false">IF(G1378=0,"",I1378/G1378)</f>
        <v>0.00748093096029729</v>
      </c>
      <c r="K1378" s="0" t="n">
        <v>44.3</v>
      </c>
      <c r="L1378" s="0" t="n">
        <v>24.07</v>
      </c>
      <c r="M1378" s="11" t="s">
        <v>2769</v>
      </c>
      <c r="N1378" s="12" t="n">
        <f aca="false">INT(E1378)</f>
        <v>45778</v>
      </c>
      <c r="O1378" s="12" t="n">
        <f aca="false">IF(F1378="","",INT(F1378))</f>
        <v>45779</v>
      </c>
    </row>
    <row r="1379" customFormat="false" ht="15" hidden="false" customHeight="false" outlineLevel="0" collapsed="false">
      <c r="A1379" s="0" t="s">
        <v>2800</v>
      </c>
      <c r="B1379" s="0" t="s">
        <v>2801</v>
      </c>
      <c r="C1379" s="0" t="s">
        <v>20</v>
      </c>
      <c r="D1379" s="0" t="s">
        <v>42</v>
      </c>
      <c r="E1379" s="10" t="n">
        <v>45778.5284722222</v>
      </c>
      <c r="F1379" s="10" t="n">
        <v>45782.0119675926</v>
      </c>
      <c r="G1379" s="0" t="n">
        <v>52.71</v>
      </c>
      <c r="H1379" s="0" t="n">
        <v>52.09</v>
      </c>
      <c r="I1379" s="11" t="n">
        <f aca="false">H1379-G1379</f>
        <v>-0.619999999999997</v>
      </c>
      <c r="J1379" s="5" t="n">
        <f aca="false">IF(G1379=0,"",I1379/G1379)</f>
        <v>-0.0117624739138683</v>
      </c>
      <c r="K1379" s="0" t="n">
        <v>5.8</v>
      </c>
      <c r="L1379" s="0" t="n">
        <v>35.6</v>
      </c>
      <c r="M1379" s="11" t="s">
        <v>2769</v>
      </c>
      <c r="N1379" s="12" t="n">
        <f aca="false">INT(E1379)</f>
        <v>45778</v>
      </c>
      <c r="O1379" s="12" t="n">
        <f aca="false">IF(F1379="","",INT(F1379))</f>
        <v>45782</v>
      </c>
    </row>
    <row r="1380" customFormat="false" ht="15" hidden="false" customHeight="false" outlineLevel="0" collapsed="false">
      <c r="A1380" s="0" t="s">
        <v>2802</v>
      </c>
      <c r="B1380" s="0" t="s">
        <v>2803</v>
      </c>
      <c r="C1380" s="0" t="s">
        <v>24</v>
      </c>
      <c r="D1380" s="0" t="s">
        <v>42</v>
      </c>
      <c r="E1380" s="10" t="n">
        <v>45778.5361111111</v>
      </c>
      <c r="F1380" s="10" t="n">
        <v>45781.2362731482</v>
      </c>
      <c r="G1380" s="0" t="n">
        <v>546.01</v>
      </c>
      <c r="H1380" s="0" t="n">
        <v>551.15</v>
      </c>
      <c r="I1380" s="11" t="n">
        <f aca="false">H1380-G1380</f>
        <v>5.13999999999999</v>
      </c>
      <c r="J1380" s="5" t="n">
        <f aca="false">IF(G1380=0,"",I1380/G1380)</f>
        <v>0.00941374700097065</v>
      </c>
      <c r="K1380" s="0" t="n">
        <v>209.6</v>
      </c>
      <c r="L1380" s="0" t="n">
        <v>35.13</v>
      </c>
      <c r="M1380" s="11" t="s">
        <v>2769</v>
      </c>
      <c r="N1380" s="12" t="n">
        <f aca="false">INT(E1380)</f>
        <v>45778</v>
      </c>
      <c r="O1380" s="12" t="n">
        <f aca="false">IF(F1380="","",INT(F1380))</f>
        <v>45781</v>
      </c>
    </row>
    <row r="1381" customFormat="false" ht="15" hidden="false" customHeight="false" outlineLevel="0" collapsed="false">
      <c r="A1381" s="0" t="s">
        <v>2804</v>
      </c>
      <c r="B1381" s="0" t="s">
        <v>2805</v>
      </c>
      <c r="C1381" s="0" t="s">
        <v>22</v>
      </c>
      <c r="D1381" s="0" t="s">
        <v>42</v>
      </c>
      <c r="E1381" s="10" t="n">
        <v>45778.5486111111</v>
      </c>
      <c r="F1381" s="10" t="n">
        <v>45778.9536921296</v>
      </c>
      <c r="G1381" s="0" t="n">
        <v>62.27</v>
      </c>
      <c r="H1381" s="0" t="n">
        <v>62.38</v>
      </c>
      <c r="I1381" s="11" t="n">
        <f aca="false">H1381-G1381</f>
        <v>0.109999999999999</v>
      </c>
      <c r="J1381" s="5" t="n">
        <f aca="false">IF(G1381=0,"",I1381/G1381)</f>
        <v>0.00176650072265938</v>
      </c>
      <c r="K1381" s="0" t="n">
        <v>7.6</v>
      </c>
      <c r="L1381" s="0" t="n">
        <v>9.72</v>
      </c>
      <c r="M1381" s="11" t="s">
        <v>2769</v>
      </c>
      <c r="N1381" s="12" t="n">
        <f aca="false">INT(E1381)</f>
        <v>45778</v>
      </c>
      <c r="O1381" s="12" t="n">
        <f aca="false">IF(F1381="","",INT(F1381))</f>
        <v>45778</v>
      </c>
    </row>
    <row r="1382" customFormat="false" ht="15" hidden="false" customHeight="false" outlineLevel="0" collapsed="false">
      <c r="A1382" s="0" t="s">
        <v>2806</v>
      </c>
      <c r="B1382" s="0" t="s">
        <v>2807</v>
      </c>
      <c r="C1382" s="0" t="s">
        <v>19</v>
      </c>
      <c r="D1382" s="0" t="s">
        <v>42</v>
      </c>
      <c r="E1382" s="10" t="n">
        <v>45778.5611111111</v>
      </c>
      <c r="F1382" s="10" t="n">
        <v>45779.0944444445</v>
      </c>
      <c r="G1382" s="0" t="n">
        <v>912.1</v>
      </c>
      <c r="H1382" s="0" t="n">
        <v>924.45</v>
      </c>
      <c r="I1382" s="11" t="n">
        <f aca="false">H1382-G1382</f>
        <v>12.35</v>
      </c>
      <c r="J1382" s="5" t="n">
        <f aca="false">IF(G1382=0,"",I1382/G1382)</f>
        <v>0.013540181997588</v>
      </c>
      <c r="K1382" s="0" t="n">
        <v>132</v>
      </c>
      <c r="L1382" s="0" t="n">
        <v>12.8</v>
      </c>
      <c r="M1382" s="11" t="s">
        <v>2769</v>
      </c>
      <c r="N1382" s="12" t="n">
        <f aca="false">INT(E1382)</f>
        <v>45778</v>
      </c>
      <c r="O1382" s="12" t="n">
        <f aca="false">IF(F1382="","",INT(F1382))</f>
        <v>45779</v>
      </c>
    </row>
    <row r="1383" customFormat="false" ht="15" hidden="false" customHeight="false" outlineLevel="0" collapsed="false">
      <c r="A1383" s="0" t="s">
        <v>2808</v>
      </c>
      <c r="B1383" s="0" t="s">
        <v>2809</v>
      </c>
      <c r="C1383" s="0" t="s">
        <v>19</v>
      </c>
      <c r="D1383" s="0" t="s">
        <v>42</v>
      </c>
      <c r="E1383" s="10" t="n">
        <v>45778.5819444444</v>
      </c>
      <c r="F1383" s="10" t="n">
        <v>45778.975</v>
      </c>
      <c r="G1383" s="0" t="n">
        <v>400.36</v>
      </c>
      <c r="H1383" s="0" t="n">
        <v>398.92</v>
      </c>
      <c r="I1383" s="11" t="n">
        <f aca="false">H1383-G1383</f>
        <v>-1.44</v>
      </c>
      <c r="J1383" s="5" t="n">
        <f aca="false">IF(G1383=0,"",I1383/G1383)</f>
        <v>-0.00359676291337795</v>
      </c>
      <c r="K1383" s="0" t="n">
        <v>35.6</v>
      </c>
      <c r="L1383" s="0" t="n">
        <v>9.43</v>
      </c>
      <c r="M1383" s="11" t="s">
        <v>2769</v>
      </c>
      <c r="N1383" s="12" t="n">
        <f aca="false">INT(E1383)</f>
        <v>45778</v>
      </c>
      <c r="O1383" s="12" t="n">
        <f aca="false">IF(F1383="","",INT(F1383))</f>
        <v>45778</v>
      </c>
    </row>
    <row r="1384" customFormat="false" ht="15" hidden="false" customHeight="false" outlineLevel="0" collapsed="false">
      <c r="A1384" s="0" t="s">
        <v>2810</v>
      </c>
      <c r="B1384" s="0" t="s">
        <v>2811</v>
      </c>
      <c r="C1384" s="0" t="s">
        <v>21</v>
      </c>
      <c r="D1384" s="0" t="s">
        <v>42</v>
      </c>
      <c r="E1384" s="10" t="n">
        <v>45778.5833333333</v>
      </c>
      <c r="F1384" s="10" t="n">
        <v>45779.3791666667</v>
      </c>
      <c r="G1384" s="0" t="n">
        <v>114.7</v>
      </c>
      <c r="H1384" s="0" t="n">
        <v>117.99</v>
      </c>
      <c r="I1384" s="11" t="n">
        <f aca="false">H1384-G1384</f>
        <v>3.28999999999999</v>
      </c>
      <c r="J1384" s="5" t="n">
        <f aca="false">IF(G1384=0,"",I1384/G1384)</f>
        <v>0.0286835222319093</v>
      </c>
      <c r="K1384" s="0" t="n">
        <v>30.2</v>
      </c>
      <c r="L1384" s="0" t="n">
        <v>19.1</v>
      </c>
      <c r="M1384" s="11" t="s">
        <v>2769</v>
      </c>
      <c r="N1384" s="12" t="n">
        <f aca="false">INT(E1384)</f>
        <v>45778</v>
      </c>
      <c r="O1384" s="12" t="n">
        <f aca="false">IF(F1384="","",INT(F1384))</f>
        <v>45779</v>
      </c>
    </row>
    <row r="1385" customFormat="false" ht="15" hidden="false" customHeight="false" outlineLevel="0" collapsed="false">
      <c r="A1385" s="0" t="s">
        <v>2812</v>
      </c>
      <c r="B1385" s="0" t="s">
        <v>2813</v>
      </c>
      <c r="C1385" s="0" t="s">
        <v>19</v>
      </c>
      <c r="D1385" s="0" t="s">
        <v>42</v>
      </c>
      <c r="E1385" s="10" t="n">
        <v>45778.5847222222</v>
      </c>
      <c r="F1385" s="10" t="n">
        <v>45779.2001157407</v>
      </c>
      <c r="G1385" s="0" t="n">
        <v>191.75</v>
      </c>
      <c r="H1385" s="0" t="n">
        <v>183.99</v>
      </c>
      <c r="I1385" s="11" t="n">
        <f aca="false">H1385-G1385</f>
        <v>-7.75999999999999</v>
      </c>
      <c r="J1385" s="5" t="n">
        <f aca="false">IF(G1385=0,"",I1385/G1385)</f>
        <v>-0.0404693611473272</v>
      </c>
      <c r="K1385" s="0" t="n">
        <v>36</v>
      </c>
      <c r="L1385" s="0" t="n">
        <v>14.77</v>
      </c>
      <c r="M1385" s="11" t="s">
        <v>2769</v>
      </c>
      <c r="N1385" s="12" t="n">
        <f aca="false">INT(E1385)</f>
        <v>45778</v>
      </c>
      <c r="O1385" s="12" t="n">
        <f aca="false">IF(F1385="","",INT(F1385))</f>
        <v>45779</v>
      </c>
    </row>
    <row r="1386" customFormat="false" ht="15" hidden="false" customHeight="false" outlineLevel="0" collapsed="false">
      <c r="A1386" s="0" t="s">
        <v>2814</v>
      </c>
      <c r="B1386" s="0" t="s">
        <v>2815</v>
      </c>
      <c r="C1386" s="0" t="s">
        <v>19</v>
      </c>
      <c r="D1386" s="0" t="s">
        <v>42</v>
      </c>
      <c r="E1386" s="10" t="n">
        <v>45778.6020833333</v>
      </c>
      <c r="F1386" s="10" t="n">
        <v>45779.0545023148</v>
      </c>
      <c r="G1386" s="0" t="n">
        <v>525.87</v>
      </c>
      <c r="H1386" s="0" t="n">
        <v>543.22</v>
      </c>
      <c r="I1386" s="11" t="n">
        <f aca="false">H1386-G1386</f>
        <v>17.35</v>
      </c>
      <c r="J1386" s="5" t="n">
        <f aca="false">IF(G1386=0,"",I1386/G1386)</f>
        <v>0.0329929450244357</v>
      </c>
      <c r="K1386" s="0" t="n">
        <v>53</v>
      </c>
      <c r="L1386" s="0" t="n">
        <v>10.86</v>
      </c>
      <c r="M1386" s="11" t="s">
        <v>2769</v>
      </c>
      <c r="N1386" s="12" t="n">
        <f aca="false">INT(E1386)</f>
        <v>45778</v>
      </c>
      <c r="O1386" s="12" t="n">
        <f aca="false">IF(F1386="","",INT(F1386))</f>
        <v>45779</v>
      </c>
    </row>
    <row r="1387" customFormat="false" ht="15" hidden="false" customHeight="false" outlineLevel="0" collapsed="false">
      <c r="A1387" s="0" t="s">
        <v>2816</v>
      </c>
      <c r="B1387" s="0" t="s">
        <v>2817</v>
      </c>
      <c r="C1387" s="0" t="s">
        <v>19</v>
      </c>
      <c r="D1387" s="0" t="s">
        <v>42</v>
      </c>
      <c r="E1387" s="10" t="n">
        <v>45778.6027777778</v>
      </c>
      <c r="F1387" s="10" t="n">
        <v>45779.5165740741</v>
      </c>
      <c r="G1387" s="0" t="n">
        <v>325.74</v>
      </c>
      <c r="H1387" s="0" t="n">
        <v>319.14</v>
      </c>
      <c r="I1387" s="11" t="n">
        <f aca="false">H1387-G1387</f>
        <v>-6.60000000000002</v>
      </c>
      <c r="J1387" s="5" t="n">
        <f aca="false">IF(G1387=0,"",I1387/G1387)</f>
        <v>-0.0202615582980292</v>
      </c>
      <c r="K1387" s="0" t="n">
        <v>31.1</v>
      </c>
      <c r="L1387" s="0" t="n">
        <v>21.93</v>
      </c>
      <c r="M1387" s="11" t="s">
        <v>2769</v>
      </c>
      <c r="N1387" s="12" t="n">
        <f aca="false">INT(E1387)</f>
        <v>45778</v>
      </c>
      <c r="O1387" s="12" t="n">
        <f aca="false">IF(F1387="","",INT(F1387))</f>
        <v>45779</v>
      </c>
    </row>
    <row r="1388" customFormat="false" ht="15" hidden="false" customHeight="false" outlineLevel="0" collapsed="false">
      <c r="A1388" s="0" t="s">
        <v>2818</v>
      </c>
      <c r="B1388" s="0" t="s">
        <v>2819</v>
      </c>
      <c r="C1388" s="0" t="s">
        <v>21</v>
      </c>
      <c r="D1388" s="0" t="s">
        <v>48</v>
      </c>
      <c r="E1388" s="10" t="n">
        <v>45778.6041666667</v>
      </c>
      <c r="F1388" s="10"/>
      <c r="G1388" s="0" t="n">
        <v>266.84</v>
      </c>
      <c r="H1388" s="0" t="n">
        <v>267.25</v>
      </c>
      <c r="I1388" s="11" t="n">
        <f aca="false">H1388-G1388</f>
        <v>0.410000000000025</v>
      </c>
      <c r="J1388" s="5" t="n">
        <f aca="false">IF(G1388=0,"",I1388/G1388)</f>
        <v>0.00153650127417188</v>
      </c>
      <c r="K1388" s="0" t="n">
        <v>40.2</v>
      </c>
      <c r="M1388" s="11" t="s">
        <v>2769</v>
      </c>
      <c r="N1388" s="12" t="n">
        <f aca="false">INT(E1388)</f>
        <v>45778</v>
      </c>
      <c r="O1388" s="12" t="str">
        <f aca="false">IF(F1388="","",INT(F1388))</f>
        <v/>
      </c>
    </row>
    <row r="1389" customFormat="false" ht="15" hidden="false" customHeight="false" outlineLevel="0" collapsed="false">
      <c r="A1389" s="0" t="s">
        <v>2820</v>
      </c>
      <c r="B1389" s="0" t="s">
        <v>2821</v>
      </c>
      <c r="C1389" s="0" t="s">
        <v>20</v>
      </c>
      <c r="D1389" s="0" t="s">
        <v>42</v>
      </c>
      <c r="E1389" s="10" t="n">
        <v>45778.6472222222</v>
      </c>
      <c r="F1389" s="10" t="n">
        <v>45779.7006944444</v>
      </c>
      <c r="G1389" s="0" t="n">
        <v>1086.48</v>
      </c>
      <c r="H1389" s="0" t="n">
        <v>1062.86</v>
      </c>
      <c r="I1389" s="11" t="n">
        <f aca="false">H1389-G1389</f>
        <v>-23.6200000000001</v>
      </c>
      <c r="J1389" s="5" t="n">
        <f aca="false">IF(G1389=0,"",I1389/G1389)</f>
        <v>-0.0217399307856565</v>
      </c>
      <c r="K1389" s="0" t="n">
        <v>184.7</v>
      </c>
      <c r="L1389" s="0" t="n">
        <v>25.28</v>
      </c>
      <c r="M1389" s="11" t="s">
        <v>2769</v>
      </c>
      <c r="N1389" s="12" t="n">
        <f aca="false">INT(E1389)</f>
        <v>45778</v>
      </c>
      <c r="O1389" s="12" t="n">
        <f aca="false">IF(F1389="","",INT(F1389))</f>
        <v>45779</v>
      </c>
    </row>
    <row r="1390" customFormat="false" ht="15" hidden="false" customHeight="false" outlineLevel="0" collapsed="false">
      <c r="A1390" s="0" t="s">
        <v>2822</v>
      </c>
      <c r="B1390" s="0" t="s">
        <v>2823</v>
      </c>
      <c r="C1390" s="0" t="s">
        <v>23</v>
      </c>
      <c r="D1390" s="0" t="s">
        <v>42</v>
      </c>
      <c r="E1390" s="10" t="n">
        <v>45778.6597222222</v>
      </c>
      <c r="F1390" s="10" t="n">
        <v>45780.5314814815</v>
      </c>
      <c r="G1390" s="0" t="n">
        <v>975.26</v>
      </c>
      <c r="H1390" s="0" t="n">
        <v>984.98</v>
      </c>
      <c r="I1390" s="11" t="n">
        <f aca="false">H1390-G1390</f>
        <v>9.72000000000003</v>
      </c>
      <c r="J1390" s="5" t="n">
        <f aca="false">IF(G1390=0,"",I1390/G1390)</f>
        <v>0.00996657301642642</v>
      </c>
      <c r="K1390" s="0" t="n">
        <v>405.7</v>
      </c>
      <c r="L1390" s="0" t="n">
        <v>32.17</v>
      </c>
      <c r="M1390" s="11" t="s">
        <v>2769</v>
      </c>
      <c r="N1390" s="12" t="n">
        <f aca="false">INT(E1390)</f>
        <v>45778</v>
      </c>
      <c r="O1390" s="12" t="n">
        <f aca="false">IF(F1390="","",INT(F1390))</f>
        <v>45780</v>
      </c>
    </row>
    <row r="1391" customFormat="false" ht="15" hidden="false" customHeight="false" outlineLevel="0" collapsed="false">
      <c r="A1391" s="0" t="s">
        <v>2824</v>
      </c>
      <c r="B1391" s="0" t="s">
        <v>2825</v>
      </c>
      <c r="C1391" s="0" t="s">
        <v>22</v>
      </c>
      <c r="D1391" s="0" t="s">
        <v>42</v>
      </c>
      <c r="E1391" s="10" t="n">
        <v>45778.6722222222</v>
      </c>
      <c r="F1391" s="10" t="n">
        <v>45779.5778356482</v>
      </c>
      <c r="G1391" s="0" t="n">
        <v>737.45</v>
      </c>
      <c r="H1391" s="0" t="n">
        <v>726.1</v>
      </c>
      <c r="I1391" s="11" t="n">
        <f aca="false">H1391-G1391</f>
        <v>-11.35</v>
      </c>
      <c r="J1391" s="5" t="n">
        <f aca="false">IF(G1391=0,"",I1391/G1391)</f>
        <v>-0.0153908739575565</v>
      </c>
      <c r="K1391" s="0" t="n">
        <v>79.2</v>
      </c>
      <c r="L1391" s="0" t="n">
        <v>21.73</v>
      </c>
      <c r="M1391" s="11" t="s">
        <v>2769</v>
      </c>
      <c r="N1391" s="12" t="n">
        <f aca="false">INT(E1391)</f>
        <v>45778</v>
      </c>
      <c r="O1391" s="12" t="n">
        <f aca="false">IF(F1391="","",INT(F1391))</f>
        <v>45779</v>
      </c>
    </row>
    <row r="1392" customFormat="false" ht="15" hidden="false" customHeight="false" outlineLevel="0" collapsed="false">
      <c r="A1392" s="0" t="s">
        <v>2826</v>
      </c>
      <c r="B1392" s="0" t="s">
        <v>2827</v>
      </c>
      <c r="C1392" s="0" t="s">
        <v>23</v>
      </c>
      <c r="D1392" s="0" t="s">
        <v>42</v>
      </c>
      <c r="E1392" s="10" t="n">
        <v>45778.6729166667</v>
      </c>
      <c r="F1392" s="10" t="n">
        <v>45779.0236111111</v>
      </c>
      <c r="G1392" s="0" t="n">
        <v>2044.11</v>
      </c>
      <c r="H1392" s="0" t="n">
        <v>2114.21</v>
      </c>
      <c r="I1392" s="11" t="n">
        <f aca="false">H1392-G1392</f>
        <v>70.1000000000001</v>
      </c>
      <c r="J1392" s="5" t="n">
        <f aca="false">IF(G1392=0,"",I1392/G1392)</f>
        <v>0.0342936534726605</v>
      </c>
      <c r="K1392" s="0" t="n">
        <v>474.1</v>
      </c>
      <c r="L1392" s="0" t="n">
        <v>8.42</v>
      </c>
      <c r="M1392" s="11" t="s">
        <v>2769</v>
      </c>
      <c r="N1392" s="12" t="n">
        <f aca="false">INT(E1392)</f>
        <v>45778</v>
      </c>
      <c r="O1392" s="12" t="n">
        <f aca="false">IF(F1392="","",INT(F1392))</f>
        <v>45779</v>
      </c>
    </row>
    <row r="1393" customFormat="false" ht="15" hidden="false" customHeight="false" outlineLevel="0" collapsed="false">
      <c r="A1393" s="0" t="s">
        <v>2828</v>
      </c>
      <c r="B1393" s="0" t="s">
        <v>2829</v>
      </c>
      <c r="C1393" s="0" t="s">
        <v>23</v>
      </c>
      <c r="D1393" s="0" t="s">
        <v>42</v>
      </c>
      <c r="E1393" s="10" t="n">
        <v>45778.6756944444</v>
      </c>
      <c r="F1393" s="10" t="n">
        <v>45780.0747569444</v>
      </c>
      <c r="G1393" s="0" t="n">
        <v>1827.42</v>
      </c>
      <c r="H1393" s="0" t="n">
        <v>1864.82</v>
      </c>
      <c r="I1393" s="11" t="n">
        <f aca="false">H1393-G1393</f>
        <v>37.3999999999999</v>
      </c>
      <c r="J1393" s="5" t="n">
        <f aca="false">IF(G1393=0,"",I1393/G1393)</f>
        <v>0.0204660121920521</v>
      </c>
      <c r="K1393" s="0" t="n">
        <v>682.5</v>
      </c>
      <c r="L1393" s="0" t="n">
        <v>31.78</v>
      </c>
      <c r="M1393" s="11" t="s">
        <v>2769</v>
      </c>
      <c r="N1393" s="12" t="n">
        <f aca="false">INT(E1393)</f>
        <v>45778</v>
      </c>
      <c r="O1393" s="12" t="n">
        <f aca="false">IF(F1393="","",INT(F1393))</f>
        <v>45780</v>
      </c>
    </row>
    <row r="1394" customFormat="false" ht="15" hidden="false" customHeight="false" outlineLevel="0" collapsed="false">
      <c r="A1394" s="0" t="s">
        <v>2830</v>
      </c>
      <c r="B1394" s="0" t="s">
        <v>2831</v>
      </c>
      <c r="C1394" s="0" t="s">
        <v>19</v>
      </c>
      <c r="D1394" s="0" t="s">
        <v>303</v>
      </c>
      <c r="E1394" s="10" t="n">
        <v>45778.6881944445</v>
      </c>
      <c r="F1394" s="10"/>
      <c r="G1394" s="0" t="n">
        <v>688.89</v>
      </c>
      <c r="H1394" s="0" t="n">
        <v>679.23</v>
      </c>
      <c r="I1394" s="11" t="n">
        <f aca="false">H1394-G1394</f>
        <v>-9.65999999999997</v>
      </c>
      <c r="J1394" s="5" t="n">
        <f aca="false">IF(G1394=0,"",I1394/G1394)</f>
        <v>-0.0140225580281322</v>
      </c>
      <c r="K1394" s="0" t="n">
        <v>116.4</v>
      </c>
      <c r="M1394" s="11" t="s">
        <v>2769</v>
      </c>
      <c r="N1394" s="12" t="n">
        <f aca="false">INT(E1394)</f>
        <v>45778</v>
      </c>
      <c r="O1394" s="12" t="str">
        <f aca="false">IF(F1394="","",INT(F1394))</f>
        <v/>
      </c>
    </row>
    <row r="1395" customFormat="false" ht="15" hidden="false" customHeight="false" outlineLevel="0" collapsed="false">
      <c r="A1395" s="0" t="s">
        <v>2832</v>
      </c>
      <c r="B1395" s="0" t="s">
        <v>2833</v>
      </c>
      <c r="C1395" s="0" t="s">
        <v>23</v>
      </c>
      <c r="D1395" s="0" t="s">
        <v>42</v>
      </c>
      <c r="E1395" s="10" t="n">
        <v>45778.725</v>
      </c>
      <c r="F1395" s="10" t="n">
        <v>45781.9631944444</v>
      </c>
      <c r="G1395" s="0" t="n">
        <v>237.29</v>
      </c>
      <c r="H1395" s="0" t="n">
        <v>239.2</v>
      </c>
      <c r="I1395" s="11" t="n">
        <f aca="false">H1395-G1395</f>
        <v>1.91</v>
      </c>
      <c r="J1395" s="5" t="n">
        <f aca="false">IF(G1395=0,"",I1395/G1395)</f>
        <v>0.00804922247039486</v>
      </c>
      <c r="K1395" s="0" t="n">
        <v>90.3</v>
      </c>
      <c r="L1395" s="0" t="n">
        <v>30.6</v>
      </c>
      <c r="M1395" s="11" t="s">
        <v>2769</v>
      </c>
      <c r="N1395" s="12" t="n">
        <f aca="false">INT(E1395)</f>
        <v>45778</v>
      </c>
      <c r="O1395" s="12" t="n">
        <f aca="false">IF(F1395="","",INT(F1395))</f>
        <v>45781</v>
      </c>
    </row>
    <row r="1396" customFormat="false" ht="15" hidden="false" customHeight="false" outlineLevel="0" collapsed="false">
      <c r="A1396" s="0" t="s">
        <v>2834</v>
      </c>
      <c r="B1396" s="0" t="s">
        <v>2835</v>
      </c>
      <c r="C1396" s="0" t="s">
        <v>23</v>
      </c>
      <c r="D1396" s="0" t="s">
        <v>42</v>
      </c>
      <c r="E1396" s="10" t="n">
        <v>45778.7631944444</v>
      </c>
      <c r="F1396" s="10" t="n">
        <v>45780.1295601852</v>
      </c>
      <c r="G1396" s="0" t="n">
        <v>763.72</v>
      </c>
      <c r="H1396" s="0" t="n">
        <v>750.27</v>
      </c>
      <c r="I1396" s="11" t="n">
        <f aca="false">H1396-G1396</f>
        <v>-13.45</v>
      </c>
      <c r="J1396" s="5" t="n">
        <f aca="false">IF(G1396=0,"",I1396/G1396)</f>
        <v>-0.0176111663960614</v>
      </c>
      <c r="K1396" s="0" t="n">
        <v>322</v>
      </c>
      <c r="L1396" s="0" t="n">
        <v>29.68</v>
      </c>
      <c r="M1396" s="11" t="s">
        <v>2769</v>
      </c>
      <c r="N1396" s="12" t="n">
        <f aca="false">INT(E1396)</f>
        <v>45778</v>
      </c>
      <c r="O1396" s="12" t="n">
        <f aca="false">IF(F1396="","",INT(F1396))</f>
        <v>45780</v>
      </c>
    </row>
    <row r="1397" customFormat="false" ht="15" hidden="false" customHeight="false" outlineLevel="0" collapsed="false">
      <c r="A1397" s="0" t="s">
        <v>2836</v>
      </c>
      <c r="B1397" s="0" t="s">
        <v>2837</v>
      </c>
      <c r="C1397" s="0" t="s">
        <v>21</v>
      </c>
      <c r="D1397" s="0" t="s">
        <v>42</v>
      </c>
      <c r="E1397" s="10" t="n">
        <v>45778.7701388889</v>
      </c>
      <c r="F1397" s="10" t="n">
        <v>45779.6506944444</v>
      </c>
      <c r="G1397" s="0" t="n">
        <v>1124.14</v>
      </c>
      <c r="H1397" s="0" t="n">
        <v>1158.02</v>
      </c>
      <c r="I1397" s="11" t="n">
        <f aca="false">H1397-G1397</f>
        <v>33.8799999999999</v>
      </c>
      <c r="J1397" s="5" t="n">
        <f aca="false">IF(G1397=0,"",I1397/G1397)</f>
        <v>0.0301385948369419</v>
      </c>
      <c r="K1397" s="0" t="n">
        <v>175.9</v>
      </c>
      <c r="L1397" s="0" t="n">
        <v>21.13</v>
      </c>
      <c r="M1397" s="11" t="s">
        <v>2769</v>
      </c>
      <c r="N1397" s="12" t="n">
        <f aca="false">INT(E1397)</f>
        <v>45778</v>
      </c>
      <c r="O1397" s="12" t="n">
        <f aca="false">IF(F1397="","",INT(F1397))</f>
        <v>45779</v>
      </c>
    </row>
    <row r="1398" customFormat="false" ht="15" hidden="false" customHeight="false" outlineLevel="0" collapsed="false">
      <c r="A1398" s="0" t="s">
        <v>2838</v>
      </c>
      <c r="B1398" s="0" t="s">
        <v>2839</v>
      </c>
      <c r="C1398" s="0" t="s">
        <v>21</v>
      </c>
      <c r="D1398" s="0" t="s">
        <v>42</v>
      </c>
      <c r="E1398" s="10" t="n">
        <v>45778.7847222222</v>
      </c>
      <c r="F1398" s="10" t="n">
        <v>45779.1506944444</v>
      </c>
      <c r="G1398" s="0" t="n">
        <v>713.84</v>
      </c>
      <c r="H1398" s="0" t="n">
        <v>700.15</v>
      </c>
      <c r="I1398" s="11" t="n">
        <f aca="false">H1398-G1398</f>
        <v>-13.6900000000001</v>
      </c>
      <c r="J1398" s="5" t="n">
        <f aca="false">IF(G1398=0,"",I1398/G1398)</f>
        <v>-0.0191779670514402</v>
      </c>
      <c r="K1398" s="0" t="n">
        <v>142.6</v>
      </c>
      <c r="L1398" s="0" t="n">
        <v>8.78</v>
      </c>
      <c r="M1398" s="11" t="s">
        <v>2769</v>
      </c>
      <c r="N1398" s="12" t="n">
        <f aca="false">INT(E1398)</f>
        <v>45778</v>
      </c>
      <c r="O1398" s="12" t="n">
        <f aca="false">IF(F1398="","",INT(F1398))</f>
        <v>45779</v>
      </c>
    </row>
    <row r="1399" customFormat="false" ht="15" hidden="false" customHeight="false" outlineLevel="0" collapsed="false">
      <c r="A1399" s="0" t="s">
        <v>2840</v>
      </c>
      <c r="B1399" s="0" t="s">
        <v>2841</v>
      </c>
      <c r="C1399" s="0" t="s">
        <v>23</v>
      </c>
      <c r="D1399" s="0" t="s">
        <v>42</v>
      </c>
      <c r="E1399" s="10" t="n">
        <v>45779.2986111111</v>
      </c>
      <c r="F1399" s="10" t="n">
        <v>45780.1180555556</v>
      </c>
      <c r="G1399" s="0" t="n">
        <v>466.87</v>
      </c>
      <c r="H1399" s="0" t="n">
        <v>524.63</v>
      </c>
      <c r="I1399" s="11" t="n">
        <f aca="false">H1399-G1399</f>
        <v>57.76</v>
      </c>
      <c r="J1399" s="5" t="n">
        <f aca="false">IF(G1399=0,"",I1399/G1399)</f>
        <v>0.12371752307923</v>
      </c>
      <c r="K1399" s="0" t="n">
        <v>198.6</v>
      </c>
      <c r="L1399" s="0" t="n">
        <v>16.83</v>
      </c>
      <c r="M1399" s="11" t="s">
        <v>2769</v>
      </c>
      <c r="N1399" s="12" t="n">
        <f aca="false">INT(E1399)</f>
        <v>45779</v>
      </c>
      <c r="O1399" s="12" t="n">
        <f aca="false">IF(F1399="","",INT(F1399))</f>
        <v>45780</v>
      </c>
    </row>
    <row r="1400" customFormat="false" ht="15" hidden="false" customHeight="false" outlineLevel="0" collapsed="false">
      <c r="A1400" s="0" t="s">
        <v>2842</v>
      </c>
      <c r="B1400" s="0" t="s">
        <v>2843</v>
      </c>
      <c r="C1400" s="0" t="s">
        <v>23</v>
      </c>
      <c r="D1400" s="0" t="s">
        <v>42</v>
      </c>
      <c r="E1400" s="10" t="n">
        <v>45779.3034722222</v>
      </c>
      <c r="F1400" s="10" t="n">
        <v>45779.8888888889</v>
      </c>
      <c r="G1400" s="0" t="n">
        <v>1798.55</v>
      </c>
      <c r="H1400" s="0" t="n">
        <v>1744.65</v>
      </c>
      <c r="I1400" s="11" t="n">
        <f aca="false">H1400-G1400</f>
        <v>-53.8999999999999</v>
      </c>
      <c r="J1400" s="5" t="n">
        <f aca="false">IF(G1400=0,"",I1400/G1400)</f>
        <v>-0.0299685858052319</v>
      </c>
      <c r="K1400" s="0" t="n">
        <v>690.8</v>
      </c>
      <c r="L1400" s="0" t="n">
        <v>14.05</v>
      </c>
      <c r="M1400" s="11" t="s">
        <v>2769</v>
      </c>
      <c r="N1400" s="12" t="n">
        <f aca="false">INT(E1400)</f>
        <v>45779</v>
      </c>
      <c r="O1400" s="12" t="n">
        <f aca="false">IF(F1400="","",INT(F1400))</f>
        <v>45779</v>
      </c>
    </row>
    <row r="1401" customFormat="false" ht="15" hidden="false" customHeight="false" outlineLevel="0" collapsed="false">
      <c r="A1401" s="0" t="s">
        <v>2844</v>
      </c>
      <c r="B1401" s="0" t="s">
        <v>2845</v>
      </c>
      <c r="C1401" s="0" t="s">
        <v>24</v>
      </c>
      <c r="D1401" s="0" t="s">
        <v>42</v>
      </c>
      <c r="E1401" s="10" t="n">
        <v>45779.3090277778</v>
      </c>
      <c r="F1401" s="10" t="n">
        <v>45782.9756944445</v>
      </c>
      <c r="G1401" s="0" t="n">
        <v>48.97</v>
      </c>
      <c r="H1401" s="0" t="n">
        <v>49.68</v>
      </c>
      <c r="I1401" s="11" t="n">
        <f aca="false">H1401-G1401</f>
        <v>0.710000000000001</v>
      </c>
      <c r="J1401" s="5" t="n">
        <f aca="false">IF(G1401=0,"",I1401/G1401)</f>
        <v>0.0144986726567286</v>
      </c>
      <c r="K1401" s="0" t="n">
        <v>14.1</v>
      </c>
      <c r="L1401" s="0" t="n">
        <v>40</v>
      </c>
      <c r="M1401" s="11" t="s">
        <v>2769</v>
      </c>
      <c r="N1401" s="12" t="n">
        <f aca="false">INT(E1401)</f>
        <v>45779</v>
      </c>
      <c r="O1401" s="12" t="n">
        <f aca="false">IF(F1401="","",INT(F1401))</f>
        <v>45782</v>
      </c>
    </row>
    <row r="1402" customFormat="false" ht="15" hidden="false" customHeight="false" outlineLevel="0" collapsed="false">
      <c r="A1402" s="0" t="s">
        <v>2846</v>
      </c>
      <c r="B1402" s="0" t="s">
        <v>2847</v>
      </c>
      <c r="C1402" s="0" t="s">
        <v>23</v>
      </c>
      <c r="D1402" s="0" t="s">
        <v>42</v>
      </c>
      <c r="E1402" s="10" t="n">
        <v>45779.3180555556</v>
      </c>
      <c r="F1402" s="10" t="n">
        <v>45780.8125</v>
      </c>
      <c r="G1402" s="0" t="n">
        <v>194.41</v>
      </c>
      <c r="H1402" s="0" t="n">
        <v>197.12</v>
      </c>
      <c r="I1402" s="11" t="n">
        <f aca="false">H1402-G1402</f>
        <v>2.71000000000001</v>
      </c>
      <c r="J1402" s="5" t="n">
        <f aca="false">IF(G1402=0,"",I1402/G1402)</f>
        <v>0.0139396121598684</v>
      </c>
      <c r="K1402" s="0" t="n">
        <v>41.6</v>
      </c>
      <c r="L1402" s="0" t="n">
        <v>16.37</v>
      </c>
      <c r="M1402" s="11" t="s">
        <v>2769</v>
      </c>
      <c r="N1402" s="12" t="n">
        <f aca="false">INT(E1402)</f>
        <v>45779</v>
      </c>
      <c r="O1402" s="12" t="n">
        <f aca="false">IF(F1402="","",INT(F1402))</f>
        <v>45780</v>
      </c>
    </row>
    <row r="1403" customFormat="false" ht="15" hidden="false" customHeight="false" outlineLevel="0" collapsed="false">
      <c r="A1403" s="0" t="s">
        <v>2848</v>
      </c>
      <c r="B1403" s="0" t="s">
        <v>2849</v>
      </c>
      <c r="C1403" s="0" t="s">
        <v>23</v>
      </c>
      <c r="D1403" s="0" t="s">
        <v>42</v>
      </c>
      <c r="E1403" s="10" t="n">
        <v>45779.3256944444</v>
      </c>
      <c r="F1403" s="10" t="n">
        <v>45780.7083333333</v>
      </c>
      <c r="G1403" s="0" t="n">
        <v>512.57</v>
      </c>
      <c r="H1403" s="0" t="n">
        <v>523.08</v>
      </c>
      <c r="I1403" s="11" t="n">
        <f aca="false">H1403-G1403</f>
        <v>10.51</v>
      </c>
      <c r="J1403" s="5" t="n">
        <f aca="false">IF(G1403=0,"",I1403/G1403)</f>
        <v>0.0205045164562889</v>
      </c>
      <c r="K1403" s="0" t="n">
        <v>126.6</v>
      </c>
      <c r="L1403" s="0" t="n">
        <v>16.18</v>
      </c>
      <c r="M1403" s="11" t="s">
        <v>2769</v>
      </c>
      <c r="N1403" s="12" t="n">
        <f aca="false">INT(E1403)</f>
        <v>45779</v>
      </c>
      <c r="O1403" s="12" t="n">
        <f aca="false">IF(F1403="","",INT(F1403))</f>
        <v>45780</v>
      </c>
    </row>
    <row r="1404" customFormat="false" ht="15" hidden="false" customHeight="false" outlineLevel="0" collapsed="false">
      <c r="A1404" s="0" t="s">
        <v>2850</v>
      </c>
      <c r="B1404" s="0" t="s">
        <v>2851</v>
      </c>
      <c r="C1404" s="0" t="s">
        <v>20</v>
      </c>
      <c r="D1404" s="0" t="s">
        <v>42</v>
      </c>
      <c r="E1404" s="10" t="n">
        <v>45779.3326388889</v>
      </c>
      <c r="F1404" s="10" t="n">
        <v>45780.9111342593</v>
      </c>
      <c r="G1404" s="0" t="n">
        <v>1388.58</v>
      </c>
      <c r="H1404" s="0" t="n">
        <v>1373.05</v>
      </c>
      <c r="I1404" s="11" t="n">
        <f aca="false">H1404-G1404</f>
        <v>-15.53</v>
      </c>
      <c r="J1404" s="5" t="n">
        <f aca="false">IF(G1404=0,"",I1404/G1404)</f>
        <v>-0.0111840873410246</v>
      </c>
      <c r="K1404" s="0" t="n">
        <v>147.5</v>
      </c>
      <c r="L1404" s="0" t="n">
        <v>16.02</v>
      </c>
      <c r="M1404" s="11" t="s">
        <v>2769</v>
      </c>
      <c r="N1404" s="12" t="n">
        <f aca="false">INT(E1404)</f>
        <v>45779</v>
      </c>
      <c r="O1404" s="12" t="n">
        <f aca="false">IF(F1404="","",INT(F1404))</f>
        <v>45780</v>
      </c>
    </row>
    <row r="1405" customFormat="false" ht="15" hidden="false" customHeight="false" outlineLevel="0" collapsed="false">
      <c r="A1405" s="0" t="s">
        <v>2852</v>
      </c>
      <c r="B1405" s="0" t="s">
        <v>2853</v>
      </c>
      <c r="C1405" s="0" t="s">
        <v>19</v>
      </c>
      <c r="D1405" s="0" t="s">
        <v>42</v>
      </c>
      <c r="E1405" s="10" t="n">
        <v>45779.3368055556</v>
      </c>
      <c r="F1405" s="10" t="n">
        <v>45780.1920717593</v>
      </c>
      <c r="G1405" s="0" t="n">
        <v>235.53</v>
      </c>
      <c r="H1405" s="0" t="n">
        <v>242.12</v>
      </c>
      <c r="I1405" s="11" t="n">
        <f aca="false">H1405-G1405</f>
        <v>6.59</v>
      </c>
      <c r="J1405" s="5" t="n">
        <f aca="false">IF(G1405=0,"",I1405/G1405)</f>
        <v>0.0279794506007727</v>
      </c>
      <c r="K1405" s="0" t="n">
        <v>30</v>
      </c>
      <c r="L1405" s="0" t="n">
        <v>15.92</v>
      </c>
      <c r="M1405" s="11" t="s">
        <v>2769</v>
      </c>
      <c r="N1405" s="12" t="n">
        <f aca="false">INT(E1405)</f>
        <v>45779</v>
      </c>
      <c r="O1405" s="12" t="n">
        <f aca="false">IF(F1405="","",INT(F1405))</f>
        <v>45780</v>
      </c>
    </row>
    <row r="1406" customFormat="false" ht="15" hidden="false" customHeight="false" outlineLevel="0" collapsed="false">
      <c r="A1406" s="0" t="s">
        <v>2854</v>
      </c>
      <c r="B1406" s="0" t="s">
        <v>2855</v>
      </c>
      <c r="C1406" s="0" t="s">
        <v>24</v>
      </c>
      <c r="D1406" s="0" t="s">
        <v>42</v>
      </c>
      <c r="E1406" s="10" t="n">
        <v>45779.3402777778</v>
      </c>
      <c r="F1406" s="10" t="n">
        <v>45784.1909722222</v>
      </c>
      <c r="G1406" s="0" t="n">
        <v>407.05</v>
      </c>
      <c r="H1406" s="0" t="n">
        <v>394.69</v>
      </c>
      <c r="I1406" s="11" t="n">
        <f aca="false">H1406-G1406</f>
        <v>-12.36</v>
      </c>
      <c r="J1406" s="5" t="n">
        <f aca="false">IF(G1406=0,"",I1406/G1406)</f>
        <v>-0.0303648200466773</v>
      </c>
      <c r="K1406" s="0" t="n">
        <v>165.8</v>
      </c>
      <c r="L1406" s="0" t="n">
        <v>68.42</v>
      </c>
      <c r="M1406" s="11" t="s">
        <v>2769</v>
      </c>
      <c r="N1406" s="12" t="n">
        <f aca="false">INT(E1406)</f>
        <v>45779</v>
      </c>
      <c r="O1406" s="12" t="n">
        <f aca="false">IF(F1406="","",INT(F1406))</f>
        <v>45784</v>
      </c>
    </row>
    <row r="1407" customFormat="false" ht="15" hidden="false" customHeight="false" outlineLevel="0" collapsed="false">
      <c r="A1407" s="0" t="s">
        <v>2856</v>
      </c>
      <c r="B1407" s="0" t="s">
        <v>2857</v>
      </c>
      <c r="C1407" s="0" t="s">
        <v>21</v>
      </c>
      <c r="D1407" s="0" t="s">
        <v>42</v>
      </c>
      <c r="E1407" s="10" t="n">
        <v>45779.375</v>
      </c>
      <c r="F1407" s="10" t="n">
        <v>45780.4361111111</v>
      </c>
      <c r="G1407" s="0" t="n">
        <v>469.46</v>
      </c>
      <c r="H1407" s="0" t="n">
        <v>453.68</v>
      </c>
      <c r="I1407" s="11" t="n">
        <f aca="false">H1407-G1407</f>
        <v>-15.78</v>
      </c>
      <c r="J1407" s="5" t="n">
        <f aca="false">IF(G1407=0,"",I1407/G1407)</f>
        <v>-0.0336130873769863</v>
      </c>
      <c r="K1407" s="0" t="n">
        <v>81.5</v>
      </c>
      <c r="L1407" s="0" t="n">
        <v>15</v>
      </c>
      <c r="M1407" s="11" t="s">
        <v>2769</v>
      </c>
      <c r="N1407" s="12" t="n">
        <f aca="false">INT(E1407)</f>
        <v>45779</v>
      </c>
      <c r="O1407" s="12" t="n">
        <f aca="false">IF(F1407="","",INT(F1407))</f>
        <v>45780</v>
      </c>
    </row>
    <row r="1408" customFormat="false" ht="15" hidden="false" customHeight="false" outlineLevel="0" collapsed="false">
      <c r="A1408" s="0" t="s">
        <v>2858</v>
      </c>
      <c r="B1408" s="0" t="s">
        <v>2859</v>
      </c>
      <c r="C1408" s="0" t="s">
        <v>20</v>
      </c>
      <c r="D1408" s="0" t="s">
        <v>42</v>
      </c>
      <c r="E1408" s="10" t="n">
        <v>45779.3777777778</v>
      </c>
      <c r="F1408" s="10" t="n">
        <v>45781.1470486111</v>
      </c>
      <c r="G1408" s="0" t="n">
        <v>433.2</v>
      </c>
      <c r="H1408" s="0" t="n">
        <v>432.3</v>
      </c>
      <c r="I1408" s="11" t="n">
        <f aca="false">H1408-G1408</f>
        <v>-0.899999999999977</v>
      </c>
      <c r="J1408" s="5" t="n">
        <f aca="false">IF(G1408=0,"",I1408/G1408)</f>
        <v>-0.00207756232686975</v>
      </c>
      <c r="K1408" s="0" t="n">
        <v>47</v>
      </c>
      <c r="L1408" s="0" t="n">
        <v>14.93</v>
      </c>
      <c r="M1408" s="11" t="s">
        <v>2769</v>
      </c>
      <c r="N1408" s="12" t="n">
        <f aca="false">INT(E1408)</f>
        <v>45779</v>
      </c>
      <c r="O1408" s="12" t="n">
        <f aca="false">IF(F1408="","",INT(F1408))</f>
        <v>45781</v>
      </c>
    </row>
    <row r="1409" customFormat="false" ht="15" hidden="false" customHeight="false" outlineLevel="0" collapsed="false">
      <c r="A1409" s="0" t="s">
        <v>2860</v>
      </c>
      <c r="B1409" s="0" t="s">
        <v>2861</v>
      </c>
      <c r="C1409" s="0" t="s">
        <v>22</v>
      </c>
      <c r="D1409" s="0" t="s">
        <v>42</v>
      </c>
      <c r="E1409" s="10" t="n">
        <v>45779.3784722222</v>
      </c>
      <c r="F1409" s="10" t="n">
        <v>45780.85625</v>
      </c>
      <c r="G1409" s="0" t="n">
        <v>349.54</v>
      </c>
      <c r="H1409" s="0" t="n">
        <v>401.95</v>
      </c>
      <c r="I1409" s="11" t="n">
        <f aca="false">H1409-G1409</f>
        <v>52.41</v>
      </c>
      <c r="J1409" s="5" t="n">
        <f aca="false">IF(G1409=0,"",I1409/G1409)</f>
        <v>0.14993992103908</v>
      </c>
      <c r="K1409" s="0" t="n">
        <v>59.2</v>
      </c>
      <c r="L1409" s="0" t="n">
        <v>14.92</v>
      </c>
      <c r="M1409" s="11" t="s">
        <v>2769</v>
      </c>
      <c r="N1409" s="12" t="n">
        <f aca="false">INT(E1409)</f>
        <v>45779</v>
      </c>
      <c r="O1409" s="12" t="n">
        <f aca="false">IF(F1409="","",INT(F1409))</f>
        <v>45780</v>
      </c>
    </row>
    <row r="1410" customFormat="false" ht="15" hidden="false" customHeight="false" outlineLevel="0" collapsed="false">
      <c r="A1410" s="0" t="s">
        <v>2862</v>
      </c>
      <c r="B1410" s="0" t="s">
        <v>2863</v>
      </c>
      <c r="C1410" s="0" t="s">
        <v>20</v>
      </c>
      <c r="D1410" s="0" t="s">
        <v>42</v>
      </c>
      <c r="E1410" s="10" t="n">
        <v>45779.4020833333</v>
      </c>
      <c r="F1410" s="10" t="n">
        <v>45779.9105439815</v>
      </c>
      <c r="G1410" s="0" t="n">
        <v>1295.57</v>
      </c>
      <c r="H1410" s="0" t="n">
        <v>1297.49</v>
      </c>
      <c r="I1410" s="11" t="n">
        <f aca="false">H1410-G1410</f>
        <v>1.92000000000007</v>
      </c>
      <c r="J1410" s="5" t="n">
        <f aca="false">IF(G1410=0,"",I1410/G1410)</f>
        <v>0.00148197318554773</v>
      </c>
      <c r="K1410" s="0" t="n">
        <v>251.2</v>
      </c>
      <c r="L1410" s="0" t="n">
        <v>12.2</v>
      </c>
      <c r="M1410" s="11" t="s">
        <v>2769</v>
      </c>
      <c r="N1410" s="12" t="n">
        <f aca="false">INT(E1410)</f>
        <v>45779</v>
      </c>
      <c r="O1410" s="12" t="n">
        <f aca="false">IF(F1410="","",INT(F1410))</f>
        <v>45779</v>
      </c>
    </row>
    <row r="1411" customFormat="false" ht="15" hidden="false" customHeight="false" outlineLevel="0" collapsed="false">
      <c r="A1411" s="0" t="s">
        <v>2864</v>
      </c>
      <c r="B1411" s="0" t="s">
        <v>2865</v>
      </c>
      <c r="C1411" s="0" t="s">
        <v>20</v>
      </c>
      <c r="D1411" s="0" t="s">
        <v>42</v>
      </c>
      <c r="E1411" s="10" t="n">
        <v>45779.4076388889</v>
      </c>
      <c r="F1411" s="10" t="n">
        <v>45781.2048611111</v>
      </c>
      <c r="G1411" s="0" t="n">
        <v>400.56</v>
      </c>
      <c r="H1411" s="0" t="n">
        <v>370.61</v>
      </c>
      <c r="I1411" s="11" t="n">
        <f aca="false">H1411-G1411</f>
        <v>-29.95</v>
      </c>
      <c r="J1411" s="5" t="n">
        <f aca="false">IF(G1411=0,"",I1411/G1411)</f>
        <v>-0.0747703215498302</v>
      </c>
      <c r="K1411" s="0" t="n">
        <v>70.1</v>
      </c>
      <c r="L1411" s="0" t="n">
        <v>14.22</v>
      </c>
      <c r="M1411" s="11" t="s">
        <v>2769</v>
      </c>
      <c r="N1411" s="12" t="n">
        <f aca="false">INT(E1411)</f>
        <v>45779</v>
      </c>
      <c r="O1411" s="12" t="n">
        <f aca="false">IF(F1411="","",INT(F1411))</f>
        <v>45781</v>
      </c>
    </row>
    <row r="1412" customFormat="false" ht="15" hidden="false" customHeight="false" outlineLevel="0" collapsed="false">
      <c r="A1412" s="0" t="s">
        <v>2866</v>
      </c>
      <c r="B1412" s="0" t="s">
        <v>2867</v>
      </c>
      <c r="C1412" s="0" t="s">
        <v>22</v>
      </c>
      <c r="D1412" s="0" t="s">
        <v>42</v>
      </c>
      <c r="E1412" s="10" t="n">
        <v>45779.4430555556</v>
      </c>
      <c r="F1412" s="10" t="n">
        <v>45780.275</v>
      </c>
      <c r="G1412" s="0" t="n">
        <v>332.5</v>
      </c>
      <c r="H1412" s="0" t="n">
        <v>335.02</v>
      </c>
      <c r="I1412" s="11" t="n">
        <f aca="false">H1412-G1412</f>
        <v>2.51999999999998</v>
      </c>
      <c r="J1412" s="5" t="n">
        <f aca="false">IF(G1412=0,"",I1412/G1412)</f>
        <v>0.007578947368421</v>
      </c>
      <c r="K1412" s="0" t="n">
        <v>34.2</v>
      </c>
      <c r="L1412" s="0" t="n">
        <v>13.37</v>
      </c>
      <c r="M1412" s="11" t="s">
        <v>2769</v>
      </c>
      <c r="N1412" s="12" t="n">
        <f aca="false">INT(E1412)</f>
        <v>45779</v>
      </c>
      <c r="O1412" s="12" t="n">
        <f aca="false">IF(F1412="","",INT(F1412))</f>
        <v>45780</v>
      </c>
    </row>
    <row r="1413" customFormat="false" ht="15" hidden="false" customHeight="false" outlineLevel="0" collapsed="false">
      <c r="A1413" s="0" t="s">
        <v>2868</v>
      </c>
      <c r="B1413" s="0" t="s">
        <v>2869</v>
      </c>
      <c r="C1413" s="0" t="s">
        <v>23</v>
      </c>
      <c r="D1413" s="0" t="s">
        <v>42</v>
      </c>
      <c r="E1413" s="10" t="n">
        <v>45779.4576388889</v>
      </c>
      <c r="F1413" s="10" t="n">
        <v>45780.6611111111</v>
      </c>
      <c r="G1413" s="0" t="n">
        <v>276.48</v>
      </c>
      <c r="H1413" s="0" t="n">
        <v>266.04</v>
      </c>
      <c r="I1413" s="11" t="n">
        <f aca="false">H1413-G1413</f>
        <v>-10.44</v>
      </c>
      <c r="J1413" s="5" t="n">
        <f aca="false">IF(G1413=0,"",I1413/G1413)</f>
        <v>-0.0377604166666667</v>
      </c>
      <c r="K1413" s="0" t="n">
        <v>96.6</v>
      </c>
      <c r="L1413" s="0" t="n">
        <v>13.02</v>
      </c>
      <c r="M1413" s="11" t="s">
        <v>2769</v>
      </c>
      <c r="N1413" s="12" t="n">
        <f aca="false">INT(E1413)</f>
        <v>45779</v>
      </c>
      <c r="O1413" s="12" t="n">
        <f aca="false">IF(F1413="","",INT(F1413))</f>
        <v>45780</v>
      </c>
    </row>
    <row r="1414" customFormat="false" ht="15" hidden="false" customHeight="false" outlineLevel="0" collapsed="false">
      <c r="A1414" s="0" t="s">
        <v>2870</v>
      </c>
      <c r="B1414" s="0" t="s">
        <v>2871</v>
      </c>
      <c r="C1414" s="0" t="s">
        <v>24</v>
      </c>
      <c r="D1414" s="0" t="s">
        <v>42</v>
      </c>
      <c r="E1414" s="10" t="n">
        <v>45779.4722222222</v>
      </c>
      <c r="F1414" s="10" t="n">
        <v>45782.3224421296</v>
      </c>
      <c r="G1414" s="0" t="n">
        <v>420.32</v>
      </c>
      <c r="H1414" s="0" t="n">
        <v>408.2</v>
      </c>
      <c r="I1414" s="11" t="n">
        <f aca="false">H1414-G1414</f>
        <v>-12.12</v>
      </c>
      <c r="J1414" s="5" t="n">
        <f aca="false">IF(G1414=0,"",I1414/G1414)</f>
        <v>-0.0288351732013704</v>
      </c>
      <c r="K1414" s="0" t="n">
        <v>172.7</v>
      </c>
      <c r="L1414" s="0" t="n">
        <v>20.41</v>
      </c>
      <c r="M1414" s="11" t="s">
        <v>2769</v>
      </c>
      <c r="N1414" s="12" t="n">
        <f aca="false">INT(E1414)</f>
        <v>45779</v>
      </c>
      <c r="O1414" s="12" t="n">
        <f aca="false">IF(F1414="","",INT(F1414))</f>
        <v>45782</v>
      </c>
    </row>
    <row r="1415" customFormat="false" ht="15" hidden="false" customHeight="false" outlineLevel="0" collapsed="false">
      <c r="A1415" s="0" t="s">
        <v>2872</v>
      </c>
      <c r="B1415" s="0" t="s">
        <v>2873</v>
      </c>
      <c r="C1415" s="0" t="s">
        <v>23</v>
      </c>
      <c r="D1415" s="0" t="s">
        <v>42</v>
      </c>
      <c r="E1415" s="10" t="n">
        <v>45779.5083333333</v>
      </c>
      <c r="F1415" s="10" t="n">
        <v>45780.3853472222</v>
      </c>
      <c r="G1415" s="0" t="n">
        <v>339.98</v>
      </c>
      <c r="H1415" s="0" t="n">
        <v>344.31</v>
      </c>
      <c r="I1415" s="11" t="n">
        <f aca="false">H1415-G1415</f>
        <v>4.32999999999998</v>
      </c>
      <c r="J1415" s="5" t="n">
        <f aca="false">IF(G1415=0,"",I1415/G1415)</f>
        <v>0.0127360432966645</v>
      </c>
      <c r="K1415" s="0" t="n">
        <v>93.5</v>
      </c>
      <c r="L1415" s="0" t="n">
        <v>11.8</v>
      </c>
      <c r="M1415" s="11" t="s">
        <v>2769</v>
      </c>
      <c r="N1415" s="12" t="n">
        <f aca="false">INT(E1415)</f>
        <v>45779</v>
      </c>
      <c r="O1415" s="12" t="n">
        <f aca="false">IF(F1415="","",INT(F1415))</f>
        <v>45780</v>
      </c>
    </row>
    <row r="1416" customFormat="false" ht="15" hidden="false" customHeight="false" outlineLevel="0" collapsed="false">
      <c r="A1416" s="0" t="s">
        <v>2874</v>
      </c>
      <c r="B1416" s="0" t="s">
        <v>2875</v>
      </c>
      <c r="C1416" s="0" t="s">
        <v>21</v>
      </c>
      <c r="D1416" s="0" t="s">
        <v>42</v>
      </c>
      <c r="E1416" s="10" t="n">
        <v>45779.5319444445</v>
      </c>
      <c r="F1416" s="10" t="n">
        <v>45780.415775463</v>
      </c>
      <c r="G1416" s="0" t="n">
        <v>913.32</v>
      </c>
      <c r="H1416" s="0" t="n">
        <v>900.46</v>
      </c>
      <c r="I1416" s="11" t="n">
        <f aca="false">H1416-G1416</f>
        <v>-12.86</v>
      </c>
      <c r="J1416" s="5" t="n">
        <f aca="false">IF(G1416=0,"",I1416/G1416)</f>
        <v>-0.0140804975255113</v>
      </c>
      <c r="K1416" s="0" t="n">
        <v>241.4</v>
      </c>
      <c r="L1416" s="0" t="n">
        <v>11.23</v>
      </c>
      <c r="M1416" s="11" t="s">
        <v>2769</v>
      </c>
      <c r="N1416" s="12" t="n">
        <f aca="false">INT(E1416)</f>
        <v>45779</v>
      </c>
      <c r="O1416" s="12" t="n">
        <f aca="false">IF(F1416="","",INT(F1416))</f>
        <v>45780</v>
      </c>
    </row>
    <row r="1417" customFormat="false" ht="15" hidden="false" customHeight="false" outlineLevel="0" collapsed="false">
      <c r="A1417" s="0" t="s">
        <v>2876</v>
      </c>
      <c r="B1417" s="0" t="s">
        <v>2877</v>
      </c>
      <c r="C1417" s="0" t="s">
        <v>24</v>
      </c>
      <c r="D1417" s="0" t="s">
        <v>42</v>
      </c>
      <c r="E1417" s="10" t="n">
        <v>45779.5479166667</v>
      </c>
      <c r="F1417" s="10" t="n">
        <v>45780.8434837963</v>
      </c>
      <c r="G1417" s="0" t="n">
        <v>827.2</v>
      </c>
      <c r="H1417" s="0" t="n">
        <v>841.43</v>
      </c>
      <c r="I1417" s="11" t="n">
        <f aca="false">H1417-G1417</f>
        <v>14.2299999999999</v>
      </c>
      <c r="J1417" s="5" t="n">
        <f aca="false">IF(G1417=0,"",I1417/G1417)</f>
        <v>0.0172026112185686</v>
      </c>
      <c r="K1417" s="0" t="n">
        <v>275.9</v>
      </c>
      <c r="L1417" s="0" t="n">
        <v>10.85</v>
      </c>
      <c r="M1417" s="11" t="s">
        <v>2769</v>
      </c>
      <c r="N1417" s="12" t="n">
        <f aca="false">INT(E1417)</f>
        <v>45779</v>
      </c>
      <c r="O1417" s="12" t="n">
        <f aca="false">IF(F1417="","",INT(F1417))</f>
        <v>45780</v>
      </c>
    </row>
    <row r="1418" customFormat="false" ht="15" hidden="false" customHeight="false" outlineLevel="0" collapsed="false">
      <c r="A1418" s="0" t="s">
        <v>2878</v>
      </c>
      <c r="B1418" s="0" t="s">
        <v>2879</v>
      </c>
      <c r="C1418" s="0" t="s">
        <v>20</v>
      </c>
      <c r="D1418" s="0" t="s">
        <v>42</v>
      </c>
      <c r="E1418" s="10" t="n">
        <v>45779.55625</v>
      </c>
      <c r="F1418" s="10" t="n">
        <v>45782.1715277778</v>
      </c>
      <c r="G1418" s="0" t="n">
        <v>939.41</v>
      </c>
      <c r="H1418" s="0" t="n">
        <v>943.42</v>
      </c>
      <c r="I1418" s="11" t="n">
        <f aca="false">H1418-G1418</f>
        <v>4.00999999999999</v>
      </c>
      <c r="J1418" s="5" t="n">
        <f aca="false">IF(G1418=0,"",I1418/G1418)</f>
        <v>0.00426863669750161</v>
      </c>
      <c r="K1418" s="0" t="n">
        <v>195.7</v>
      </c>
      <c r="L1418" s="0" t="n">
        <v>14.77</v>
      </c>
      <c r="M1418" s="11" t="s">
        <v>2769</v>
      </c>
      <c r="N1418" s="12" t="n">
        <f aca="false">INT(E1418)</f>
        <v>45779</v>
      </c>
      <c r="O1418" s="12" t="n">
        <f aca="false">IF(F1418="","",INT(F1418))</f>
        <v>45782</v>
      </c>
    </row>
    <row r="1419" customFormat="false" ht="15" hidden="false" customHeight="false" outlineLevel="0" collapsed="false">
      <c r="A1419" s="0" t="s">
        <v>2880</v>
      </c>
      <c r="B1419" s="0" t="s">
        <v>2881</v>
      </c>
      <c r="C1419" s="0" t="s">
        <v>23</v>
      </c>
      <c r="D1419" s="0" t="s">
        <v>42</v>
      </c>
      <c r="E1419" s="10" t="n">
        <v>45779.5847222222</v>
      </c>
      <c r="F1419" s="10" t="n">
        <v>45780.5256944444</v>
      </c>
      <c r="G1419" s="0" t="n">
        <v>591.95</v>
      </c>
      <c r="H1419" s="0" t="n">
        <v>588.42</v>
      </c>
      <c r="I1419" s="11" t="n">
        <f aca="false">H1419-G1419</f>
        <v>-3.53000000000009</v>
      </c>
      <c r="J1419" s="5" t="n">
        <f aca="false">IF(G1419=0,"",I1419/G1419)</f>
        <v>-0.00596334149843751</v>
      </c>
      <c r="K1419" s="0" t="n">
        <v>125.4</v>
      </c>
      <c r="L1419" s="0" t="n">
        <v>9.97</v>
      </c>
      <c r="M1419" s="11" t="s">
        <v>2769</v>
      </c>
      <c r="N1419" s="12" t="n">
        <f aca="false">INT(E1419)</f>
        <v>45779</v>
      </c>
      <c r="O1419" s="12" t="n">
        <f aca="false">IF(F1419="","",INT(F1419))</f>
        <v>45780</v>
      </c>
    </row>
    <row r="1420" customFormat="false" ht="15" hidden="false" customHeight="false" outlineLevel="0" collapsed="false">
      <c r="A1420" s="0" t="s">
        <v>2882</v>
      </c>
      <c r="B1420" s="0" t="s">
        <v>2883</v>
      </c>
      <c r="C1420" s="0" t="s">
        <v>22</v>
      </c>
      <c r="D1420" s="0" t="s">
        <v>42</v>
      </c>
      <c r="E1420" s="10" t="n">
        <v>45779.5972222222</v>
      </c>
      <c r="F1420" s="10" t="n">
        <v>45780.1845486111</v>
      </c>
      <c r="G1420" s="0" t="n">
        <v>337.09</v>
      </c>
      <c r="H1420" s="0" t="n">
        <v>337.34</v>
      </c>
      <c r="I1420" s="11" t="n">
        <f aca="false">H1420-G1420</f>
        <v>0.25</v>
      </c>
      <c r="J1420" s="5" t="n">
        <f aca="false">IF(G1420=0,"",I1420/G1420)</f>
        <v>0.000741641698062832</v>
      </c>
      <c r="K1420" s="0" t="n">
        <v>32.6</v>
      </c>
      <c r="L1420" s="0" t="n">
        <v>9.67</v>
      </c>
      <c r="M1420" s="11" t="s">
        <v>2769</v>
      </c>
      <c r="N1420" s="12" t="n">
        <f aca="false">INT(E1420)</f>
        <v>45779</v>
      </c>
      <c r="O1420" s="12" t="n">
        <f aca="false">IF(F1420="","",INT(F1420))</f>
        <v>45780</v>
      </c>
    </row>
    <row r="1421" customFormat="false" ht="15" hidden="false" customHeight="false" outlineLevel="0" collapsed="false">
      <c r="A1421" s="0" t="s">
        <v>2884</v>
      </c>
      <c r="B1421" s="0" t="s">
        <v>2885</v>
      </c>
      <c r="C1421" s="0" t="s">
        <v>21</v>
      </c>
      <c r="D1421" s="0" t="s">
        <v>42</v>
      </c>
      <c r="E1421" s="10" t="n">
        <v>45779.5986111111</v>
      </c>
      <c r="F1421" s="10" t="n">
        <v>45780.1402777778</v>
      </c>
      <c r="G1421" s="0" t="n">
        <v>344.71</v>
      </c>
      <c r="H1421" s="0" t="n">
        <v>356.04</v>
      </c>
      <c r="I1421" s="11" t="n">
        <f aca="false">H1421-G1421</f>
        <v>11.33</v>
      </c>
      <c r="J1421" s="5" t="n">
        <f aca="false">IF(G1421=0,"",I1421/G1421)</f>
        <v>0.0328682080589482</v>
      </c>
      <c r="K1421" s="0" t="n">
        <v>52.6</v>
      </c>
      <c r="L1421" s="0" t="n">
        <v>9.63</v>
      </c>
      <c r="M1421" s="11" t="s">
        <v>2769</v>
      </c>
      <c r="N1421" s="12" t="n">
        <f aca="false">INT(E1421)</f>
        <v>45779</v>
      </c>
      <c r="O1421" s="12" t="n">
        <f aca="false">IF(F1421="","",INT(F1421))</f>
        <v>45780</v>
      </c>
    </row>
    <row r="1422" customFormat="false" ht="15" hidden="false" customHeight="false" outlineLevel="0" collapsed="false">
      <c r="A1422" s="0" t="s">
        <v>2886</v>
      </c>
      <c r="B1422" s="0" t="s">
        <v>2887</v>
      </c>
      <c r="C1422" s="0" t="s">
        <v>24</v>
      </c>
      <c r="D1422" s="0" t="s">
        <v>42</v>
      </c>
      <c r="E1422" s="10" t="n">
        <v>45779.6041666667</v>
      </c>
      <c r="F1422" s="10" t="n">
        <v>45783.2590277778</v>
      </c>
      <c r="G1422" s="0" t="n">
        <v>333.87</v>
      </c>
      <c r="H1422" s="0" t="n">
        <v>348.53</v>
      </c>
      <c r="I1422" s="11" t="n">
        <f aca="false">H1422-G1422</f>
        <v>14.66</v>
      </c>
      <c r="J1422" s="5" t="n">
        <f aca="false">IF(G1422=0,"",I1422/G1422)</f>
        <v>0.043909306017312</v>
      </c>
      <c r="K1422" s="0" t="n">
        <v>139.5</v>
      </c>
      <c r="L1422" s="0" t="n">
        <v>39.72</v>
      </c>
      <c r="M1422" s="11" t="s">
        <v>2769</v>
      </c>
      <c r="N1422" s="12" t="n">
        <f aca="false">INT(E1422)</f>
        <v>45779</v>
      </c>
      <c r="O1422" s="12" t="n">
        <f aca="false">IF(F1422="","",INT(F1422))</f>
        <v>45783</v>
      </c>
    </row>
    <row r="1423" customFormat="false" ht="15" hidden="false" customHeight="false" outlineLevel="0" collapsed="false">
      <c r="A1423" s="0" t="s">
        <v>2888</v>
      </c>
      <c r="B1423" s="0" t="s">
        <v>2889</v>
      </c>
      <c r="C1423" s="0" t="s">
        <v>23</v>
      </c>
      <c r="D1423" s="0" t="s">
        <v>42</v>
      </c>
      <c r="E1423" s="10" t="n">
        <v>45779.60625</v>
      </c>
      <c r="F1423" s="10" t="n">
        <v>45780.9638888889</v>
      </c>
      <c r="G1423" s="0" t="n">
        <v>227.04</v>
      </c>
      <c r="H1423" s="0" t="n">
        <v>222.55</v>
      </c>
      <c r="I1423" s="11" t="n">
        <f aca="false">H1423-G1423</f>
        <v>-4.48999999999998</v>
      </c>
      <c r="J1423" s="5" t="n">
        <f aca="false">IF(G1423=0,"",I1423/G1423)</f>
        <v>-0.019776250880902</v>
      </c>
      <c r="K1423" s="0" t="n">
        <v>56.7</v>
      </c>
      <c r="L1423" s="0" t="n">
        <v>9.45</v>
      </c>
      <c r="M1423" s="11" t="s">
        <v>2769</v>
      </c>
      <c r="N1423" s="12" t="n">
        <f aca="false">INT(E1423)</f>
        <v>45779</v>
      </c>
      <c r="O1423" s="12" t="n">
        <f aca="false">IF(F1423="","",INT(F1423))</f>
        <v>45780</v>
      </c>
    </row>
    <row r="1424" customFormat="false" ht="15" hidden="false" customHeight="false" outlineLevel="0" collapsed="false">
      <c r="A1424" s="0" t="s">
        <v>2890</v>
      </c>
      <c r="B1424" s="0" t="s">
        <v>2891</v>
      </c>
      <c r="C1424" s="0" t="s">
        <v>19</v>
      </c>
      <c r="D1424" s="0" t="s">
        <v>42</v>
      </c>
      <c r="E1424" s="10" t="n">
        <v>45779.63125</v>
      </c>
      <c r="F1424" s="10" t="n">
        <v>45780.2194444445</v>
      </c>
      <c r="G1424" s="0" t="n">
        <v>235.11</v>
      </c>
      <c r="H1424" s="0" t="n">
        <v>202.73</v>
      </c>
      <c r="I1424" s="11" t="n">
        <f aca="false">H1424-G1424</f>
        <v>-32.38</v>
      </c>
      <c r="J1424" s="5" t="n">
        <f aca="false">IF(G1424=0,"",I1424/G1424)</f>
        <v>-0.137722768066012</v>
      </c>
      <c r="K1424" s="0" t="n">
        <v>35.8</v>
      </c>
      <c r="L1424" s="0" t="n">
        <v>8.85</v>
      </c>
      <c r="M1424" s="11" t="s">
        <v>2769</v>
      </c>
      <c r="N1424" s="12" t="n">
        <f aca="false">INT(E1424)</f>
        <v>45779</v>
      </c>
      <c r="O1424" s="12" t="n">
        <f aca="false">IF(F1424="","",INT(F1424))</f>
        <v>45780</v>
      </c>
    </row>
    <row r="1425" customFormat="false" ht="15" hidden="false" customHeight="false" outlineLevel="0" collapsed="false">
      <c r="A1425" s="0" t="s">
        <v>2892</v>
      </c>
      <c r="B1425" s="0" t="s">
        <v>2893</v>
      </c>
      <c r="C1425" s="0" t="s">
        <v>20</v>
      </c>
      <c r="D1425" s="0" t="s">
        <v>48</v>
      </c>
      <c r="E1425" s="10" t="n">
        <v>45779.63125</v>
      </c>
      <c r="F1425" s="10"/>
      <c r="G1425" s="0" t="n">
        <v>425.55</v>
      </c>
      <c r="H1425" s="0" t="n">
        <v>412.98</v>
      </c>
      <c r="I1425" s="11" t="n">
        <f aca="false">H1425-G1425</f>
        <v>-12.57</v>
      </c>
      <c r="J1425" s="5" t="n">
        <f aca="false">IF(G1425=0,"",I1425/G1425)</f>
        <v>-0.0295382446246034</v>
      </c>
      <c r="K1425" s="0" t="n">
        <v>52.5</v>
      </c>
      <c r="M1425" s="11" t="s">
        <v>2769</v>
      </c>
      <c r="N1425" s="12" t="n">
        <f aca="false">INT(E1425)</f>
        <v>45779</v>
      </c>
      <c r="O1425" s="12" t="str">
        <f aca="false">IF(F1425="","",INT(F1425))</f>
        <v/>
      </c>
    </row>
    <row r="1426" customFormat="false" ht="15" hidden="false" customHeight="false" outlineLevel="0" collapsed="false">
      <c r="A1426" s="0" t="s">
        <v>2894</v>
      </c>
      <c r="B1426" s="0" t="s">
        <v>2895</v>
      </c>
      <c r="C1426" s="0" t="s">
        <v>20</v>
      </c>
      <c r="D1426" s="0" t="s">
        <v>42</v>
      </c>
      <c r="E1426" s="10" t="n">
        <v>45779.6430555556</v>
      </c>
      <c r="F1426" s="10" t="n">
        <v>45780.1333333333</v>
      </c>
      <c r="G1426" s="0" t="n">
        <v>294.16</v>
      </c>
      <c r="H1426" s="0" t="n">
        <v>280.58</v>
      </c>
      <c r="I1426" s="11" t="n">
        <f aca="false">H1426-G1426</f>
        <v>-13.58</v>
      </c>
      <c r="J1426" s="5" t="n">
        <f aca="false">IF(G1426=0,"",I1426/G1426)</f>
        <v>-0.0461653521892849</v>
      </c>
      <c r="K1426" s="0" t="n">
        <v>29.6</v>
      </c>
      <c r="L1426" s="0" t="n">
        <v>8.57</v>
      </c>
      <c r="M1426" s="11" t="s">
        <v>2769</v>
      </c>
      <c r="N1426" s="12" t="n">
        <f aca="false">INT(E1426)</f>
        <v>45779</v>
      </c>
      <c r="O1426" s="12" t="n">
        <f aca="false">IF(F1426="","",INT(F1426))</f>
        <v>45780</v>
      </c>
    </row>
    <row r="1427" customFormat="false" ht="15" hidden="false" customHeight="false" outlineLevel="0" collapsed="false">
      <c r="A1427" s="0" t="s">
        <v>2896</v>
      </c>
      <c r="B1427" s="0" t="s">
        <v>2897</v>
      </c>
      <c r="C1427" s="0" t="s">
        <v>23</v>
      </c>
      <c r="D1427" s="0" t="s">
        <v>42</v>
      </c>
      <c r="E1427" s="10" t="n">
        <v>45779.65</v>
      </c>
      <c r="F1427" s="10" t="n">
        <v>45780.8493055556</v>
      </c>
      <c r="G1427" s="0" t="n">
        <v>494.2</v>
      </c>
      <c r="H1427" s="0" t="n">
        <v>503.6</v>
      </c>
      <c r="I1427" s="11" t="n">
        <f aca="false">H1427-G1427</f>
        <v>9.40000000000003</v>
      </c>
      <c r="J1427" s="5" t="n">
        <f aca="false">IF(G1427=0,"",I1427/G1427)</f>
        <v>0.0190206394172401</v>
      </c>
      <c r="K1427" s="0" t="n">
        <v>106.2</v>
      </c>
      <c r="L1427" s="0" t="n">
        <v>8.4</v>
      </c>
      <c r="M1427" s="11" t="s">
        <v>2769</v>
      </c>
      <c r="N1427" s="12" t="n">
        <f aca="false">INT(E1427)</f>
        <v>45779</v>
      </c>
      <c r="O1427" s="12" t="n">
        <f aca="false">IF(F1427="","",INT(F1427))</f>
        <v>45780</v>
      </c>
    </row>
    <row r="1428" customFormat="false" ht="15" hidden="false" customHeight="false" outlineLevel="0" collapsed="false">
      <c r="A1428" s="0" t="s">
        <v>2898</v>
      </c>
      <c r="B1428" s="0" t="s">
        <v>2899</v>
      </c>
      <c r="C1428" s="0" t="s">
        <v>19</v>
      </c>
      <c r="D1428" s="0" t="s">
        <v>42</v>
      </c>
      <c r="E1428" s="10" t="n">
        <v>45779.6791666667</v>
      </c>
      <c r="F1428" s="10" t="n">
        <v>45781.4681712963</v>
      </c>
      <c r="G1428" s="0" t="n">
        <v>397.98</v>
      </c>
      <c r="H1428" s="0" t="n">
        <v>404.22</v>
      </c>
      <c r="I1428" s="11" t="n">
        <f aca="false">H1428-G1428</f>
        <v>6.24000000000001</v>
      </c>
      <c r="J1428" s="5" t="n">
        <f aca="false">IF(G1428=0,"",I1428/G1428)</f>
        <v>0.0156791798582844</v>
      </c>
      <c r="K1428" s="0" t="n">
        <v>76.3</v>
      </c>
      <c r="L1428" s="0" t="n">
        <v>7.7</v>
      </c>
      <c r="M1428" s="11" t="s">
        <v>2769</v>
      </c>
      <c r="N1428" s="12" t="n">
        <f aca="false">INT(E1428)</f>
        <v>45779</v>
      </c>
      <c r="O1428" s="12" t="n">
        <f aca="false">IF(F1428="","",INT(F1428))</f>
        <v>45781</v>
      </c>
    </row>
    <row r="1429" customFormat="false" ht="15" hidden="false" customHeight="false" outlineLevel="0" collapsed="false">
      <c r="A1429" s="0" t="s">
        <v>2900</v>
      </c>
      <c r="B1429" s="0" t="s">
        <v>2901</v>
      </c>
      <c r="C1429" s="0" t="s">
        <v>23</v>
      </c>
      <c r="D1429" s="0" t="s">
        <v>42</v>
      </c>
      <c r="E1429" s="10" t="n">
        <v>45779.7097222222</v>
      </c>
      <c r="F1429" s="10" t="n">
        <v>45780.7993055556</v>
      </c>
      <c r="G1429" s="0" t="n">
        <v>932.14</v>
      </c>
      <c r="H1429" s="0" t="n">
        <v>963.72</v>
      </c>
      <c r="I1429" s="11" t="n">
        <f aca="false">H1429-G1429</f>
        <v>31.58</v>
      </c>
      <c r="J1429" s="5" t="n">
        <f aca="false">IF(G1429=0,"",I1429/G1429)</f>
        <v>0.0338790310468385</v>
      </c>
      <c r="K1429" s="0" t="n">
        <v>208.9</v>
      </c>
      <c r="L1429" s="0" t="n">
        <v>6.97</v>
      </c>
      <c r="M1429" s="11" t="s">
        <v>2769</v>
      </c>
      <c r="N1429" s="12" t="n">
        <f aca="false">INT(E1429)</f>
        <v>45779</v>
      </c>
      <c r="O1429" s="12" t="n">
        <f aca="false">IF(F1429="","",INT(F1429))</f>
        <v>45780</v>
      </c>
    </row>
    <row r="1430" customFormat="false" ht="15" hidden="false" customHeight="false" outlineLevel="0" collapsed="false">
      <c r="A1430" s="0" t="s">
        <v>2902</v>
      </c>
      <c r="B1430" s="0" t="s">
        <v>2903</v>
      </c>
      <c r="C1430" s="0" t="s">
        <v>21</v>
      </c>
      <c r="D1430" s="0" t="s">
        <v>42</v>
      </c>
      <c r="E1430" s="10" t="n">
        <v>45779.7291666667</v>
      </c>
      <c r="F1430" s="10" t="n">
        <v>45779.9868055556</v>
      </c>
      <c r="G1430" s="0" t="n">
        <v>278.09</v>
      </c>
      <c r="H1430" s="0" t="n">
        <v>284.69</v>
      </c>
      <c r="I1430" s="11" t="n">
        <f aca="false">H1430-G1430</f>
        <v>6.60000000000002</v>
      </c>
      <c r="J1430" s="5" t="n">
        <f aca="false">IF(G1430=0,"",I1430/G1430)</f>
        <v>0.0237333237441117</v>
      </c>
      <c r="K1430" s="0" t="n">
        <v>69</v>
      </c>
      <c r="L1430" s="0" t="n">
        <v>6.18</v>
      </c>
      <c r="M1430" s="11" t="s">
        <v>2769</v>
      </c>
      <c r="N1430" s="12" t="n">
        <f aca="false">INT(E1430)</f>
        <v>45779</v>
      </c>
      <c r="O1430" s="12" t="n">
        <f aca="false">IF(F1430="","",INT(F1430))</f>
        <v>45779</v>
      </c>
    </row>
    <row r="1431" customFormat="false" ht="15" hidden="false" customHeight="false" outlineLevel="0" collapsed="false">
      <c r="A1431" s="0" t="s">
        <v>2904</v>
      </c>
      <c r="B1431" s="0" t="s">
        <v>2905</v>
      </c>
      <c r="C1431" s="0" t="s">
        <v>22</v>
      </c>
      <c r="D1431" s="0" t="s">
        <v>42</v>
      </c>
      <c r="E1431" s="10" t="n">
        <v>45779.7347222222</v>
      </c>
      <c r="F1431" s="10" t="n">
        <v>45780.2256944445</v>
      </c>
      <c r="G1431" s="0" t="n">
        <v>794.67</v>
      </c>
      <c r="H1431" s="0" t="n">
        <v>927.29</v>
      </c>
      <c r="I1431" s="11" t="n">
        <f aca="false">H1431-G1431</f>
        <v>132.62</v>
      </c>
      <c r="J1431" s="5" t="n">
        <f aca="false">IF(G1431=0,"",I1431/G1431)</f>
        <v>0.166886883863742</v>
      </c>
      <c r="K1431" s="0" t="n">
        <v>122.8</v>
      </c>
      <c r="L1431" s="0" t="n">
        <v>6.37</v>
      </c>
      <c r="M1431" s="11" t="s">
        <v>2769</v>
      </c>
      <c r="N1431" s="12" t="n">
        <f aca="false">INT(E1431)</f>
        <v>45779</v>
      </c>
      <c r="O1431" s="12" t="n">
        <f aca="false">IF(F1431="","",INT(F1431))</f>
        <v>45780</v>
      </c>
    </row>
    <row r="1432" customFormat="false" ht="15" hidden="false" customHeight="false" outlineLevel="0" collapsed="false">
      <c r="A1432" s="0" t="s">
        <v>2906</v>
      </c>
      <c r="B1432" s="0" t="s">
        <v>2907</v>
      </c>
      <c r="C1432" s="0" t="s">
        <v>23</v>
      </c>
      <c r="D1432" s="0" t="s">
        <v>42</v>
      </c>
      <c r="E1432" s="10" t="n">
        <v>45779.7791666667</v>
      </c>
      <c r="F1432" s="10" t="n">
        <v>45783.9260300926</v>
      </c>
      <c r="G1432" s="0" t="n">
        <v>866.14</v>
      </c>
      <c r="H1432" s="0" t="n">
        <v>841.94</v>
      </c>
      <c r="I1432" s="11" t="n">
        <f aca="false">H1432-G1432</f>
        <v>-24.1999999999999</v>
      </c>
      <c r="J1432" s="5" t="n">
        <f aca="false">IF(G1432=0,"",I1432/G1432)</f>
        <v>-0.0279400558801117</v>
      </c>
      <c r="K1432" s="0" t="n">
        <v>307.9</v>
      </c>
      <c r="L1432" s="0" t="n">
        <v>51.52</v>
      </c>
      <c r="M1432" s="11" t="s">
        <v>2769</v>
      </c>
      <c r="N1432" s="12" t="n">
        <f aca="false">INT(E1432)</f>
        <v>45779</v>
      </c>
      <c r="O1432" s="12" t="n">
        <f aca="false">IF(F1432="","",INT(F1432))</f>
        <v>45783</v>
      </c>
    </row>
    <row r="1433" customFormat="false" ht="15" hidden="false" customHeight="false" outlineLevel="0" collapsed="false">
      <c r="A1433" s="0" t="s">
        <v>2908</v>
      </c>
      <c r="B1433" s="0" t="s">
        <v>2909</v>
      </c>
      <c r="C1433" s="0" t="s">
        <v>20</v>
      </c>
      <c r="D1433" s="0" t="s">
        <v>42</v>
      </c>
      <c r="E1433" s="10" t="n">
        <v>45779.7854166667</v>
      </c>
      <c r="F1433" s="10" t="n">
        <v>45781.2361111111</v>
      </c>
      <c r="G1433" s="0" t="n">
        <v>319.68</v>
      </c>
      <c r="H1433" s="0" t="n">
        <v>319.52</v>
      </c>
      <c r="I1433" s="11" t="n">
        <f aca="false">H1433-G1433</f>
        <v>-0.160000000000025</v>
      </c>
      <c r="J1433" s="5" t="n">
        <f aca="false">IF(G1433=0,"",I1433/G1433)</f>
        <v>-0.000500500500500579</v>
      </c>
      <c r="K1433" s="0" t="n">
        <v>45.2</v>
      </c>
      <c r="L1433" s="0" t="n">
        <v>5.15</v>
      </c>
      <c r="M1433" s="11" t="s">
        <v>2769</v>
      </c>
      <c r="N1433" s="12" t="n">
        <f aca="false">INT(E1433)</f>
        <v>45779</v>
      </c>
      <c r="O1433" s="12" t="n">
        <f aca="false">IF(F1433="","",INT(F1433))</f>
        <v>45781</v>
      </c>
    </row>
    <row r="1434" customFormat="false" ht="15" hidden="false" customHeight="false" outlineLevel="0" collapsed="false">
      <c r="A1434" s="0" t="s">
        <v>2910</v>
      </c>
      <c r="B1434" s="0" t="s">
        <v>2911</v>
      </c>
      <c r="C1434" s="0" t="s">
        <v>21</v>
      </c>
      <c r="D1434" s="0" t="s">
        <v>48</v>
      </c>
      <c r="E1434" s="10" t="n">
        <v>45782.3</v>
      </c>
      <c r="F1434" s="10"/>
      <c r="G1434" s="0" t="n">
        <v>579.58</v>
      </c>
      <c r="H1434" s="0" t="n">
        <v>593.07</v>
      </c>
      <c r="I1434" s="11" t="n">
        <f aca="false">H1434-G1434</f>
        <v>13.49</v>
      </c>
      <c r="J1434" s="5" t="n">
        <f aca="false">IF(G1434=0,"",I1434/G1434)</f>
        <v>0.0232754753442148</v>
      </c>
      <c r="K1434" s="0" t="n">
        <v>123.4</v>
      </c>
      <c r="M1434" s="11" t="s">
        <v>2769</v>
      </c>
      <c r="N1434" s="12" t="n">
        <f aca="false">INT(E1434)</f>
        <v>45782</v>
      </c>
      <c r="O1434" s="12" t="str">
        <f aca="false">IF(F1434="","",INT(F1434))</f>
        <v/>
      </c>
    </row>
    <row r="1435" customFormat="false" ht="15" hidden="false" customHeight="false" outlineLevel="0" collapsed="false">
      <c r="A1435" s="0" t="s">
        <v>2912</v>
      </c>
      <c r="B1435" s="0" t="s">
        <v>2913</v>
      </c>
      <c r="C1435" s="0" t="s">
        <v>21</v>
      </c>
      <c r="D1435" s="0" t="s">
        <v>42</v>
      </c>
      <c r="E1435" s="10" t="n">
        <v>45782.3131944445</v>
      </c>
      <c r="F1435" s="10" t="n">
        <v>45783.1947569445</v>
      </c>
      <c r="G1435" s="0" t="n">
        <v>453.67</v>
      </c>
      <c r="H1435" s="0" t="n">
        <v>455.88</v>
      </c>
      <c r="I1435" s="11" t="n">
        <f aca="false">H1435-G1435</f>
        <v>2.20999999999998</v>
      </c>
      <c r="J1435" s="5" t="n">
        <f aca="false">IF(G1435=0,"",I1435/G1435)</f>
        <v>0.00487138228227562</v>
      </c>
      <c r="K1435" s="0" t="n">
        <v>104.2</v>
      </c>
      <c r="L1435" s="0" t="n">
        <v>21.16</v>
      </c>
      <c r="M1435" s="11" t="s">
        <v>2769</v>
      </c>
      <c r="N1435" s="12" t="n">
        <f aca="false">INT(E1435)</f>
        <v>45782</v>
      </c>
      <c r="O1435" s="12" t="n">
        <f aca="false">IF(F1435="","",INT(F1435))</f>
        <v>45783</v>
      </c>
    </row>
    <row r="1436" customFormat="false" ht="15" hidden="false" customHeight="false" outlineLevel="0" collapsed="false">
      <c r="A1436" s="0" t="s">
        <v>2914</v>
      </c>
      <c r="B1436" s="0" t="s">
        <v>2915</v>
      </c>
      <c r="C1436" s="0" t="s">
        <v>20</v>
      </c>
      <c r="D1436" s="0" t="s">
        <v>42</v>
      </c>
      <c r="E1436" s="10" t="n">
        <v>45782.3152777778</v>
      </c>
      <c r="F1436" s="10" t="n">
        <v>45784.5076388889</v>
      </c>
      <c r="G1436" s="0" t="n">
        <v>343.86</v>
      </c>
      <c r="H1436" s="0" t="n">
        <v>342.52</v>
      </c>
      <c r="I1436" s="11" t="n">
        <f aca="false">H1436-G1436</f>
        <v>-1.34000000000003</v>
      </c>
      <c r="J1436" s="5" t="n">
        <f aca="false">IF(G1436=0,"",I1436/G1436)</f>
        <v>-0.00389693479904622</v>
      </c>
      <c r="K1436" s="0" t="n">
        <v>49.3</v>
      </c>
      <c r="L1436" s="0" t="n">
        <v>52.62</v>
      </c>
      <c r="M1436" s="11" t="s">
        <v>2769</v>
      </c>
      <c r="N1436" s="12" t="n">
        <f aca="false">INT(E1436)</f>
        <v>45782</v>
      </c>
      <c r="O1436" s="12" t="n">
        <f aca="false">IF(F1436="","",INT(F1436))</f>
        <v>45784</v>
      </c>
    </row>
    <row r="1437" customFormat="false" ht="15" hidden="false" customHeight="false" outlineLevel="0" collapsed="false">
      <c r="A1437" s="0" t="s">
        <v>2916</v>
      </c>
      <c r="B1437" s="0" t="s">
        <v>2917</v>
      </c>
      <c r="C1437" s="0" t="s">
        <v>19</v>
      </c>
      <c r="D1437" s="0" t="s">
        <v>42</v>
      </c>
      <c r="E1437" s="10" t="n">
        <v>45782.3201388889</v>
      </c>
      <c r="F1437" s="10" t="n">
        <v>45783.8916666667</v>
      </c>
      <c r="G1437" s="0" t="n">
        <v>839.66</v>
      </c>
      <c r="H1437" s="0" t="n">
        <v>819.23</v>
      </c>
      <c r="I1437" s="11" t="n">
        <f aca="false">H1437-G1437</f>
        <v>-20.43</v>
      </c>
      <c r="J1437" s="5" t="n">
        <f aca="false">IF(G1437=0,"",I1437/G1437)</f>
        <v>-0.0243312769454302</v>
      </c>
      <c r="K1437" s="0" t="n">
        <v>70.9</v>
      </c>
      <c r="L1437" s="0" t="n">
        <v>37.72</v>
      </c>
      <c r="M1437" s="11" t="s">
        <v>2769</v>
      </c>
      <c r="N1437" s="12" t="n">
        <f aca="false">INT(E1437)</f>
        <v>45782</v>
      </c>
      <c r="O1437" s="12" t="n">
        <f aca="false">IF(F1437="","",INT(F1437))</f>
        <v>45783</v>
      </c>
    </row>
    <row r="1438" customFormat="false" ht="15" hidden="false" customHeight="false" outlineLevel="0" collapsed="false">
      <c r="A1438" s="0" t="s">
        <v>2918</v>
      </c>
      <c r="B1438" s="0" t="s">
        <v>2919</v>
      </c>
      <c r="C1438" s="0" t="s">
        <v>21</v>
      </c>
      <c r="D1438" s="0" t="s">
        <v>42</v>
      </c>
      <c r="E1438" s="10" t="n">
        <v>45782.3305555556</v>
      </c>
      <c r="F1438" s="10" t="n">
        <v>45783.3180555556</v>
      </c>
      <c r="G1438" s="0" t="n">
        <v>986.92</v>
      </c>
      <c r="H1438" s="0" t="n">
        <v>983.22</v>
      </c>
      <c r="I1438" s="11" t="n">
        <f aca="false">H1438-G1438</f>
        <v>-3.69999999999993</v>
      </c>
      <c r="J1438" s="5" t="n">
        <f aca="false">IF(G1438=0,"",I1438/G1438)</f>
        <v>-0.00374903740931376</v>
      </c>
      <c r="K1438" s="0" t="n">
        <v>203.9</v>
      </c>
      <c r="L1438" s="0" t="n">
        <v>23.7</v>
      </c>
      <c r="M1438" s="11" t="s">
        <v>2769</v>
      </c>
      <c r="N1438" s="12" t="n">
        <f aca="false">INT(E1438)</f>
        <v>45782</v>
      </c>
      <c r="O1438" s="12" t="n">
        <f aca="false">IF(F1438="","",INT(F1438))</f>
        <v>45783</v>
      </c>
    </row>
    <row r="1439" customFormat="false" ht="15" hidden="false" customHeight="false" outlineLevel="0" collapsed="false">
      <c r="A1439" s="0" t="s">
        <v>2920</v>
      </c>
      <c r="B1439" s="0" t="s">
        <v>2921</v>
      </c>
      <c r="C1439" s="0" t="s">
        <v>20</v>
      </c>
      <c r="D1439" s="0" t="s">
        <v>42</v>
      </c>
      <c r="E1439" s="10" t="n">
        <v>45782.3326388889</v>
      </c>
      <c r="F1439" s="10" t="n">
        <v>45783.0680555556</v>
      </c>
      <c r="G1439" s="0" t="n">
        <v>191.54</v>
      </c>
      <c r="H1439" s="0" t="n">
        <v>188.98</v>
      </c>
      <c r="I1439" s="11" t="n">
        <f aca="false">H1439-G1439</f>
        <v>-2.56</v>
      </c>
      <c r="J1439" s="5" t="n">
        <f aca="false">IF(G1439=0,"",I1439/G1439)</f>
        <v>-0.0133653544951446</v>
      </c>
      <c r="K1439" s="0" t="n">
        <v>33.6</v>
      </c>
      <c r="L1439" s="0" t="n">
        <v>17.65</v>
      </c>
      <c r="M1439" s="11" t="s">
        <v>2769</v>
      </c>
      <c r="N1439" s="12" t="n">
        <f aca="false">INT(E1439)</f>
        <v>45782</v>
      </c>
      <c r="O1439" s="12" t="n">
        <f aca="false">IF(F1439="","",INT(F1439))</f>
        <v>45783</v>
      </c>
    </row>
    <row r="1440" customFormat="false" ht="15" hidden="false" customHeight="false" outlineLevel="0" collapsed="false">
      <c r="A1440" s="0" t="s">
        <v>2922</v>
      </c>
      <c r="B1440" s="0" t="s">
        <v>2923</v>
      </c>
      <c r="C1440" s="0" t="s">
        <v>22</v>
      </c>
      <c r="D1440" s="0" t="s">
        <v>42</v>
      </c>
      <c r="E1440" s="10" t="n">
        <v>45782.3361111111</v>
      </c>
      <c r="F1440" s="10" t="n">
        <v>45783.0198032407</v>
      </c>
      <c r="G1440" s="0" t="n">
        <v>861.23</v>
      </c>
      <c r="H1440" s="0" t="n">
        <v>835.02</v>
      </c>
      <c r="I1440" s="11" t="n">
        <f aca="false">H1440-G1440</f>
        <v>-26.21</v>
      </c>
      <c r="J1440" s="5" t="n">
        <f aca="false">IF(G1440=0,"",I1440/G1440)</f>
        <v>-0.0304332176073755</v>
      </c>
      <c r="K1440" s="0" t="n">
        <v>164.9</v>
      </c>
      <c r="L1440" s="0" t="n">
        <v>16.41</v>
      </c>
      <c r="M1440" s="11" t="s">
        <v>2769</v>
      </c>
      <c r="N1440" s="12" t="n">
        <f aca="false">INT(E1440)</f>
        <v>45782</v>
      </c>
      <c r="O1440" s="12" t="n">
        <f aca="false">IF(F1440="","",INT(F1440))</f>
        <v>45783</v>
      </c>
    </row>
    <row r="1441" customFormat="false" ht="15" hidden="false" customHeight="false" outlineLevel="0" collapsed="false">
      <c r="A1441" s="0" t="s">
        <v>2924</v>
      </c>
      <c r="B1441" s="0" t="s">
        <v>2925</v>
      </c>
      <c r="C1441" s="0" t="s">
        <v>23</v>
      </c>
      <c r="D1441" s="0" t="s">
        <v>42</v>
      </c>
      <c r="E1441" s="10" t="n">
        <v>45782.3423611111</v>
      </c>
      <c r="F1441" s="10" t="n">
        <v>45783.9166666667</v>
      </c>
      <c r="G1441" s="0" t="n">
        <v>259.16</v>
      </c>
      <c r="H1441" s="0" t="n">
        <v>255.25</v>
      </c>
      <c r="I1441" s="11" t="n">
        <f aca="false">H1441-G1441</f>
        <v>-3.91000000000003</v>
      </c>
      <c r="J1441" s="5" t="n">
        <f aca="false">IF(G1441=0,"",I1441/G1441)</f>
        <v>-0.0150872048155581</v>
      </c>
      <c r="K1441" s="0" t="n">
        <v>59.3</v>
      </c>
      <c r="L1441" s="0" t="n">
        <v>37.78</v>
      </c>
      <c r="M1441" s="11" t="s">
        <v>2769</v>
      </c>
      <c r="N1441" s="12" t="n">
        <f aca="false">INT(E1441)</f>
        <v>45782</v>
      </c>
      <c r="O1441" s="12" t="n">
        <f aca="false">IF(F1441="","",INT(F1441))</f>
        <v>45783</v>
      </c>
    </row>
    <row r="1442" customFormat="false" ht="15" hidden="false" customHeight="false" outlineLevel="0" collapsed="false">
      <c r="A1442" s="0" t="s">
        <v>2926</v>
      </c>
      <c r="B1442" s="0" t="s">
        <v>2927</v>
      </c>
      <c r="C1442" s="0" t="s">
        <v>19</v>
      </c>
      <c r="D1442" s="0" t="s">
        <v>42</v>
      </c>
      <c r="E1442" s="10" t="n">
        <v>45782.3451388889</v>
      </c>
      <c r="F1442" s="10" t="n">
        <v>45783.0645833333</v>
      </c>
      <c r="G1442" s="0" t="n">
        <v>360.69</v>
      </c>
      <c r="H1442" s="0" t="n">
        <v>353.74</v>
      </c>
      <c r="I1442" s="11" t="n">
        <f aca="false">H1442-G1442</f>
        <v>-6.94999999999999</v>
      </c>
      <c r="J1442" s="5" t="n">
        <f aca="false">IF(G1442=0,"",I1442/G1442)</f>
        <v>-0.019268624026172</v>
      </c>
      <c r="K1442" s="0" t="n">
        <v>55.3</v>
      </c>
      <c r="L1442" s="0" t="n">
        <v>17.27</v>
      </c>
      <c r="M1442" s="11" t="s">
        <v>2769</v>
      </c>
      <c r="N1442" s="12" t="n">
        <f aca="false">INT(E1442)</f>
        <v>45782</v>
      </c>
      <c r="O1442" s="12" t="n">
        <f aca="false">IF(F1442="","",INT(F1442))</f>
        <v>45783</v>
      </c>
    </row>
    <row r="1443" customFormat="false" ht="15" hidden="false" customHeight="false" outlineLevel="0" collapsed="false">
      <c r="A1443" s="0" t="s">
        <v>2928</v>
      </c>
      <c r="B1443" s="0" t="s">
        <v>2929</v>
      </c>
      <c r="C1443" s="0" t="s">
        <v>22</v>
      </c>
      <c r="D1443" s="0" t="s">
        <v>42</v>
      </c>
      <c r="E1443" s="10" t="n">
        <v>45782.3763888889</v>
      </c>
      <c r="F1443" s="10" t="n">
        <v>45783.2680555556</v>
      </c>
      <c r="G1443" s="0" t="n">
        <v>84.71</v>
      </c>
      <c r="H1443" s="0" t="n">
        <v>83.59</v>
      </c>
      <c r="I1443" s="11" t="n">
        <f aca="false">H1443-G1443</f>
        <v>-1.11999999999999</v>
      </c>
      <c r="J1443" s="5" t="n">
        <f aca="false">IF(G1443=0,"",I1443/G1443)</f>
        <v>-0.0132215795065517</v>
      </c>
      <c r="K1443" s="0" t="n">
        <v>16.9</v>
      </c>
      <c r="L1443" s="0" t="n">
        <v>21.4</v>
      </c>
      <c r="M1443" s="11" t="s">
        <v>2769</v>
      </c>
      <c r="N1443" s="12" t="n">
        <f aca="false">INT(E1443)</f>
        <v>45782</v>
      </c>
      <c r="O1443" s="12" t="n">
        <f aca="false">IF(F1443="","",INT(F1443))</f>
        <v>45783</v>
      </c>
    </row>
    <row r="1444" customFormat="false" ht="15" hidden="false" customHeight="false" outlineLevel="0" collapsed="false">
      <c r="A1444" s="0" t="s">
        <v>2930</v>
      </c>
      <c r="B1444" s="0" t="s">
        <v>2931</v>
      </c>
      <c r="C1444" s="0" t="s">
        <v>24</v>
      </c>
      <c r="D1444" s="0" t="s">
        <v>42</v>
      </c>
      <c r="E1444" s="10" t="n">
        <v>45782.3763888889</v>
      </c>
      <c r="F1444" s="10" t="n">
        <v>45783.6</v>
      </c>
      <c r="G1444" s="0" t="n">
        <v>233.81</v>
      </c>
      <c r="H1444" s="0" t="n">
        <v>237.29</v>
      </c>
      <c r="I1444" s="11" t="n">
        <f aca="false">H1444-G1444</f>
        <v>3.47999999999999</v>
      </c>
      <c r="J1444" s="5" t="n">
        <f aca="false">IF(G1444=0,"",I1444/G1444)</f>
        <v>0.014883880073564</v>
      </c>
      <c r="K1444" s="0" t="n">
        <v>72.9</v>
      </c>
      <c r="L1444" s="0" t="n">
        <v>29.37</v>
      </c>
      <c r="M1444" s="11" t="s">
        <v>2769</v>
      </c>
      <c r="N1444" s="12" t="n">
        <f aca="false">INT(E1444)</f>
        <v>45782</v>
      </c>
      <c r="O1444" s="12" t="n">
        <f aca="false">IF(F1444="","",INT(F1444))</f>
        <v>45783</v>
      </c>
    </row>
    <row r="1445" customFormat="false" ht="15" hidden="false" customHeight="false" outlineLevel="0" collapsed="false">
      <c r="A1445" s="0" t="s">
        <v>2932</v>
      </c>
      <c r="B1445" s="0" t="s">
        <v>2933</v>
      </c>
      <c r="C1445" s="0" t="s">
        <v>19</v>
      </c>
      <c r="D1445" s="0" t="s">
        <v>42</v>
      </c>
      <c r="E1445" s="10" t="n">
        <v>45782.3777777778</v>
      </c>
      <c r="F1445" s="10" t="n">
        <v>45782.9833101852</v>
      </c>
      <c r="G1445" s="0" t="n">
        <v>157.2</v>
      </c>
      <c r="H1445" s="0" t="n">
        <v>157.66</v>
      </c>
      <c r="I1445" s="11" t="n">
        <f aca="false">H1445-G1445</f>
        <v>0.460000000000008</v>
      </c>
      <c r="J1445" s="5" t="n">
        <f aca="false">IF(G1445=0,"",I1445/G1445)</f>
        <v>0.00292620865139954</v>
      </c>
      <c r="K1445" s="0" t="n">
        <v>21.2</v>
      </c>
      <c r="L1445" s="0" t="n">
        <v>14.53</v>
      </c>
      <c r="M1445" s="11" t="s">
        <v>2769</v>
      </c>
      <c r="N1445" s="12" t="n">
        <f aca="false">INT(E1445)</f>
        <v>45782</v>
      </c>
      <c r="O1445" s="12" t="n">
        <f aca="false">IF(F1445="","",INT(F1445))</f>
        <v>45782</v>
      </c>
    </row>
    <row r="1446" customFormat="false" ht="15" hidden="false" customHeight="false" outlineLevel="0" collapsed="false">
      <c r="A1446" s="0" t="s">
        <v>2934</v>
      </c>
      <c r="B1446" s="0" t="s">
        <v>2935</v>
      </c>
      <c r="C1446" s="0" t="s">
        <v>23</v>
      </c>
      <c r="D1446" s="0" t="s">
        <v>42</v>
      </c>
      <c r="E1446" s="10" t="n">
        <v>45782.3854166667</v>
      </c>
      <c r="F1446" s="10" t="n">
        <v>45782.7247916667</v>
      </c>
      <c r="G1446" s="0" t="n">
        <v>503.94</v>
      </c>
      <c r="H1446" s="0" t="n">
        <v>495.09</v>
      </c>
      <c r="I1446" s="11" t="n">
        <f aca="false">H1446-G1446</f>
        <v>-8.85000000000002</v>
      </c>
      <c r="J1446" s="5" t="n">
        <f aca="false">IF(G1446=0,"",I1446/G1446)</f>
        <v>-0.0175616144779141</v>
      </c>
      <c r="K1446" s="0" t="n">
        <v>187</v>
      </c>
      <c r="L1446" s="0" t="n">
        <v>8.14</v>
      </c>
      <c r="M1446" s="11" t="s">
        <v>2769</v>
      </c>
      <c r="N1446" s="12" t="n">
        <f aca="false">INT(E1446)</f>
        <v>45782</v>
      </c>
      <c r="O1446" s="12" t="n">
        <f aca="false">IF(F1446="","",INT(F1446))</f>
        <v>45782</v>
      </c>
    </row>
    <row r="1447" customFormat="false" ht="15" hidden="false" customHeight="false" outlineLevel="0" collapsed="false">
      <c r="A1447" s="0" t="s">
        <v>2936</v>
      </c>
      <c r="B1447" s="0" t="s">
        <v>2937</v>
      </c>
      <c r="C1447" s="0" t="s">
        <v>21</v>
      </c>
      <c r="D1447" s="0" t="s">
        <v>42</v>
      </c>
      <c r="E1447" s="10" t="n">
        <v>45782.3854166667</v>
      </c>
      <c r="F1447" s="10" t="n">
        <v>45783.8715625</v>
      </c>
      <c r="G1447" s="0" t="n">
        <v>438.78</v>
      </c>
      <c r="H1447" s="0" t="n">
        <v>449.86</v>
      </c>
      <c r="I1447" s="11" t="n">
        <f aca="false">H1447-G1447</f>
        <v>11.08</v>
      </c>
      <c r="J1447" s="5" t="n">
        <f aca="false">IF(G1447=0,"",I1447/G1447)</f>
        <v>0.0252518346323899</v>
      </c>
      <c r="K1447" s="0" t="n">
        <v>110.3</v>
      </c>
      <c r="L1447" s="0" t="n">
        <v>35.67</v>
      </c>
      <c r="M1447" s="11" t="s">
        <v>2769</v>
      </c>
      <c r="N1447" s="12" t="n">
        <f aca="false">INT(E1447)</f>
        <v>45782</v>
      </c>
      <c r="O1447" s="12" t="n">
        <f aca="false">IF(F1447="","",INT(F1447))</f>
        <v>45783</v>
      </c>
    </row>
    <row r="1448" customFormat="false" ht="15" hidden="false" customHeight="false" outlineLevel="0" collapsed="false">
      <c r="A1448" s="0" t="s">
        <v>2938</v>
      </c>
      <c r="B1448" s="0" t="s">
        <v>2939</v>
      </c>
      <c r="C1448" s="0" t="s">
        <v>23</v>
      </c>
      <c r="D1448" s="0" t="s">
        <v>42</v>
      </c>
      <c r="E1448" s="10" t="n">
        <v>45782.3909722222</v>
      </c>
      <c r="F1448" s="10" t="n">
        <v>45783.7006018519</v>
      </c>
      <c r="G1448" s="0" t="n">
        <v>549.75</v>
      </c>
      <c r="H1448" s="0" t="n">
        <v>557.55</v>
      </c>
      <c r="I1448" s="11" t="n">
        <f aca="false">H1448-G1448</f>
        <v>7.79999999999995</v>
      </c>
      <c r="J1448" s="5" t="n">
        <f aca="false">IF(G1448=0,"",I1448/G1448)</f>
        <v>0.01418826739427</v>
      </c>
      <c r="K1448" s="0" t="n">
        <v>216.8</v>
      </c>
      <c r="L1448" s="0" t="n">
        <v>31.43</v>
      </c>
      <c r="M1448" s="11" t="s">
        <v>2769</v>
      </c>
      <c r="N1448" s="12" t="n">
        <f aca="false">INT(E1448)</f>
        <v>45782</v>
      </c>
      <c r="O1448" s="12" t="n">
        <f aca="false">IF(F1448="","",INT(F1448))</f>
        <v>45783</v>
      </c>
    </row>
    <row r="1449" customFormat="false" ht="15" hidden="false" customHeight="false" outlineLevel="0" collapsed="false">
      <c r="A1449" s="0" t="s">
        <v>2940</v>
      </c>
      <c r="B1449" s="0" t="s">
        <v>2941</v>
      </c>
      <c r="C1449" s="0" t="s">
        <v>19</v>
      </c>
      <c r="D1449" s="0" t="s">
        <v>42</v>
      </c>
      <c r="E1449" s="10" t="n">
        <v>45782.4083333333</v>
      </c>
      <c r="F1449" s="10" t="n">
        <v>45782.6343402778</v>
      </c>
      <c r="G1449" s="0" t="n">
        <v>469.82</v>
      </c>
      <c r="H1449" s="0" t="n">
        <v>467.34</v>
      </c>
      <c r="I1449" s="11" t="n">
        <f aca="false">H1449-G1449</f>
        <v>-2.48000000000002</v>
      </c>
      <c r="J1449" s="5" t="n">
        <f aca="false">IF(G1449=0,"",I1449/G1449)</f>
        <v>-0.00527861734281218</v>
      </c>
      <c r="K1449" s="0" t="n">
        <v>75.6</v>
      </c>
      <c r="L1449" s="0" t="n">
        <v>5.42</v>
      </c>
      <c r="M1449" s="11" t="s">
        <v>2769</v>
      </c>
      <c r="N1449" s="12" t="n">
        <f aca="false">INT(E1449)</f>
        <v>45782</v>
      </c>
      <c r="O1449" s="12" t="n">
        <f aca="false">IF(F1449="","",INT(F1449))</f>
        <v>45782</v>
      </c>
    </row>
    <row r="1450" customFormat="false" ht="15" hidden="false" customHeight="false" outlineLevel="0" collapsed="false">
      <c r="A1450" s="0" t="s">
        <v>2942</v>
      </c>
      <c r="B1450" s="0" t="s">
        <v>2943</v>
      </c>
      <c r="C1450" s="0" t="s">
        <v>23</v>
      </c>
      <c r="D1450" s="0" t="s">
        <v>42</v>
      </c>
      <c r="E1450" s="10" t="n">
        <v>45782.4166666667</v>
      </c>
      <c r="F1450" s="10" t="n">
        <v>45783.7661921296</v>
      </c>
      <c r="G1450" s="0" t="n">
        <v>900.19</v>
      </c>
      <c r="H1450" s="0" t="n">
        <v>916.16</v>
      </c>
      <c r="I1450" s="11" t="n">
        <f aca="false">H1450-G1450</f>
        <v>15.9699999999999</v>
      </c>
      <c r="J1450" s="5" t="n">
        <f aca="false">IF(G1450=0,"",I1450/G1450)</f>
        <v>0.0177406991857274</v>
      </c>
      <c r="K1450" s="0" t="n">
        <v>289.5</v>
      </c>
      <c r="L1450" s="0" t="n">
        <v>32.39</v>
      </c>
      <c r="M1450" s="11" t="s">
        <v>2769</v>
      </c>
      <c r="N1450" s="12" t="n">
        <f aca="false">INT(E1450)</f>
        <v>45782</v>
      </c>
      <c r="O1450" s="12" t="n">
        <f aca="false">IF(F1450="","",INT(F1450))</f>
        <v>45783</v>
      </c>
    </row>
    <row r="1451" customFormat="false" ht="15" hidden="false" customHeight="false" outlineLevel="0" collapsed="false">
      <c r="A1451" s="0" t="s">
        <v>2944</v>
      </c>
      <c r="B1451" s="0" t="s">
        <v>2945</v>
      </c>
      <c r="C1451" s="0" t="s">
        <v>20</v>
      </c>
      <c r="D1451" s="0" t="s">
        <v>42</v>
      </c>
      <c r="E1451" s="10" t="n">
        <v>45782.4527777778</v>
      </c>
      <c r="F1451" s="10" t="n">
        <v>45783.6228703704</v>
      </c>
      <c r="G1451" s="0" t="n">
        <v>424.06</v>
      </c>
      <c r="H1451" s="0" t="n">
        <v>436.22</v>
      </c>
      <c r="I1451" s="11" t="n">
        <f aca="false">H1451-G1451</f>
        <v>12.16</v>
      </c>
      <c r="J1451" s="5" t="n">
        <f aca="false">IF(G1451=0,"",I1451/G1451)</f>
        <v>0.0286751874734708</v>
      </c>
      <c r="K1451" s="0" t="n">
        <v>65.7</v>
      </c>
      <c r="L1451" s="0" t="n">
        <v>28.08</v>
      </c>
      <c r="M1451" s="11" t="s">
        <v>2769</v>
      </c>
      <c r="N1451" s="12" t="n">
        <f aca="false">INT(E1451)</f>
        <v>45782</v>
      </c>
      <c r="O1451" s="12" t="n">
        <f aca="false">IF(F1451="","",INT(F1451))</f>
        <v>45783</v>
      </c>
    </row>
    <row r="1452" customFormat="false" ht="15" hidden="false" customHeight="false" outlineLevel="0" collapsed="false">
      <c r="A1452" s="0" t="s">
        <v>2946</v>
      </c>
      <c r="B1452" s="0" t="s">
        <v>2947</v>
      </c>
      <c r="C1452" s="0" t="s">
        <v>19</v>
      </c>
      <c r="D1452" s="0" t="s">
        <v>42</v>
      </c>
      <c r="E1452" s="10" t="n">
        <v>45782.4743055556</v>
      </c>
      <c r="F1452" s="10" t="n">
        <v>45782.7645833333</v>
      </c>
      <c r="G1452" s="0" t="n">
        <v>146.21</v>
      </c>
      <c r="H1452" s="0" t="n">
        <v>142.27</v>
      </c>
      <c r="I1452" s="11" t="n">
        <f aca="false">H1452-G1452</f>
        <v>-3.94</v>
      </c>
      <c r="J1452" s="5" t="n">
        <f aca="false">IF(G1452=0,"",I1452/G1452)</f>
        <v>-0.0269475412078517</v>
      </c>
      <c r="K1452" s="0" t="n">
        <v>18</v>
      </c>
      <c r="L1452" s="0" t="n">
        <v>6.97</v>
      </c>
      <c r="M1452" s="11" t="s">
        <v>2769</v>
      </c>
      <c r="N1452" s="12" t="n">
        <f aca="false">INT(E1452)</f>
        <v>45782</v>
      </c>
      <c r="O1452" s="12" t="n">
        <f aca="false">IF(F1452="","",INT(F1452))</f>
        <v>45782</v>
      </c>
    </row>
    <row r="1453" customFormat="false" ht="15" hidden="false" customHeight="false" outlineLevel="0" collapsed="false">
      <c r="A1453" s="0" t="s">
        <v>2948</v>
      </c>
      <c r="B1453" s="0" t="s">
        <v>2949</v>
      </c>
      <c r="C1453" s="0" t="s">
        <v>24</v>
      </c>
      <c r="D1453" s="0" t="s">
        <v>42</v>
      </c>
      <c r="E1453" s="10" t="n">
        <v>45782.4763888889</v>
      </c>
      <c r="F1453" s="10" t="n">
        <v>45783.6381944444</v>
      </c>
      <c r="G1453" s="0" t="n">
        <v>790.18</v>
      </c>
      <c r="H1453" s="0" t="n">
        <v>805.12</v>
      </c>
      <c r="I1453" s="11" t="n">
        <f aca="false">H1453-G1453</f>
        <v>14.9400000000001</v>
      </c>
      <c r="J1453" s="5" t="n">
        <f aca="false">IF(G1453=0,"",I1453/G1453)</f>
        <v>0.0189070844617683</v>
      </c>
      <c r="K1453" s="0" t="n">
        <v>228.8</v>
      </c>
      <c r="L1453" s="0" t="n">
        <v>27.88</v>
      </c>
      <c r="M1453" s="11" t="s">
        <v>2769</v>
      </c>
      <c r="N1453" s="12" t="n">
        <f aca="false">INT(E1453)</f>
        <v>45782</v>
      </c>
      <c r="O1453" s="12" t="n">
        <f aca="false">IF(F1453="","",INT(F1453))</f>
        <v>45783</v>
      </c>
    </row>
    <row r="1454" customFormat="false" ht="15" hidden="false" customHeight="false" outlineLevel="0" collapsed="false">
      <c r="A1454" s="0" t="s">
        <v>2950</v>
      </c>
      <c r="B1454" s="0" t="s">
        <v>2951</v>
      </c>
      <c r="C1454" s="0" t="s">
        <v>20</v>
      </c>
      <c r="D1454" s="0" t="s">
        <v>42</v>
      </c>
      <c r="E1454" s="10" t="n">
        <v>45782.4923611111</v>
      </c>
      <c r="F1454" s="10" t="n">
        <v>45783.1291666667</v>
      </c>
      <c r="G1454" s="0" t="n">
        <v>945.86</v>
      </c>
      <c r="H1454" s="0" t="n">
        <v>951.6</v>
      </c>
      <c r="I1454" s="11" t="n">
        <f aca="false">H1454-G1454</f>
        <v>5.74000000000001</v>
      </c>
      <c r="J1454" s="5" t="n">
        <f aca="false">IF(G1454=0,"",I1454/G1454)</f>
        <v>0.00606855137123888</v>
      </c>
      <c r="K1454" s="0" t="n">
        <v>121.5</v>
      </c>
      <c r="L1454" s="0" t="n">
        <v>15.28</v>
      </c>
      <c r="M1454" s="11" t="s">
        <v>2769</v>
      </c>
      <c r="N1454" s="12" t="n">
        <f aca="false">INT(E1454)</f>
        <v>45782</v>
      </c>
      <c r="O1454" s="12" t="n">
        <f aca="false">IF(F1454="","",INT(F1454))</f>
        <v>45783</v>
      </c>
    </row>
    <row r="1455" customFormat="false" ht="15" hidden="false" customHeight="false" outlineLevel="0" collapsed="false">
      <c r="A1455" s="0" t="s">
        <v>2952</v>
      </c>
      <c r="B1455" s="0" t="s">
        <v>2953</v>
      </c>
      <c r="C1455" s="0" t="s">
        <v>23</v>
      </c>
      <c r="D1455" s="0" t="s">
        <v>42</v>
      </c>
      <c r="E1455" s="10" t="n">
        <v>45782.4972222222</v>
      </c>
      <c r="F1455" s="10" t="n">
        <v>45783.0404513889</v>
      </c>
      <c r="G1455" s="0" t="n">
        <v>810.86</v>
      </c>
      <c r="H1455" s="0" t="n">
        <v>798.7</v>
      </c>
      <c r="I1455" s="11" t="n">
        <f aca="false">H1455-G1455</f>
        <v>-12.16</v>
      </c>
      <c r="J1455" s="5" t="n">
        <f aca="false">IF(G1455=0,"",I1455/G1455)</f>
        <v>-0.0149964235503046</v>
      </c>
      <c r="K1455" s="0" t="n">
        <v>196.9</v>
      </c>
      <c r="L1455" s="0" t="n">
        <v>13.04</v>
      </c>
      <c r="M1455" s="11" t="s">
        <v>2769</v>
      </c>
      <c r="N1455" s="12" t="n">
        <f aca="false">INT(E1455)</f>
        <v>45782</v>
      </c>
      <c r="O1455" s="12" t="n">
        <f aca="false">IF(F1455="","",INT(F1455))</f>
        <v>45783</v>
      </c>
    </row>
    <row r="1456" customFormat="false" ht="15" hidden="false" customHeight="false" outlineLevel="0" collapsed="false">
      <c r="A1456" s="0" t="s">
        <v>2954</v>
      </c>
      <c r="B1456" s="0" t="s">
        <v>2955</v>
      </c>
      <c r="C1456" s="0" t="s">
        <v>21</v>
      </c>
      <c r="D1456" s="0" t="s">
        <v>42</v>
      </c>
      <c r="E1456" s="10" t="n">
        <v>45782.5090277778</v>
      </c>
      <c r="F1456" s="10" t="n">
        <v>45783.0680555556</v>
      </c>
      <c r="G1456" s="0" t="n">
        <v>1166.97</v>
      </c>
      <c r="H1456" s="0" t="n">
        <v>1151.11</v>
      </c>
      <c r="I1456" s="11" t="n">
        <f aca="false">H1456-G1456</f>
        <v>-15.8600000000001</v>
      </c>
      <c r="J1456" s="5" t="n">
        <f aca="false">IF(G1456=0,"",I1456/G1456)</f>
        <v>-0.013590752118735</v>
      </c>
      <c r="K1456" s="0" t="n">
        <v>285.5</v>
      </c>
      <c r="L1456" s="0" t="n">
        <v>13.42</v>
      </c>
      <c r="M1456" s="11" t="s">
        <v>2769</v>
      </c>
      <c r="N1456" s="12" t="n">
        <f aca="false">INT(E1456)</f>
        <v>45782</v>
      </c>
      <c r="O1456" s="12" t="n">
        <f aca="false">IF(F1456="","",INT(F1456))</f>
        <v>45783</v>
      </c>
    </row>
    <row r="1457" customFormat="false" ht="15" hidden="false" customHeight="false" outlineLevel="0" collapsed="false">
      <c r="A1457" s="0" t="s">
        <v>2956</v>
      </c>
      <c r="B1457" s="0" t="s">
        <v>2957</v>
      </c>
      <c r="C1457" s="0" t="s">
        <v>23</v>
      </c>
      <c r="D1457" s="0" t="s">
        <v>42</v>
      </c>
      <c r="E1457" s="10" t="n">
        <v>45782.5180555556</v>
      </c>
      <c r="F1457" s="10" t="n">
        <v>45783.8439236111</v>
      </c>
      <c r="G1457" s="0" t="n">
        <v>74.37</v>
      </c>
      <c r="H1457" s="0" t="n">
        <v>92.02</v>
      </c>
      <c r="I1457" s="11" t="n">
        <f aca="false">H1457-G1457</f>
        <v>17.65</v>
      </c>
      <c r="J1457" s="5" t="n">
        <f aca="false">IF(G1457=0,"",I1457/G1457)</f>
        <v>0.237326879117924</v>
      </c>
      <c r="K1457" s="0" t="n">
        <v>25.2</v>
      </c>
      <c r="L1457" s="0" t="n">
        <v>31.82</v>
      </c>
      <c r="M1457" s="11" t="s">
        <v>2769</v>
      </c>
      <c r="N1457" s="12" t="n">
        <f aca="false">INT(E1457)</f>
        <v>45782</v>
      </c>
      <c r="O1457" s="12" t="n">
        <f aca="false">IF(F1457="","",INT(F1457))</f>
        <v>45783</v>
      </c>
    </row>
    <row r="1458" customFormat="false" ht="15" hidden="false" customHeight="false" outlineLevel="0" collapsed="false">
      <c r="A1458" s="0" t="s">
        <v>2958</v>
      </c>
      <c r="B1458" s="0" t="s">
        <v>2959</v>
      </c>
      <c r="C1458" s="0" t="s">
        <v>23</v>
      </c>
      <c r="D1458" s="0" t="s">
        <v>42</v>
      </c>
      <c r="E1458" s="10" t="n">
        <v>45782.5520833333</v>
      </c>
      <c r="F1458" s="10" t="n">
        <v>45783.2402777778</v>
      </c>
      <c r="G1458" s="0" t="n">
        <v>216.25</v>
      </c>
      <c r="H1458" s="0" t="n">
        <v>218.17</v>
      </c>
      <c r="I1458" s="11" t="n">
        <f aca="false">H1458-G1458</f>
        <v>1.91999999999999</v>
      </c>
      <c r="J1458" s="5" t="n">
        <f aca="false">IF(G1458=0,"",I1458/G1458)</f>
        <v>0.00887861271676295</v>
      </c>
      <c r="K1458" s="0" t="n">
        <v>94.5</v>
      </c>
      <c r="L1458" s="0" t="n">
        <v>16.52</v>
      </c>
      <c r="M1458" s="11" t="s">
        <v>2769</v>
      </c>
      <c r="N1458" s="12" t="n">
        <f aca="false">INT(E1458)</f>
        <v>45782</v>
      </c>
      <c r="O1458" s="12" t="n">
        <f aca="false">IF(F1458="","",INT(F1458))</f>
        <v>45783</v>
      </c>
    </row>
    <row r="1459" customFormat="false" ht="15" hidden="false" customHeight="false" outlineLevel="0" collapsed="false">
      <c r="A1459" s="0" t="s">
        <v>2960</v>
      </c>
      <c r="B1459" s="0" t="s">
        <v>2961</v>
      </c>
      <c r="C1459" s="0" t="s">
        <v>24</v>
      </c>
      <c r="D1459" s="0" t="s">
        <v>42</v>
      </c>
      <c r="E1459" s="10" t="n">
        <v>45782.5583333333</v>
      </c>
      <c r="F1459" s="10" t="n">
        <v>45783.7118055556</v>
      </c>
      <c r="G1459" s="0" t="n">
        <v>107.4</v>
      </c>
      <c r="H1459" s="0" t="n">
        <v>105.14</v>
      </c>
      <c r="I1459" s="11" t="n">
        <f aca="false">H1459-G1459</f>
        <v>-2.26000000000001</v>
      </c>
      <c r="J1459" s="5" t="n">
        <f aca="false">IF(G1459=0,"",I1459/G1459)</f>
        <v>-0.0210428305400373</v>
      </c>
      <c r="K1459" s="0" t="n">
        <v>40.3</v>
      </c>
      <c r="L1459" s="0" t="n">
        <v>27.68</v>
      </c>
      <c r="M1459" s="11" t="s">
        <v>2769</v>
      </c>
      <c r="N1459" s="12" t="n">
        <f aca="false">INT(E1459)</f>
        <v>45782</v>
      </c>
      <c r="O1459" s="12" t="n">
        <f aca="false">IF(F1459="","",INT(F1459))</f>
        <v>45783</v>
      </c>
    </row>
    <row r="1460" customFormat="false" ht="15" hidden="false" customHeight="false" outlineLevel="0" collapsed="false">
      <c r="A1460" s="0" t="s">
        <v>2962</v>
      </c>
      <c r="B1460" s="0" t="s">
        <v>2963</v>
      </c>
      <c r="C1460" s="0" t="s">
        <v>20</v>
      </c>
      <c r="D1460" s="0" t="s">
        <v>42</v>
      </c>
      <c r="E1460" s="10" t="n">
        <v>45782.5708333333</v>
      </c>
      <c r="F1460" s="10" t="n">
        <v>45784.2430555556</v>
      </c>
      <c r="G1460" s="0" t="n">
        <v>618.25</v>
      </c>
      <c r="H1460" s="0" t="n">
        <v>613.46</v>
      </c>
      <c r="I1460" s="11" t="n">
        <f aca="false">H1460-G1460</f>
        <v>-4.78999999999996</v>
      </c>
      <c r="J1460" s="5" t="n">
        <f aca="false">IF(G1460=0,"",I1460/G1460)</f>
        <v>-0.00774767488879897</v>
      </c>
      <c r="K1460" s="0" t="n">
        <v>98.2</v>
      </c>
      <c r="L1460" s="0" t="n">
        <v>40.13</v>
      </c>
      <c r="M1460" s="11" t="s">
        <v>2769</v>
      </c>
      <c r="N1460" s="12" t="n">
        <f aca="false">INT(E1460)</f>
        <v>45782</v>
      </c>
      <c r="O1460" s="12" t="n">
        <f aca="false">IF(F1460="","",INT(F1460))</f>
        <v>45784</v>
      </c>
    </row>
    <row r="1461" customFormat="false" ht="15" hidden="false" customHeight="false" outlineLevel="0" collapsed="false">
      <c r="A1461" s="0" t="s">
        <v>2964</v>
      </c>
      <c r="B1461" s="0" t="s">
        <v>2965</v>
      </c>
      <c r="C1461" s="0" t="s">
        <v>24</v>
      </c>
      <c r="D1461" s="0" t="s">
        <v>42</v>
      </c>
      <c r="E1461" s="10" t="n">
        <v>45782.5708333333</v>
      </c>
      <c r="F1461" s="10" t="n">
        <v>45783.9715277778</v>
      </c>
      <c r="G1461" s="0" t="n">
        <v>467.39</v>
      </c>
      <c r="H1461" s="0" t="n">
        <v>464.55</v>
      </c>
      <c r="I1461" s="11" t="n">
        <f aca="false">H1461-G1461</f>
        <v>-2.83999999999998</v>
      </c>
      <c r="J1461" s="5" t="n">
        <f aca="false">IF(G1461=0,"",I1461/G1461)</f>
        <v>-0.00607629602687258</v>
      </c>
      <c r="K1461" s="0" t="n">
        <v>188.4</v>
      </c>
      <c r="L1461" s="0" t="n">
        <v>33.62</v>
      </c>
      <c r="M1461" s="11" t="s">
        <v>2769</v>
      </c>
      <c r="N1461" s="12" t="n">
        <f aca="false">INT(E1461)</f>
        <v>45782</v>
      </c>
      <c r="O1461" s="12" t="n">
        <f aca="false">IF(F1461="","",INT(F1461))</f>
        <v>45783</v>
      </c>
    </row>
    <row r="1462" customFormat="false" ht="15" hidden="false" customHeight="false" outlineLevel="0" collapsed="false">
      <c r="A1462" s="0" t="s">
        <v>2966</v>
      </c>
      <c r="B1462" s="0" t="s">
        <v>2967</v>
      </c>
      <c r="C1462" s="0" t="s">
        <v>21</v>
      </c>
      <c r="D1462" s="0" t="s">
        <v>42</v>
      </c>
      <c r="E1462" s="10" t="n">
        <v>45782.5972222222</v>
      </c>
      <c r="F1462" s="10" t="n">
        <v>45783.1506944444</v>
      </c>
      <c r="G1462" s="0" t="n">
        <v>710.33</v>
      </c>
      <c r="H1462" s="0" t="n">
        <v>692.35</v>
      </c>
      <c r="I1462" s="11" t="n">
        <f aca="false">H1462-G1462</f>
        <v>-17.98</v>
      </c>
      <c r="J1462" s="5" t="n">
        <f aca="false">IF(G1462=0,"",I1462/G1462)</f>
        <v>-0.0253121788464517</v>
      </c>
      <c r="K1462" s="0" t="n">
        <v>135.8</v>
      </c>
      <c r="L1462" s="0" t="n">
        <v>13.28</v>
      </c>
      <c r="M1462" s="11" t="s">
        <v>2769</v>
      </c>
      <c r="N1462" s="12" t="n">
        <f aca="false">INT(E1462)</f>
        <v>45782</v>
      </c>
      <c r="O1462" s="12" t="n">
        <f aca="false">IF(F1462="","",INT(F1462))</f>
        <v>45783</v>
      </c>
    </row>
    <row r="1463" customFormat="false" ht="15" hidden="false" customHeight="false" outlineLevel="0" collapsed="false">
      <c r="A1463" s="0" t="s">
        <v>2968</v>
      </c>
      <c r="B1463" s="0" t="s">
        <v>2969</v>
      </c>
      <c r="C1463" s="0" t="s">
        <v>23</v>
      </c>
      <c r="D1463" s="0" t="s">
        <v>42</v>
      </c>
      <c r="E1463" s="10" t="n">
        <v>45782.6166666667</v>
      </c>
      <c r="F1463" s="10" t="n">
        <v>45784.0319444445</v>
      </c>
      <c r="G1463" s="0" t="n">
        <v>603.02</v>
      </c>
      <c r="H1463" s="0" t="n">
        <v>604.09</v>
      </c>
      <c r="I1463" s="11" t="n">
        <f aca="false">H1463-G1463</f>
        <v>1.07000000000005</v>
      </c>
      <c r="J1463" s="5" t="n">
        <f aca="false">IF(G1463=0,"",I1463/G1463)</f>
        <v>0.00177440217571565</v>
      </c>
      <c r="K1463" s="0" t="n">
        <v>222.2</v>
      </c>
      <c r="L1463" s="0" t="n">
        <v>33.97</v>
      </c>
      <c r="M1463" s="11" t="s">
        <v>2769</v>
      </c>
      <c r="N1463" s="12" t="n">
        <f aca="false">INT(E1463)</f>
        <v>45782</v>
      </c>
      <c r="O1463" s="12" t="n">
        <f aca="false">IF(F1463="","",INT(F1463))</f>
        <v>45784</v>
      </c>
    </row>
    <row r="1464" customFormat="false" ht="15" hidden="false" customHeight="false" outlineLevel="0" collapsed="false">
      <c r="A1464" s="0" t="s">
        <v>2970</v>
      </c>
      <c r="B1464" s="0" t="s">
        <v>2971</v>
      </c>
      <c r="C1464" s="0" t="s">
        <v>24</v>
      </c>
      <c r="D1464" s="0" t="s">
        <v>42</v>
      </c>
      <c r="E1464" s="10" t="n">
        <v>45782.6166666667</v>
      </c>
      <c r="F1464" s="10" t="n">
        <v>45784.1343287037</v>
      </c>
      <c r="G1464" s="0" t="n">
        <v>430.15</v>
      </c>
      <c r="H1464" s="0" t="n">
        <v>437.97</v>
      </c>
      <c r="I1464" s="11" t="n">
        <f aca="false">H1464-G1464</f>
        <v>7.82000000000005</v>
      </c>
      <c r="J1464" s="5" t="n">
        <f aca="false">IF(G1464=0,"",I1464/G1464)</f>
        <v>0.0181797047541556</v>
      </c>
      <c r="K1464" s="0" t="n">
        <v>92.5</v>
      </c>
      <c r="L1464" s="0" t="n">
        <v>36.42</v>
      </c>
      <c r="M1464" s="11" t="s">
        <v>2769</v>
      </c>
      <c r="N1464" s="12" t="n">
        <f aca="false">INT(E1464)</f>
        <v>45782</v>
      </c>
      <c r="O1464" s="12" t="n">
        <f aca="false">IF(F1464="","",INT(F1464))</f>
        <v>45784</v>
      </c>
    </row>
    <row r="1465" customFormat="false" ht="15" hidden="false" customHeight="false" outlineLevel="0" collapsed="false">
      <c r="A1465" s="0" t="s">
        <v>2972</v>
      </c>
      <c r="B1465" s="0" t="s">
        <v>2973</v>
      </c>
      <c r="C1465" s="0" t="s">
        <v>20</v>
      </c>
      <c r="D1465" s="0" t="s">
        <v>42</v>
      </c>
      <c r="E1465" s="10" t="n">
        <v>45782.6298611111</v>
      </c>
      <c r="F1465" s="10" t="n">
        <v>45784.0007175926</v>
      </c>
      <c r="G1465" s="0" t="n">
        <v>842.54</v>
      </c>
      <c r="H1465" s="0" t="n">
        <v>832.24</v>
      </c>
      <c r="I1465" s="11" t="n">
        <f aca="false">H1465-G1465</f>
        <v>-10.3</v>
      </c>
      <c r="J1465" s="5" t="n">
        <f aca="false">IF(G1465=0,"",I1465/G1465)</f>
        <v>-0.0122249388753056</v>
      </c>
      <c r="K1465" s="0" t="n">
        <v>108.9</v>
      </c>
      <c r="L1465" s="0" t="n">
        <v>32.9</v>
      </c>
      <c r="M1465" s="11" t="s">
        <v>2769</v>
      </c>
      <c r="N1465" s="12" t="n">
        <f aca="false">INT(E1465)</f>
        <v>45782</v>
      </c>
      <c r="O1465" s="12" t="n">
        <f aca="false">IF(F1465="","",INT(F1465))</f>
        <v>45784</v>
      </c>
    </row>
    <row r="1466" customFormat="false" ht="15" hidden="false" customHeight="false" outlineLevel="0" collapsed="false">
      <c r="A1466" s="0" t="s">
        <v>2974</v>
      </c>
      <c r="B1466" s="0" t="s">
        <v>2975</v>
      </c>
      <c r="C1466" s="0" t="s">
        <v>22</v>
      </c>
      <c r="D1466" s="0" t="s">
        <v>42</v>
      </c>
      <c r="E1466" s="10" t="n">
        <v>45782.6347222222</v>
      </c>
      <c r="F1466" s="10" t="n">
        <v>45783.1798611111</v>
      </c>
      <c r="G1466" s="0" t="n">
        <v>399.01</v>
      </c>
      <c r="H1466" s="0" t="n">
        <v>403.73</v>
      </c>
      <c r="I1466" s="11" t="n">
        <f aca="false">H1466-G1466</f>
        <v>4.72000000000003</v>
      </c>
      <c r="J1466" s="5" t="n">
        <f aca="false">IF(G1466=0,"",I1466/G1466)</f>
        <v>0.0118292774617178</v>
      </c>
      <c r="K1466" s="0" t="n">
        <v>50.9</v>
      </c>
      <c r="L1466" s="0" t="n">
        <v>13.08</v>
      </c>
      <c r="M1466" s="11" t="s">
        <v>2769</v>
      </c>
      <c r="N1466" s="12" t="n">
        <f aca="false">INT(E1466)</f>
        <v>45782</v>
      </c>
      <c r="O1466" s="12" t="n">
        <f aca="false">IF(F1466="","",INT(F1466))</f>
        <v>45783</v>
      </c>
    </row>
    <row r="1467" customFormat="false" ht="15" hidden="false" customHeight="false" outlineLevel="0" collapsed="false">
      <c r="A1467" s="0" t="s">
        <v>2976</v>
      </c>
      <c r="B1467" s="0" t="s">
        <v>2977</v>
      </c>
      <c r="C1467" s="0" t="s">
        <v>21</v>
      </c>
      <c r="D1467" s="0" t="s">
        <v>42</v>
      </c>
      <c r="E1467" s="10" t="n">
        <v>45782.6354166667</v>
      </c>
      <c r="F1467" s="10" t="n">
        <v>45783.3048611111</v>
      </c>
      <c r="G1467" s="0" t="n">
        <v>217.89</v>
      </c>
      <c r="H1467" s="0" t="n">
        <v>217.2</v>
      </c>
      <c r="I1467" s="11" t="n">
        <f aca="false">H1467-G1467</f>
        <v>-0.689999999999998</v>
      </c>
      <c r="J1467" s="5" t="n">
        <f aca="false">IF(G1467=0,"",I1467/G1467)</f>
        <v>-0.00316673550874293</v>
      </c>
      <c r="K1467" s="0" t="n">
        <v>45</v>
      </c>
      <c r="L1467" s="0" t="n">
        <v>16.07</v>
      </c>
      <c r="M1467" s="11" t="s">
        <v>2769</v>
      </c>
      <c r="N1467" s="12" t="n">
        <f aca="false">INT(E1467)</f>
        <v>45782</v>
      </c>
      <c r="O1467" s="12" t="n">
        <f aca="false">IF(F1467="","",INT(F1467))</f>
        <v>45783</v>
      </c>
    </row>
    <row r="1468" customFormat="false" ht="15" hidden="false" customHeight="false" outlineLevel="0" collapsed="false">
      <c r="A1468" s="0" t="s">
        <v>2978</v>
      </c>
      <c r="B1468" s="0" t="s">
        <v>2979</v>
      </c>
      <c r="C1468" s="0" t="s">
        <v>23</v>
      </c>
      <c r="D1468" s="0" t="s">
        <v>42</v>
      </c>
      <c r="E1468" s="10" t="n">
        <v>45782.6402777778</v>
      </c>
      <c r="F1468" s="10" t="n">
        <v>45783.6234722222</v>
      </c>
      <c r="G1468" s="0" t="n">
        <v>752.07</v>
      </c>
      <c r="H1468" s="0" t="n">
        <v>757.72</v>
      </c>
      <c r="I1468" s="11" t="n">
        <f aca="false">H1468-G1468</f>
        <v>5.64999999999998</v>
      </c>
      <c r="J1468" s="5" t="n">
        <f aca="false">IF(G1468=0,"",I1468/G1468)</f>
        <v>0.0075125985613041</v>
      </c>
      <c r="K1468" s="0" t="n">
        <v>269.1</v>
      </c>
      <c r="L1468" s="0" t="n">
        <v>23.6</v>
      </c>
      <c r="M1468" s="11" t="s">
        <v>2769</v>
      </c>
      <c r="N1468" s="12" t="n">
        <f aca="false">INT(E1468)</f>
        <v>45782</v>
      </c>
      <c r="O1468" s="12" t="n">
        <f aca="false">IF(F1468="","",INT(F1468))</f>
        <v>45783</v>
      </c>
    </row>
    <row r="1469" customFormat="false" ht="15" hidden="false" customHeight="false" outlineLevel="0" collapsed="false">
      <c r="A1469" s="0" t="s">
        <v>2980</v>
      </c>
      <c r="B1469" s="0" t="s">
        <v>2981</v>
      </c>
      <c r="C1469" s="0" t="s">
        <v>24</v>
      </c>
      <c r="D1469" s="0" t="s">
        <v>48</v>
      </c>
      <c r="E1469" s="10" t="n">
        <v>45782.6631944445</v>
      </c>
      <c r="F1469" s="10"/>
      <c r="G1469" s="0" t="n">
        <v>671.85</v>
      </c>
      <c r="H1469" s="0" t="n">
        <v>675.98</v>
      </c>
      <c r="I1469" s="11" t="n">
        <f aca="false">H1469-G1469</f>
        <v>4.13</v>
      </c>
      <c r="J1469" s="5" t="n">
        <f aca="false">IF(G1469=0,"",I1469/G1469)</f>
        <v>0.00614720547741311</v>
      </c>
      <c r="K1469" s="0" t="n">
        <v>232</v>
      </c>
      <c r="M1469" s="11" t="s">
        <v>2769</v>
      </c>
      <c r="N1469" s="12" t="n">
        <f aca="false">INT(E1469)</f>
        <v>45782</v>
      </c>
      <c r="O1469" s="12" t="str">
        <f aca="false">IF(F1469="","",INT(F1469))</f>
        <v/>
      </c>
    </row>
    <row r="1470" customFormat="false" ht="15" hidden="false" customHeight="false" outlineLevel="0" collapsed="false">
      <c r="A1470" s="0" t="s">
        <v>2982</v>
      </c>
      <c r="B1470" s="0" t="s">
        <v>2983</v>
      </c>
      <c r="C1470" s="0" t="s">
        <v>21</v>
      </c>
      <c r="D1470" s="0" t="s">
        <v>42</v>
      </c>
      <c r="E1470" s="10" t="n">
        <v>45782.6666666667</v>
      </c>
      <c r="F1470" s="10" t="n">
        <v>45785.0159722222</v>
      </c>
      <c r="G1470" s="0" t="n">
        <v>302.71</v>
      </c>
      <c r="H1470" s="0" t="n">
        <v>306.54</v>
      </c>
      <c r="I1470" s="11" t="n">
        <f aca="false">H1470-G1470</f>
        <v>3.83000000000004</v>
      </c>
      <c r="J1470" s="5" t="n">
        <f aca="false">IF(G1470=0,"",I1470/G1470)</f>
        <v>0.0126523735588518</v>
      </c>
      <c r="K1470" s="0" t="n">
        <v>81.6</v>
      </c>
      <c r="L1470" s="0" t="n">
        <v>56.38</v>
      </c>
      <c r="M1470" s="11" t="s">
        <v>2769</v>
      </c>
      <c r="N1470" s="12" t="n">
        <f aca="false">INT(E1470)</f>
        <v>45782</v>
      </c>
      <c r="O1470" s="12" t="n">
        <f aca="false">IF(F1470="","",INT(F1470))</f>
        <v>45785</v>
      </c>
    </row>
    <row r="1471" customFormat="false" ht="15" hidden="false" customHeight="false" outlineLevel="0" collapsed="false">
      <c r="A1471" s="0" t="s">
        <v>2984</v>
      </c>
      <c r="B1471" s="0" t="s">
        <v>2985</v>
      </c>
      <c r="C1471" s="0" t="s">
        <v>21</v>
      </c>
      <c r="D1471" s="0" t="s">
        <v>42</v>
      </c>
      <c r="E1471" s="10" t="n">
        <v>45782.6916666667</v>
      </c>
      <c r="F1471" s="10" t="n">
        <v>45783.1361111111</v>
      </c>
      <c r="G1471" s="0" t="n">
        <v>303.8</v>
      </c>
      <c r="H1471" s="0" t="n">
        <v>302.61</v>
      </c>
      <c r="I1471" s="11" t="n">
        <f aca="false">H1471-G1471</f>
        <v>-1.19</v>
      </c>
      <c r="J1471" s="5" t="n">
        <f aca="false">IF(G1471=0,"",I1471/G1471)</f>
        <v>-0.00391705069124423</v>
      </c>
      <c r="K1471" s="0" t="n">
        <v>38</v>
      </c>
      <c r="L1471" s="0" t="n">
        <v>10.67</v>
      </c>
      <c r="M1471" s="11" t="s">
        <v>2769</v>
      </c>
      <c r="N1471" s="12" t="n">
        <f aca="false">INT(E1471)</f>
        <v>45782</v>
      </c>
      <c r="O1471" s="12" t="n">
        <f aca="false">IF(F1471="","",INT(F1471))</f>
        <v>45783</v>
      </c>
    </row>
    <row r="1472" customFormat="false" ht="15" hidden="false" customHeight="false" outlineLevel="0" collapsed="false">
      <c r="A1472" s="0" t="s">
        <v>2986</v>
      </c>
      <c r="B1472" s="0" t="s">
        <v>2987</v>
      </c>
      <c r="C1472" s="0" t="s">
        <v>19</v>
      </c>
      <c r="D1472" s="0" t="s">
        <v>42</v>
      </c>
      <c r="E1472" s="10" t="n">
        <v>45782.6951388889</v>
      </c>
      <c r="F1472" s="10" t="n">
        <v>45783.5425925926</v>
      </c>
      <c r="G1472" s="0" t="n">
        <v>128.89</v>
      </c>
      <c r="H1472" s="0" t="n">
        <v>129.48</v>
      </c>
      <c r="I1472" s="11" t="n">
        <f aca="false">H1472-G1472</f>
        <v>0.590000000000003</v>
      </c>
      <c r="J1472" s="5" t="n">
        <f aca="false">IF(G1472=0,"",I1472/G1472)</f>
        <v>0.00457754674528671</v>
      </c>
      <c r="K1472" s="0" t="n">
        <v>22.4</v>
      </c>
      <c r="L1472" s="0" t="n">
        <v>20.34</v>
      </c>
      <c r="M1472" s="11" t="s">
        <v>2769</v>
      </c>
      <c r="N1472" s="12" t="n">
        <f aca="false">INT(E1472)</f>
        <v>45782</v>
      </c>
      <c r="O1472" s="12" t="n">
        <f aca="false">IF(F1472="","",INT(F1472))</f>
        <v>45783</v>
      </c>
    </row>
    <row r="1473" customFormat="false" ht="15" hidden="false" customHeight="false" outlineLevel="0" collapsed="false">
      <c r="A1473" s="0" t="s">
        <v>2988</v>
      </c>
      <c r="B1473" s="0" t="s">
        <v>2989</v>
      </c>
      <c r="C1473" s="0" t="s">
        <v>23</v>
      </c>
      <c r="D1473" s="0" t="s">
        <v>42</v>
      </c>
      <c r="E1473" s="10" t="n">
        <v>45782.7333333333</v>
      </c>
      <c r="F1473" s="10" t="n">
        <v>45783.1479166667</v>
      </c>
      <c r="G1473" s="0" t="n">
        <v>358.11</v>
      </c>
      <c r="H1473" s="0" t="n">
        <v>364.63</v>
      </c>
      <c r="I1473" s="11" t="n">
        <f aca="false">H1473-G1473</f>
        <v>6.51999999999998</v>
      </c>
      <c r="J1473" s="5" t="n">
        <f aca="false">IF(G1473=0,"",I1473/G1473)</f>
        <v>0.0182066962665102</v>
      </c>
      <c r="K1473" s="0" t="n">
        <v>124</v>
      </c>
      <c r="L1473" s="0" t="n">
        <v>9.95</v>
      </c>
      <c r="M1473" s="11" t="s">
        <v>2769</v>
      </c>
      <c r="N1473" s="12" t="n">
        <f aca="false">INT(E1473)</f>
        <v>45782</v>
      </c>
      <c r="O1473" s="12" t="n">
        <f aca="false">IF(F1473="","",INT(F1473))</f>
        <v>45783</v>
      </c>
    </row>
    <row r="1474" customFormat="false" ht="15" hidden="false" customHeight="false" outlineLevel="0" collapsed="false">
      <c r="A1474" s="0" t="s">
        <v>2990</v>
      </c>
      <c r="B1474" s="0" t="s">
        <v>2991</v>
      </c>
      <c r="C1474" s="0" t="s">
        <v>21</v>
      </c>
      <c r="D1474" s="0" t="s">
        <v>42</v>
      </c>
      <c r="E1474" s="10" t="n">
        <v>45782.7743055556</v>
      </c>
      <c r="F1474" s="10" t="n">
        <v>45783.3692939815</v>
      </c>
      <c r="G1474" s="0" t="n">
        <v>286.17</v>
      </c>
      <c r="H1474" s="0" t="n">
        <v>279.19</v>
      </c>
      <c r="I1474" s="11" t="n">
        <f aca="false">H1474-G1474</f>
        <v>-6.98000000000002</v>
      </c>
      <c r="J1474" s="5" t="n">
        <f aca="false">IF(G1474=0,"",I1474/G1474)</f>
        <v>-0.0243910962015586</v>
      </c>
      <c r="K1474" s="0" t="n">
        <v>59</v>
      </c>
      <c r="L1474" s="0" t="n">
        <v>14.28</v>
      </c>
      <c r="M1474" s="11" t="s">
        <v>2769</v>
      </c>
      <c r="N1474" s="12" t="n">
        <f aca="false">INT(E1474)</f>
        <v>45782</v>
      </c>
      <c r="O1474" s="12" t="n">
        <f aca="false">IF(F1474="","",INT(F1474))</f>
        <v>45783</v>
      </c>
    </row>
    <row r="1475" customFormat="false" ht="15" hidden="false" customHeight="false" outlineLevel="0" collapsed="false">
      <c r="A1475" s="0" t="s">
        <v>2992</v>
      </c>
      <c r="B1475" s="0" t="s">
        <v>2993</v>
      </c>
      <c r="C1475" s="0" t="s">
        <v>20</v>
      </c>
      <c r="D1475" s="0" t="s">
        <v>303</v>
      </c>
      <c r="E1475" s="10" t="n">
        <v>45783.3291666667</v>
      </c>
      <c r="F1475" s="10"/>
      <c r="G1475" s="0" t="n">
        <v>1860.45</v>
      </c>
      <c r="H1475" s="0" t="n">
        <v>1906.12</v>
      </c>
      <c r="I1475" s="11" t="n">
        <f aca="false">H1475-G1475</f>
        <v>45.6699999999998</v>
      </c>
      <c r="J1475" s="5" t="n">
        <f aca="false">IF(G1475=0,"",I1475/G1475)</f>
        <v>0.0245478244510736</v>
      </c>
      <c r="K1475" s="0" t="n">
        <v>241.2</v>
      </c>
      <c r="M1475" s="11" t="s">
        <v>2769</v>
      </c>
      <c r="N1475" s="12" t="n">
        <f aca="false">INT(E1475)</f>
        <v>45783</v>
      </c>
      <c r="O1475" s="12" t="str">
        <f aca="false">IF(F1475="","",INT(F1475))</f>
        <v/>
      </c>
    </row>
    <row r="1476" customFormat="false" ht="15" hidden="false" customHeight="false" outlineLevel="0" collapsed="false">
      <c r="A1476" s="0" t="s">
        <v>2994</v>
      </c>
      <c r="B1476" s="0" t="s">
        <v>2995</v>
      </c>
      <c r="C1476" s="0" t="s">
        <v>23</v>
      </c>
      <c r="D1476" s="0" t="s">
        <v>42</v>
      </c>
      <c r="E1476" s="10" t="n">
        <v>45783.3305555556</v>
      </c>
      <c r="F1476" s="10" t="n">
        <v>45787.1626157407</v>
      </c>
      <c r="G1476" s="0" t="n">
        <v>1443.56</v>
      </c>
      <c r="H1476" s="0" t="n">
        <v>1469.17</v>
      </c>
      <c r="I1476" s="11" t="n">
        <f aca="false">H1476-G1476</f>
        <v>25.6100000000001</v>
      </c>
      <c r="J1476" s="5" t="n">
        <f aca="false">IF(G1476=0,"",I1476/G1476)</f>
        <v>0.0177408628668016</v>
      </c>
      <c r="K1476" s="0" t="n">
        <v>379.9</v>
      </c>
      <c r="L1476" s="0" t="n">
        <v>88.07</v>
      </c>
      <c r="M1476" s="11" t="s">
        <v>2769</v>
      </c>
      <c r="N1476" s="12" t="n">
        <f aca="false">INT(E1476)</f>
        <v>45783</v>
      </c>
      <c r="O1476" s="12" t="n">
        <f aca="false">IF(F1476="","",INT(F1476))</f>
        <v>45787</v>
      </c>
    </row>
    <row r="1477" customFormat="false" ht="15" hidden="false" customHeight="false" outlineLevel="0" collapsed="false">
      <c r="A1477" s="0" t="s">
        <v>2996</v>
      </c>
      <c r="B1477" s="0" t="s">
        <v>2997</v>
      </c>
      <c r="C1477" s="0" t="s">
        <v>20</v>
      </c>
      <c r="D1477" s="0" t="s">
        <v>42</v>
      </c>
      <c r="E1477" s="10" t="n">
        <v>45783.3423611111</v>
      </c>
      <c r="F1477" s="10" t="n">
        <v>45784.6347222222</v>
      </c>
      <c r="G1477" s="0" t="n">
        <v>3131.37</v>
      </c>
      <c r="H1477" s="0" t="n">
        <v>3189.15</v>
      </c>
      <c r="I1477" s="11" t="n">
        <f aca="false">H1477-G1477</f>
        <v>57.7800000000002</v>
      </c>
      <c r="J1477" s="5" t="n">
        <f aca="false">IF(G1477=0,"",I1477/G1477)</f>
        <v>0.0184519874687438</v>
      </c>
      <c r="K1477" s="0" t="n">
        <v>575.7</v>
      </c>
      <c r="L1477" s="0" t="n">
        <v>31.02</v>
      </c>
      <c r="M1477" s="11" t="s">
        <v>2769</v>
      </c>
      <c r="N1477" s="12" t="n">
        <f aca="false">INT(E1477)</f>
        <v>45783</v>
      </c>
      <c r="O1477" s="12" t="n">
        <f aca="false">IF(F1477="","",INT(F1477))</f>
        <v>45784</v>
      </c>
    </row>
    <row r="1478" customFormat="false" ht="15" hidden="false" customHeight="false" outlineLevel="0" collapsed="false">
      <c r="A1478" s="0" t="s">
        <v>2998</v>
      </c>
      <c r="B1478" s="0" t="s">
        <v>2999</v>
      </c>
      <c r="C1478" s="0" t="s">
        <v>23</v>
      </c>
      <c r="D1478" s="0" t="s">
        <v>42</v>
      </c>
      <c r="E1478" s="10" t="n">
        <v>45783.3520833333</v>
      </c>
      <c r="F1478" s="10" t="n">
        <v>45784.6930787037</v>
      </c>
      <c r="G1478" s="0" t="n">
        <v>297.5</v>
      </c>
      <c r="H1478" s="0" t="n">
        <v>301.45</v>
      </c>
      <c r="I1478" s="11" t="n">
        <f aca="false">H1478-G1478</f>
        <v>3.94999999999999</v>
      </c>
      <c r="J1478" s="5" t="n">
        <f aca="false">IF(G1478=0,"",I1478/G1478)</f>
        <v>0.0132773109243697</v>
      </c>
      <c r="K1478" s="0" t="n">
        <v>77.4</v>
      </c>
      <c r="L1478" s="0" t="n">
        <v>32.18</v>
      </c>
      <c r="M1478" s="11" t="s">
        <v>2769</v>
      </c>
      <c r="N1478" s="12" t="n">
        <f aca="false">INT(E1478)</f>
        <v>45783</v>
      </c>
      <c r="O1478" s="12" t="n">
        <f aca="false">IF(F1478="","",INT(F1478))</f>
        <v>45784</v>
      </c>
    </row>
    <row r="1479" customFormat="false" ht="15" hidden="false" customHeight="false" outlineLevel="0" collapsed="false">
      <c r="A1479" s="0" t="s">
        <v>3000</v>
      </c>
      <c r="B1479" s="0" t="s">
        <v>3001</v>
      </c>
      <c r="C1479" s="0" t="s">
        <v>23</v>
      </c>
      <c r="D1479" s="0" t="s">
        <v>42</v>
      </c>
      <c r="E1479" s="10" t="n">
        <v>45783.3736111111</v>
      </c>
      <c r="F1479" s="10" t="n">
        <v>45785.7343518519</v>
      </c>
      <c r="G1479" s="0" t="n">
        <v>389.91</v>
      </c>
      <c r="H1479" s="0" t="n">
        <v>390.46</v>
      </c>
      <c r="I1479" s="11" t="n">
        <f aca="false">H1479-G1479</f>
        <v>0.549999999999955</v>
      </c>
      <c r="J1479" s="5" t="n">
        <f aca="false">IF(G1479=0,"",I1479/G1479)</f>
        <v>0.00141058192916302</v>
      </c>
      <c r="K1479" s="0" t="n">
        <v>108.1</v>
      </c>
      <c r="L1479" s="0" t="n">
        <v>56.66</v>
      </c>
      <c r="M1479" s="11" t="s">
        <v>2769</v>
      </c>
      <c r="N1479" s="12" t="n">
        <f aca="false">INT(E1479)</f>
        <v>45783</v>
      </c>
      <c r="O1479" s="12" t="n">
        <f aca="false">IF(F1479="","",INT(F1479))</f>
        <v>45785</v>
      </c>
    </row>
    <row r="1480" customFormat="false" ht="15" hidden="false" customHeight="false" outlineLevel="0" collapsed="false">
      <c r="A1480" s="0" t="s">
        <v>3002</v>
      </c>
      <c r="B1480" s="0" t="s">
        <v>3003</v>
      </c>
      <c r="C1480" s="0" t="s">
        <v>23</v>
      </c>
      <c r="D1480" s="0" t="s">
        <v>42</v>
      </c>
      <c r="E1480" s="10" t="n">
        <v>45783.4076388889</v>
      </c>
      <c r="F1480" s="10" t="n">
        <v>45784.5515393519</v>
      </c>
      <c r="G1480" s="0" t="n">
        <v>329.15</v>
      </c>
      <c r="H1480" s="0" t="n">
        <v>343.02</v>
      </c>
      <c r="I1480" s="11" t="n">
        <f aca="false">H1480-G1480</f>
        <v>13.87</v>
      </c>
      <c r="J1480" s="5" t="n">
        <f aca="false">IF(G1480=0,"",I1480/G1480)</f>
        <v>0.0421388424730366</v>
      </c>
      <c r="K1480" s="0" t="n">
        <v>121.5</v>
      </c>
      <c r="L1480" s="0" t="n">
        <v>27.45</v>
      </c>
      <c r="M1480" s="11" t="s">
        <v>2769</v>
      </c>
      <c r="N1480" s="12" t="n">
        <f aca="false">INT(E1480)</f>
        <v>45783</v>
      </c>
      <c r="O1480" s="12" t="n">
        <f aca="false">IF(F1480="","",INT(F1480))</f>
        <v>45784</v>
      </c>
    </row>
    <row r="1481" customFormat="false" ht="15" hidden="false" customHeight="false" outlineLevel="0" collapsed="false">
      <c r="A1481" s="0" t="s">
        <v>3004</v>
      </c>
      <c r="B1481" s="0" t="s">
        <v>3005</v>
      </c>
      <c r="C1481" s="0" t="s">
        <v>23</v>
      </c>
      <c r="D1481" s="0" t="s">
        <v>42</v>
      </c>
      <c r="E1481" s="10" t="n">
        <v>45783.44375</v>
      </c>
      <c r="F1481" s="10" t="n">
        <v>45786.260162037</v>
      </c>
      <c r="G1481" s="0" t="n">
        <v>258.47</v>
      </c>
      <c r="H1481" s="0" t="n">
        <v>254.47</v>
      </c>
      <c r="I1481" s="11" t="n">
        <f aca="false">H1481-G1481</f>
        <v>-4.00000000000003</v>
      </c>
      <c r="J1481" s="5" t="n">
        <f aca="false">IF(G1481=0,"",I1481/G1481)</f>
        <v>-0.0154756838317794</v>
      </c>
      <c r="K1481" s="0" t="n">
        <v>86.2</v>
      </c>
      <c r="L1481" s="0" t="n">
        <v>67.59</v>
      </c>
      <c r="M1481" s="11" t="s">
        <v>2769</v>
      </c>
      <c r="N1481" s="12" t="n">
        <f aca="false">INT(E1481)</f>
        <v>45783</v>
      </c>
      <c r="O1481" s="12" t="n">
        <f aca="false">IF(F1481="","",INT(F1481))</f>
        <v>45786</v>
      </c>
    </row>
    <row r="1482" customFormat="false" ht="15" hidden="false" customHeight="false" outlineLevel="0" collapsed="false">
      <c r="A1482" s="0" t="s">
        <v>3006</v>
      </c>
      <c r="B1482" s="0" t="s">
        <v>3007</v>
      </c>
      <c r="C1482" s="0" t="s">
        <v>20</v>
      </c>
      <c r="D1482" s="0" t="s">
        <v>42</v>
      </c>
      <c r="E1482" s="10" t="n">
        <v>45783.4513888889</v>
      </c>
      <c r="F1482" s="10" t="n">
        <v>45783.9659722222</v>
      </c>
      <c r="G1482" s="0" t="n">
        <v>683.01</v>
      </c>
      <c r="H1482" s="0" t="n">
        <v>677.82</v>
      </c>
      <c r="I1482" s="11" t="n">
        <f aca="false">H1482-G1482</f>
        <v>-5.18999999999994</v>
      </c>
      <c r="J1482" s="5" t="n">
        <f aca="false">IF(G1482=0,"",I1482/G1482)</f>
        <v>-0.00759871744191145</v>
      </c>
      <c r="K1482" s="0" t="n">
        <v>127</v>
      </c>
      <c r="L1482" s="0" t="n">
        <v>12.35</v>
      </c>
      <c r="M1482" s="11" t="s">
        <v>2769</v>
      </c>
      <c r="N1482" s="12" t="n">
        <f aca="false">INT(E1482)</f>
        <v>45783</v>
      </c>
      <c r="O1482" s="12" t="n">
        <f aca="false">IF(F1482="","",INT(F1482))</f>
        <v>45783</v>
      </c>
    </row>
    <row r="1483" customFormat="false" ht="15" hidden="false" customHeight="false" outlineLevel="0" collapsed="false">
      <c r="A1483" s="0" t="s">
        <v>3008</v>
      </c>
      <c r="B1483" s="0" t="s">
        <v>3009</v>
      </c>
      <c r="C1483" s="0" t="s">
        <v>20</v>
      </c>
      <c r="D1483" s="0" t="s">
        <v>42</v>
      </c>
      <c r="E1483" s="10" t="n">
        <v>45783.4548611111</v>
      </c>
      <c r="F1483" s="10" t="n">
        <v>45784.7791203704</v>
      </c>
      <c r="G1483" s="0" t="n">
        <v>588.82</v>
      </c>
      <c r="H1483" s="0" t="n">
        <v>603.35</v>
      </c>
      <c r="I1483" s="11" t="n">
        <f aca="false">H1483-G1483</f>
        <v>14.53</v>
      </c>
      <c r="J1483" s="5" t="n">
        <f aca="false">IF(G1483=0,"",I1483/G1483)</f>
        <v>0.0246764715872422</v>
      </c>
      <c r="K1483" s="0" t="n">
        <v>93.3</v>
      </c>
      <c r="L1483" s="0" t="n">
        <v>31.78</v>
      </c>
      <c r="M1483" s="11" t="s">
        <v>2769</v>
      </c>
      <c r="N1483" s="12" t="n">
        <f aca="false">INT(E1483)</f>
        <v>45783</v>
      </c>
      <c r="O1483" s="12" t="n">
        <f aca="false">IF(F1483="","",INT(F1483))</f>
        <v>45784</v>
      </c>
    </row>
    <row r="1484" customFormat="false" ht="15" hidden="false" customHeight="false" outlineLevel="0" collapsed="false">
      <c r="A1484" s="0" t="s">
        <v>3010</v>
      </c>
      <c r="B1484" s="0" t="s">
        <v>3011</v>
      </c>
      <c r="C1484" s="0" t="s">
        <v>19</v>
      </c>
      <c r="D1484" s="0" t="s">
        <v>42</v>
      </c>
      <c r="E1484" s="10" t="n">
        <v>45783.45625</v>
      </c>
      <c r="F1484" s="10" t="n">
        <v>45784.5756944444</v>
      </c>
      <c r="G1484" s="0" t="n">
        <v>114.72</v>
      </c>
      <c r="H1484" s="0" t="n">
        <v>115.92</v>
      </c>
      <c r="I1484" s="11" t="n">
        <f aca="false">H1484-G1484</f>
        <v>1.2</v>
      </c>
      <c r="J1484" s="5" t="n">
        <f aca="false">IF(G1484=0,"",I1484/G1484)</f>
        <v>0.0104602510460251</v>
      </c>
      <c r="K1484" s="0" t="n">
        <v>21.1</v>
      </c>
      <c r="L1484" s="0" t="n">
        <v>26.87</v>
      </c>
      <c r="M1484" s="11" t="s">
        <v>2769</v>
      </c>
      <c r="N1484" s="12" t="n">
        <f aca="false">INT(E1484)</f>
        <v>45783</v>
      </c>
      <c r="O1484" s="12" t="n">
        <f aca="false">IF(F1484="","",INT(F1484))</f>
        <v>45784</v>
      </c>
    </row>
    <row r="1485" customFormat="false" ht="15" hidden="false" customHeight="false" outlineLevel="0" collapsed="false">
      <c r="A1485" s="0" t="s">
        <v>3012</v>
      </c>
      <c r="B1485" s="0" t="s">
        <v>3013</v>
      </c>
      <c r="C1485" s="0" t="s">
        <v>20</v>
      </c>
      <c r="D1485" s="0" t="s">
        <v>42</v>
      </c>
      <c r="E1485" s="10" t="n">
        <v>45783.4729166667</v>
      </c>
      <c r="F1485" s="10" t="n">
        <v>45786.1102083333</v>
      </c>
      <c r="G1485" s="0" t="n">
        <v>318.48</v>
      </c>
      <c r="H1485" s="0" t="n">
        <v>331.78</v>
      </c>
      <c r="I1485" s="11" t="n">
        <f aca="false">H1485-G1485</f>
        <v>13.3</v>
      </c>
      <c r="J1485" s="5" t="n">
        <f aca="false">IF(G1485=0,"",I1485/G1485)</f>
        <v>0.0417608641044962</v>
      </c>
      <c r="K1485" s="0" t="n">
        <v>38.5</v>
      </c>
      <c r="L1485" s="0" t="n">
        <v>63.3</v>
      </c>
      <c r="M1485" s="11" t="s">
        <v>2769</v>
      </c>
      <c r="N1485" s="12" t="n">
        <f aca="false">INT(E1485)</f>
        <v>45783</v>
      </c>
      <c r="O1485" s="12" t="n">
        <f aca="false">IF(F1485="","",INT(F1485))</f>
        <v>45786</v>
      </c>
    </row>
    <row r="1486" customFormat="false" ht="15" hidden="false" customHeight="false" outlineLevel="0" collapsed="false">
      <c r="A1486" s="0" t="s">
        <v>3014</v>
      </c>
      <c r="B1486" s="0" t="s">
        <v>3015</v>
      </c>
      <c r="C1486" s="0" t="s">
        <v>20</v>
      </c>
      <c r="D1486" s="0" t="s">
        <v>303</v>
      </c>
      <c r="E1486" s="10" t="n">
        <v>45783.5131944444</v>
      </c>
      <c r="F1486" s="10"/>
      <c r="G1486" s="0" t="n">
        <v>313.05</v>
      </c>
      <c r="H1486" s="0" t="n">
        <v>303.19</v>
      </c>
      <c r="I1486" s="11" t="n">
        <f aca="false">H1486-G1486</f>
        <v>-9.86000000000001</v>
      </c>
      <c r="J1486" s="5" t="n">
        <f aca="false">IF(G1486=0,"",I1486/G1486)</f>
        <v>-0.031496566043763</v>
      </c>
      <c r="K1486" s="0" t="n">
        <v>42</v>
      </c>
      <c r="M1486" s="11" t="s">
        <v>2769</v>
      </c>
      <c r="N1486" s="12" t="n">
        <f aca="false">INT(E1486)</f>
        <v>45783</v>
      </c>
      <c r="O1486" s="12" t="str">
        <f aca="false">IF(F1486="","",INT(F1486))</f>
        <v/>
      </c>
    </row>
    <row r="1487" customFormat="false" ht="15" hidden="false" customHeight="false" outlineLevel="0" collapsed="false">
      <c r="A1487" s="0" t="s">
        <v>3016</v>
      </c>
      <c r="B1487" s="0" t="s">
        <v>3017</v>
      </c>
      <c r="C1487" s="0" t="s">
        <v>23</v>
      </c>
      <c r="D1487" s="0" t="s">
        <v>42</v>
      </c>
      <c r="E1487" s="10" t="n">
        <v>45783.5243055556</v>
      </c>
      <c r="F1487" s="10" t="n">
        <v>45784.7222222222</v>
      </c>
      <c r="G1487" s="0" t="n">
        <v>770.13</v>
      </c>
      <c r="H1487" s="0" t="n">
        <v>753.98</v>
      </c>
      <c r="I1487" s="11" t="n">
        <f aca="false">H1487-G1487</f>
        <v>-16.15</v>
      </c>
      <c r="J1487" s="5" t="n">
        <f aca="false">IF(G1487=0,"",I1487/G1487)</f>
        <v>-0.0209704855024476</v>
      </c>
      <c r="K1487" s="0" t="n">
        <v>282</v>
      </c>
      <c r="L1487" s="0" t="n">
        <v>28.75</v>
      </c>
      <c r="M1487" s="11" t="s">
        <v>2769</v>
      </c>
      <c r="N1487" s="12" t="n">
        <f aca="false">INT(E1487)</f>
        <v>45783</v>
      </c>
      <c r="O1487" s="12" t="n">
        <f aca="false">IF(F1487="","",INT(F1487))</f>
        <v>45784</v>
      </c>
    </row>
    <row r="1488" customFormat="false" ht="15" hidden="false" customHeight="false" outlineLevel="0" collapsed="false">
      <c r="A1488" s="0" t="s">
        <v>3018</v>
      </c>
      <c r="B1488" s="0" t="s">
        <v>3019</v>
      </c>
      <c r="C1488" s="0" t="s">
        <v>20</v>
      </c>
      <c r="D1488" s="0" t="s">
        <v>42</v>
      </c>
      <c r="E1488" s="10" t="n">
        <v>45783.5256944444</v>
      </c>
      <c r="F1488" s="10" t="n">
        <v>45784.7569675926</v>
      </c>
      <c r="G1488" s="0" t="n">
        <v>293.63</v>
      </c>
      <c r="H1488" s="0" t="n">
        <v>309.82</v>
      </c>
      <c r="I1488" s="11" t="n">
        <f aca="false">H1488-G1488</f>
        <v>16.19</v>
      </c>
      <c r="J1488" s="5" t="n">
        <f aca="false">IF(G1488=0,"",I1488/G1488)</f>
        <v>0.0551374178387767</v>
      </c>
      <c r="K1488" s="0" t="n">
        <v>38.6</v>
      </c>
      <c r="L1488" s="0" t="n">
        <v>29.55</v>
      </c>
      <c r="M1488" s="11" t="s">
        <v>2769</v>
      </c>
      <c r="N1488" s="12" t="n">
        <f aca="false">INT(E1488)</f>
        <v>45783</v>
      </c>
      <c r="O1488" s="12" t="n">
        <f aca="false">IF(F1488="","",INT(F1488))</f>
        <v>45784</v>
      </c>
    </row>
    <row r="1489" customFormat="false" ht="15" hidden="false" customHeight="false" outlineLevel="0" collapsed="false">
      <c r="A1489" s="0" t="s">
        <v>3020</v>
      </c>
      <c r="B1489" s="0" t="s">
        <v>3021</v>
      </c>
      <c r="C1489" s="0" t="s">
        <v>23</v>
      </c>
      <c r="D1489" s="0" t="s">
        <v>42</v>
      </c>
      <c r="E1489" s="10" t="n">
        <v>45783.5368055556</v>
      </c>
      <c r="F1489" s="10" t="n">
        <v>45785.697337963</v>
      </c>
      <c r="G1489" s="0" t="n">
        <v>165.14</v>
      </c>
      <c r="H1489" s="0" t="n">
        <v>169.16</v>
      </c>
      <c r="I1489" s="11" t="n">
        <f aca="false">H1489-G1489</f>
        <v>4.02000000000001</v>
      </c>
      <c r="J1489" s="5" t="n">
        <f aca="false">IF(G1489=0,"",I1489/G1489)</f>
        <v>0.0243429817124864</v>
      </c>
      <c r="K1489" s="0" t="n">
        <v>50.4</v>
      </c>
      <c r="L1489" s="0" t="n">
        <v>51.85</v>
      </c>
      <c r="M1489" s="11" t="s">
        <v>2769</v>
      </c>
      <c r="N1489" s="12" t="n">
        <f aca="false">INT(E1489)</f>
        <v>45783</v>
      </c>
      <c r="O1489" s="12" t="n">
        <f aca="false">IF(F1489="","",INT(F1489))</f>
        <v>45785</v>
      </c>
    </row>
    <row r="1490" customFormat="false" ht="15" hidden="false" customHeight="false" outlineLevel="0" collapsed="false">
      <c r="A1490" s="0" t="s">
        <v>3022</v>
      </c>
      <c r="B1490" s="0" t="s">
        <v>3023</v>
      </c>
      <c r="C1490" s="0" t="s">
        <v>20</v>
      </c>
      <c r="D1490" s="0" t="s">
        <v>42</v>
      </c>
      <c r="E1490" s="10" t="n">
        <v>45783.5451388889</v>
      </c>
      <c r="F1490" s="10" t="n">
        <v>45785.887337963</v>
      </c>
      <c r="G1490" s="0" t="n">
        <v>532.51</v>
      </c>
      <c r="H1490" s="0" t="n">
        <v>539.64</v>
      </c>
      <c r="I1490" s="11" t="n">
        <f aca="false">H1490-G1490</f>
        <v>7.13</v>
      </c>
      <c r="J1490" s="5" t="n">
        <f aca="false">IF(G1490=0,"",I1490/G1490)</f>
        <v>0.0133894199169969</v>
      </c>
      <c r="K1490" s="0" t="n">
        <v>65.4</v>
      </c>
      <c r="L1490" s="0" t="n">
        <v>56.21</v>
      </c>
      <c r="M1490" s="11" t="s">
        <v>2769</v>
      </c>
      <c r="N1490" s="12" t="n">
        <f aca="false">INT(E1490)</f>
        <v>45783</v>
      </c>
      <c r="O1490" s="12" t="n">
        <f aca="false">IF(F1490="","",INT(F1490))</f>
        <v>45785</v>
      </c>
    </row>
    <row r="1491" customFormat="false" ht="15" hidden="false" customHeight="false" outlineLevel="0" collapsed="false">
      <c r="A1491" s="0" t="s">
        <v>3024</v>
      </c>
      <c r="B1491" s="0" t="s">
        <v>3025</v>
      </c>
      <c r="C1491" s="0" t="s">
        <v>23</v>
      </c>
      <c r="D1491" s="0" t="s">
        <v>42</v>
      </c>
      <c r="E1491" s="10" t="n">
        <v>45783.5465277778</v>
      </c>
      <c r="F1491" s="10" t="n">
        <v>45784.4209259259</v>
      </c>
      <c r="G1491" s="0" t="n">
        <v>1501.11</v>
      </c>
      <c r="H1491" s="0" t="n">
        <v>1477.68</v>
      </c>
      <c r="I1491" s="11" t="n">
        <f aca="false">H1491-G1491</f>
        <v>-23.4299999999998</v>
      </c>
      <c r="J1491" s="5" t="n">
        <f aca="false">IF(G1491=0,"",I1491/G1491)</f>
        <v>-0.015608449747187</v>
      </c>
      <c r="K1491" s="0" t="n">
        <v>642.3</v>
      </c>
      <c r="L1491" s="0" t="n">
        <v>20.99</v>
      </c>
      <c r="M1491" s="11" t="s">
        <v>2769</v>
      </c>
      <c r="N1491" s="12" t="n">
        <f aca="false">INT(E1491)</f>
        <v>45783</v>
      </c>
      <c r="O1491" s="12" t="n">
        <f aca="false">IF(F1491="","",INT(F1491))</f>
        <v>45784</v>
      </c>
    </row>
    <row r="1492" customFormat="false" ht="15" hidden="false" customHeight="false" outlineLevel="0" collapsed="false">
      <c r="A1492" s="0" t="s">
        <v>3026</v>
      </c>
      <c r="B1492" s="0" t="s">
        <v>3027</v>
      </c>
      <c r="C1492" s="0" t="s">
        <v>21</v>
      </c>
      <c r="D1492" s="0" t="s">
        <v>42</v>
      </c>
      <c r="E1492" s="10" t="n">
        <v>45783.5506944444</v>
      </c>
      <c r="F1492" s="10" t="n">
        <v>45786.3053819445</v>
      </c>
      <c r="G1492" s="0" t="n">
        <v>260.85</v>
      </c>
      <c r="H1492" s="0" t="n">
        <v>270.2</v>
      </c>
      <c r="I1492" s="11" t="n">
        <f aca="false">H1492-G1492</f>
        <v>9.34999999999997</v>
      </c>
      <c r="J1492" s="5" t="n">
        <f aca="false">IF(G1492=0,"",I1492/G1492)</f>
        <v>0.035844354993291</v>
      </c>
      <c r="K1492" s="0" t="n">
        <v>56.9</v>
      </c>
      <c r="L1492" s="0" t="n">
        <v>66.11</v>
      </c>
      <c r="M1492" s="11" t="s">
        <v>2769</v>
      </c>
      <c r="N1492" s="12" t="n">
        <f aca="false">INT(E1492)</f>
        <v>45783</v>
      </c>
      <c r="O1492" s="12" t="n">
        <f aca="false">IF(F1492="","",INT(F1492))</f>
        <v>45786</v>
      </c>
    </row>
    <row r="1493" customFormat="false" ht="15" hidden="false" customHeight="false" outlineLevel="0" collapsed="false">
      <c r="A1493" s="0" t="s">
        <v>3028</v>
      </c>
      <c r="B1493" s="0" t="s">
        <v>3029</v>
      </c>
      <c r="C1493" s="0" t="s">
        <v>20</v>
      </c>
      <c r="D1493" s="0" t="s">
        <v>42</v>
      </c>
      <c r="E1493" s="10" t="n">
        <v>45783.5743055556</v>
      </c>
      <c r="F1493" s="10" t="n">
        <v>45784.7909722222</v>
      </c>
      <c r="G1493" s="0" t="n">
        <v>419.64</v>
      </c>
      <c r="H1493" s="0" t="n">
        <v>421.39</v>
      </c>
      <c r="I1493" s="11" t="n">
        <f aca="false">H1493-G1493</f>
        <v>1.75</v>
      </c>
      <c r="J1493" s="5" t="n">
        <f aca="false">IF(G1493=0,"",I1493/G1493)</f>
        <v>0.00417024115908874</v>
      </c>
      <c r="K1493" s="0" t="n">
        <v>83.9</v>
      </c>
      <c r="L1493" s="0" t="n">
        <v>29.2</v>
      </c>
      <c r="M1493" s="11" t="s">
        <v>2769</v>
      </c>
      <c r="N1493" s="12" t="n">
        <f aca="false">INT(E1493)</f>
        <v>45783</v>
      </c>
      <c r="O1493" s="12" t="n">
        <f aca="false">IF(F1493="","",INT(F1493))</f>
        <v>45784</v>
      </c>
    </row>
    <row r="1494" customFormat="false" ht="15" hidden="false" customHeight="false" outlineLevel="0" collapsed="false">
      <c r="A1494" s="0" t="s">
        <v>3030</v>
      </c>
      <c r="B1494" s="0" t="s">
        <v>3031</v>
      </c>
      <c r="C1494" s="0" t="s">
        <v>22</v>
      </c>
      <c r="D1494" s="0" t="s">
        <v>42</v>
      </c>
      <c r="E1494" s="10" t="n">
        <v>45783.6201388889</v>
      </c>
      <c r="F1494" s="10" t="n">
        <v>45784.2241666667</v>
      </c>
      <c r="G1494" s="0" t="n">
        <v>505.67</v>
      </c>
      <c r="H1494" s="0" t="n">
        <v>507.09</v>
      </c>
      <c r="I1494" s="11" t="n">
        <f aca="false">H1494-G1494</f>
        <v>1.41999999999996</v>
      </c>
      <c r="J1494" s="5" t="n">
        <f aca="false">IF(G1494=0,"",I1494/G1494)</f>
        <v>0.00280815551644345</v>
      </c>
      <c r="K1494" s="0" t="n">
        <v>84.8</v>
      </c>
      <c r="L1494" s="0" t="n">
        <v>14.5</v>
      </c>
      <c r="M1494" s="11" t="s">
        <v>2769</v>
      </c>
      <c r="N1494" s="12" t="n">
        <f aca="false">INT(E1494)</f>
        <v>45783</v>
      </c>
      <c r="O1494" s="12" t="n">
        <f aca="false">IF(F1494="","",INT(F1494))</f>
        <v>45784</v>
      </c>
    </row>
    <row r="1495" customFormat="false" ht="15" hidden="false" customHeight="false" outlineLevel="0" collapsed="false">
      <c r="A1495" s="0" t="s">
        <v>3032</v>
      </c>
      <c r="B1495" s="0" t="s">
        <v>3033</v>
      </c>
      <c r="C1495" s="0" t="s">
        <v>22</v>
      </c>
      <c r="D1495" s="0" t="s">
        <v>42</v>
      </c>
      <c r="E1495" s="10" t="n">
        <v>45783.6479166667</v>
      </c>
      <c r="F1495" s="10" t="n">
        <v>45784.3798611111</v>
      </c>
      <c r="G1495" s="0" t="n">
        <v>174.71</v>
      </c>
      <c r="H1495" s="0" t="n">
        <v>176.83</v>
      </c>
      <c r="I1495" s="11" t="n">
        <f aca="false">H1495-G1495</f>
        <v>2.12</v>
      </c>
      <c r="J1495" s="5" t="n">
        <f aca="false">IF(G1495=0,"",I1495/G1495)</f>
        <v>0.0121343941388587</v>
      </c>
      <c r="K1495" s="0" t="n">
        <v>34.9</v>
      </c>
      <c r="L1495" s="0" t="n">
        <v>17.57</v>
      </c>
      <c r="M1495" s="11" t="s">
        <v>2769</v>
      </c>
      <c r="N1495" s="12" t="n">
        <f aca="false">INT(E1495)</f>
        <v>45783</v>
      </c>
      <c r="O1495" s="12" t="n">
        <f aca="false">IF(F1495="","",INT(F1495))</f>
        <v>45784</v>
      </c>
    </row>
    <row r="1496" customFormat="false" ht="15" hidden="false" customHeight="false" outlineLevel="0" collapsed="false">
      <c r="A1496" s="0" t="s">
        <v>3034</v>
      </c>
      <c r="B1496" s="0" t="s">
        <v>3035</v>
      </c>
      <c r="C1496" s="0" t="s">
        <v>23</v>
      </c>
      <c r="D1496" s="0" t="s">
        <v>42</v>
      </c>
      <c r="E1496" s="10" t="n">
        <v>45783.6736111111</v>
      </c>
      <c r="F1496" s="10" t="n">
        <v>45784.475</v>
      </c>
      <c r="G1496" s="0" t="n">
        <v>439.09</v>
      </c>
      <c r="H1496" s="0" t="n">
        <v>445.11</v>
      </c>
      <c r="I1496" s="11" t="n">
        <f aca="false">H1496-G1496</f>
        <v>6.02000000000004</v>
      </c>
      <c r="J1496" s="5" t="n">
        <f aca="false">IF(G1496=0,"",I1496/G1496)</f>
        <v>0.0137101733129883</v>
      </c>
      <c r="K1496" s="0" t="n">
        <v>182.3</v>
      </c>
      <c r="L1496" s="0" t="n">
        <v>19.23</v>
      </c>
      <c r="M1496" s="11" t="s">
        <v>2769</v>
      </c>
      <c r="N1496" s="12" t="n">
        <f aca="false">INT(E1496)</f>
        <v>45783</v>
      </c>
      <c r="O1496" s="12" t="n">
        <f aca="false">IF(F1496="","",INT(F1496))</f>
        <v>45784</v>
      </c>
    </row>
    <row r="1497" customFormat="false" ht="15" hidden="false" customHeight="false" outlineLevel="0" collapsed="false">
      <c r="A1497" s="0" t="s">
        <v>3036</v>
      </c>
      <c r="B1497" s="0" t="s">
        <v>3037</v>
      </c>
      <c r="C1497" s="0" t="s">
        <v>20</v>
      </c>
      <c r="D1497" s="0" t="s">
        <v>42</v>
      </c>
      <c r="E1497" s="10" t="n">
        <v>45783.6833333333</v>
      </c>
      <c r="F1497" s="10" t="n">
        <v>45784.6395717593</v>
      </c>
      <c r="G1497" s="0" t="n">
        <v>445.52</v>
      </c>
      <c r="H1497" s="0" t="n">
        <v>425.29</v>
      </c>
      <c r="I1497" s="11" t="n">
        <f aca="false">H1497-G1497</f>
        <v>-20.23</v>
      </c>
      <c r="J1497" s="5" t="n">
        <f aca="false">IF(G1497=0,"",I1497/G1497)</f>
        <v>-0.0454076135751481</v>
      </c>
      <c r="K1497" s="0" t="n">
        <v>79.3</v>
      </c>
      <c r="L1497" s="0" t="n">
        <v>22.95</v>
      </c>
      <c r="M1497" s="11" t="s">
        <v>2769</v>
      </c>
      <c r="N1497" s="12" t="n">
        <f aca="false">INT(E1497)</f>
        <v>45783</v>
      </c>
      <c r="O1497" s="12" t="n">
        <f aca="false">IF(F1497="","",INT(F1497))</f>
        <v>45784</v>
      </c>
    </row>
    <row r="1498" customFormat="false" ht="15" hidden="false" customHeight="false" outlineLevel="0" collapsed="false">
      <c r="A1498" s="0" t="s">
        <v>3038</v>
      </c>
      <c r="B1498" s="0" t="s">
        <v>3039</v>
      </c>
      <c r="C1498" s="0" t="s">
        <v>19</v>
      </c>
      <c r="D1498" s="0" t="s">
        <v>42</v>
      </c>
      <c r="E1498" s="10" t="n">
        <v>45783.6854166667</v>
      </c>
      <c r="F1498" s="10" t="n">
        <v>45784.9138888889</v>
      </c>
      <c r="G1498" s="0" t="n">
        <v>841.75</v>
      </c>
      <c r="H1498" s="0" t="n">
        <v>843.88</v>
      </c>
      <c r="I1498" s="11" t="n">
        <f aca="false">H1498-G1498</f>
        <v>2.13</v>
      </c>
      <c r="J1498" s="5" t="n">
        <f aca="false">IF(G1498=0,"",I1498/G1498)</f>
        <v>0.00253044253044253</v>
      </c>
      <c r="K1498" s="0" t="n">
        <v>122.4</v>
      </c>
      <c r="L1498" s="0" t="n">
        <v>29.48</v>
      </c>
      <c r="M1498" s="11" t="s">
        <v>2769</v>
      </c>
      <c r="N1498" s="12" t="n">
        <f aca="false">INT(E1498)</f>
        <v>45783</v>
      </c>
      <c r="O1498" s="12" t="n">
        <f aca="false">IF(F1498="","",INT(F1498))</f>
        <v>45784</v>
      </c>
    </row>
    <row r="1499" customFormat="false" ht="15" hidden="false" customHeight="false" outlineLevel="0" collapsed="false">
      <c r="A1499" s="0" t="s">
        <v>3040</v>
      </c>
      <c r="B1499" s="0" t="s">
        <v>3041</v>
      </c>
      <c r="C1499" s="0" t="s">
        <v>23</v>
      </c>
      <c r="D1499" s="0" t="s">
        <v>42</v>
      </c>
      <c r="E1499" s="10" t="n">
        <v>45783.7111111111</v>
      </c>
      <c r="F1499" s="10" t="n">
        <v>45785.8055555556</v>
      </c>
      <c r="G1499" s="0" t="n">
        <v>1467.38</v>
      </c>
      <c r="H1499" s="0" t="n">
        <v>1463.01</v>
      </c>
      <c r="I1499" s="11" t="n">
        <f aca="false">H1499-G1499</f>
        <v>-4.37000000000012</v>
      </c>
      <c r="J1499" s="5" t="n">
        <f aca="false">IF(G1499=0,"",I1499/G1499)</f>
        <v>-0.00297809701645117</v>
      </c>
      <c r="K1499" s="0" t="n">
        <v>321.4</v>
      </c>
      <c r="L1499" s="0" t="n">
        <v>50.27</v>
      </c>
      <c r="M1499" s="11" t="s">
        <v>2769</v>
      </c>
      <c r="N1499" s="12" t="n">
        <f aca="false">INT(E1499)</f>
        <v>45783</v>
      </c>
      <c r="O1499" s="12" t="n">
        <f aca="false">IF(F1499="","",INT(F1499))</f>
        <v>45785</v>
      </c>
    </row>
    <row r="1500" customFormat="false" ht="15" hidden="false" customHeight="false" outlineLevel="0" collapsed="false">
      <c r="A1500" s="0" t="s">
        <v>3042</v>
      </c>
      <c r="B1500" s="0" t="s">
        <v>3043</v>
      </c>
      <c r="C1500" s="0" t="s">
        <v>19</v>
      </c>
      <c r="D1500" s="0" t="s">
        <v>42</v>
      </c>
      <c r="E1500" s="10" t="n">
        <v>45783.7354166667</v>
      </c>
      <c r="F1500" s="10" t="n">
        <v>45784.1376157407</v>
      </c>
      <c r="G1500" s="0" t="n">
        <v>604.51</v>
      </c>
      <c r="H1500" s="0" t="n">
        <v>616.33</v>
      </c>
      <c r="I1500" s="11" t="n">
        <f aca="false">H1500-G1500</f>
        <v>11.8200000000001</v>
      </c>
      <c r="J1500" s="5" t="n">
        <f aca="false">IF(G1500=0,"",I1500/G1500)</f>
        <v>0.0195530264180908</v>
      </c>
      <c r="K1500" s="0" t="n">
        <v>87.6</v>
      </c>
      <c r="L1500" s="0" t="n">
        <v>9.65</v>
      </c>
      <c r="M1500" s="11" t="s">
        <v>2769</v>
      </c>
      <c r="N1500" s="12" t="n">
        <f aca="false">INT(E1500)</f>
        <v>45783</v>
      </c>
      <c r="O1500" s="12" t="n">
        <f aca="false">IF(F1500="","",INT(F1500))</f>
        <v>45784</v>
      </c>
    </row>
    <row r="1501" customFormat="false" ht="15" hidden="false" customHeight="false" outlineLevel="0" collapsed="false">
      <c r="A1501" s="0" t="s">
        <v>3044</v>
      </c>
      <c r="B1501" s="0" t="s">
        <v>3045</v>
      </c>
      <c r="C1501" s="0" t="s">
        <v>22</v>
      </c>
      <c r="D1501" s="0" t="s">
        <v>42</v>
      </c>
      <c r="E1501" s="10" t="n">
        <v>45783.7472222222</v>
      </c>
      <c r="F1501" s="10" t="n">
        <v>45785.0886226852</v>
      </c>
      <c r="G1501" s="0" t="n">
        <v>341.08</v>
      </c>
      <c r="H1501" s="0" t="n">
        <v>346.27</v>
      </c>
      <c r="I1501" s="11" t="n">
        <f aca="false">H1501-G1501</f>
        <v>5.19</v>
      </c>
      <c r="J1501" s="5" t="n">
        <f aca="false">IF(G1501=0,"",I1501/G1501)</f>
        <v>0.0152163715257418</v>
      </c>
      <c r="K1501" s="0" t="n">
        <v>70.3</v>
      </c>
      <c r="L1501" s="0" t="n">
        <v>32.19</v>
      </c>
      <c r="M1501" s="11" t="s">
        <v>2769</v>
      </c>
      <c r="N1501" s="12" t="n">
        <f aca="false">INT(E1501)</f>
        <v>45783</v>
      </c>
      <c r="O1501" s="12" t="n">
        <f aca="false">IF(F1501="","",INT(F1501))</f>
        <v>45785</v>
      </c>
    </row>
    <row r="1502" customFormat="false" ht="15" hidden="false" customHeight="false" outlineLevel="0" collapsed="false">
      <c r="A1502" s="0" t="s">
        <v>3046</v>
      </c>
      <c r="B1502" s="0" t="s">
        <v>3047</v>
      </c>
      <c r="C1502" s="0" t="s">
        <v>23</v>
      </c>
      <c r="D1502" s="0" t="s">
        <v>42</v>
      </c>
      <c r="E1502" s="10" t="n">
        <v>45783.7611111111</v>
      </c>
      <c r="F1502" s="10" t="n">
        <v>45784.5016087963</v>
      </c>
      <c r="G1502" s="0" t="n">
        <v>392.1</v>
      </c>
      <c r="H1502" s="0" t="n">
        <v>391.91</v>
      </c>
      <c r="I1502" s="11" t="n">
        <f aca="false">H1502-G1502</f>
        <v>-0.189999999999998</v>
      </c>
      <c r="J1502" s="5" t="n">
        <f aca="false">IF(G1502=0,"",I1502/G1502)</f>
        <v>-0.000484570262688084</v>
      </c>
      <c r="K1502" s="0" t="n">
        <v>98.3</v>
      </c>
      <c r="L1502" s="0" t="n">
        <v>17.77</v>
      </c>
      <c r="M1502" s="11" t="s">
        <v>2769</v>
      </c>
      <c r="N1502" s="12" t="n">
        <f aca="false">INT(E1502)</f>
        <v>45783</v>
      </c>
      <c r="O1502" s="12" t="n">
        <f aca="false">IF(F1502="","",INT(F1502))</f>
        <v>45784</v>
      </c>
    </row>
    <row r="1503" customFormat="false" ht="15" hidden="false" customHeight="false" outlineLevel="0" collapsed="false">
      <c r="A1503" s="0" t="s">
        <v>3048</v>
      </c>
      <c r="B1503" s="0" t="s">
        <v>3049</v>
      </c>
      <c r="C1503" s="0" t="s">
        <v>21</v>
      </c>
      <c r="D1503" s="0" t="s">
        <v>42</v>
      </c>
      <c r="E1503" s="10" t="n">
        <v>45783.7611111111</v>
      </c>
      <c r="F1503" s="10" t="n">
        <v>45784.3347222222</v>
      </c>
      <c r="G1503" s="0" t="n">
        <v>613.59</v>
      </c>
      <c r="H1503" s="0" t="n">
        <v>617.22</v>
      </c>
      <c r="I1503" s="11" t="n">
        <f aca="false">H1503-G1503</f>
        <v>3.63</v>
      </c>
      <c r="J1503" s="5" t="n">
        <f aca="false">IF(G1503=0,"",I1503/G1503)</f>
        <v>0.00591600254241431</v>
      </c>
      <c r="K1503" s="0" t="n">
        <v>119.4</v>
      </c>
      <c r="L1503" s="0" t="n">
        <v>13.77</v>
      </c>
      <c r="M1503" s="11" t="s">
        <v>2769</v>
      </c>
      <c r="N1503" s="12" t="n">
        <f aca="false">INT(E1503)</f>
        <v>45783</v>
      </c>
      <c r="O1503" s="12" t="n">
        <f aca="false">IF(F1503="","",INT(F1503))</f>
        <v>45784</v>
      </c>
    </row>
    <row r="1504" customFormat="false" ht="15" hidden="false" customHeight="false" outlineLevel="0" collapsed="false">
      <c r="A1504" s="0" t="s">
        <v>3050</v>
      </c>
      <c r="B1504" s="0" t="s">
        <v>3051</v>
      </c>
      <c r="C1504" s="0" t="s">
        <v>21</v>
      </c>
      <c r="D1504" s="0" t="s">
        <v>42</v>
      </c>
      <c r="E1504" s="10" t="n">
        <v>45783.775</v>
      </c>
      <c r="F1504" s="10" t="n">
        <v>45784.4132523148</v>
      </c>
      <c r="G1504" s="0" t="n">
        <v>940.89</v>
      </c>
      <c r="H1504" s="0" t="n">
        <v>934.35</v>
      </c>
      <c r="I1504" s="11" t="n">
        <f aca="false">H1504-G1504</f>
        <v>-6.53999999999996</v>
      </c>
      <c r="J1504" s="5" t="n">
        <f aca="false">IF(G1504=0,"",I1504/G1504)</f>
        <v>-0.00695086566973819</v>
      </c>
      <c r="K1504" s="0" t="n">
        <v>148.7</v>
      </c>
      <c r="L1504" s="0" t="n">
        <v>15.32</v>
      </c>
      <c r="M1504" s="11" t="s">
        <v>2769</v>
      </c>
      <c r="N1504" s="12" t="n">
        <f aca="false">INT(E1504)</f>
        <v>45783</v>
      </c>
      <c r="O1504" s="12" t="n">
        <f aca="false">IF(F1504="","",INT(F1504))</f>
        <v>45784</v>
      </c>
    </row>
    <row r="1505" customFormat="false" ht="15" hidden="false" customHeight="false" outlineLevel="0" collapsed="false">
      <c r="A1505" s="0" t="s">
        <v>3052</v>
      </c>
      <c r="B1505" s="0" t="s">
        <v>3053</v>
      </c>
      <c r="C1505" s="0" t="s">
        <v>23</v>
      </c>
      <c r="D1505" s="0" t="s">
        <v>42</v>
      </c>
      <c r="E1505" s="10" t="n">
        <v>45784.2951388889</v>
      </c>
      <c r="F1505" s="10" t="n">
        <v>45785.4027777778</v>
      </c>
      <c r="G1505" s="0" t="n">
        <v>157.31</v>
      </c>
      <c r="H1505" s="0" t="n">
        <v>154.64</v>
      </c>
      <c r="I1505" s="11" t="n">
        <f aca="false">H1505-G1505</f>
        <v>-2.67000000000002</v>
      </c>
      <c r="J1505" s="5" t="n">
        <f aca="false">IF(G1505=0,"",I1505/G1505)</f>
        <v>-0.0169728561439198</v>
      </c>
      <c r="K1505" s="0" t="n">
        <v>63.3</v>
      </c>
      <c r="L1505" s="0" t="n">
        <v>26.58</v>
      </c>
      <c r="M1505" s="11" t="s">
        <v>2769</v>
      </c>
      <c r="N1505" s="12" t="n">
        <f aca="false">INT(E1505)</f>
        <v>45784</v>
      </c>
      <c r="O1505" s="12" t="n">
        <f aca="false">IF(F1505="","",INT(F1505))</f>
        <v>45785</v>
      </c>
    </row>
    <row r="1506" customFormat="false" ht="15" hidden="false" customHeight="false" outlineLevel="0" collapsed="false">
      <c r="A1506" s="0" t="s">
        <v>3054</v>
      </c>
      <c r="B1506" s="0" t="s">
        <v>3055</v>
      </c>
      <c r="C1506" s="0" t="s">
        <v>23</v>
      </c>
      <c r="D1506" s="0" t="s">
        <v>42</v>
      </c>
      <c r="E1506" s="10" t="n">
        <v>45784.3298611111</v>
      </c>
      <c r="F1506" s="10" t="n">
        <v>45785.5652777778</v>
      </c>
      <c r="G1506" s="0" t="n">
        <v>1487.21</v>
      </c>
      <c r="H1506" s="0" t="n">
        <v>1501.26</v>
      </c>
      <c r="I1506" s="11" t="n">
        <f aca="false">H1506-G1506</f>
        <v>14.05</v>
      </c>
      <c r="J1506" s="5" t="n">
        <f aca="false">IF(G1506=0,"",I1506/G1506)</f>
        <v>0.00944721996221109</v>
      </c>
      <c r="K1506" s="0" t="n">
        <v>530</v>
      </c>
      <c r="L1506" s="0" t="n">
        <v>29.65</v>
      </c>
      <c r="M1506" s="11" t="s">
        <v>2769</v>
      </c>
      <c r="N1506" s="12" t="n">
        <f aca="false">INT(E1506)</f>
        <v>45784</v>
      </c>
      <c r="O1506" s="12" t="n">
        <f aca="false">IF(F1506="","",INT(F1506))</f>
        <v>45785</v>
      </c>
    </row>
    <row r="1507" customFormat="false" ht="15" hidden="false" customHeight="false" outlineLevel="0" collapsed="false">
      <c r="A1507" s="0" t="s">
        <v>3056</v>
      </c>
      <c r="B1507" s="0" t="s">
        <v>3057</v>
      </c>
      <c r="C1507" s="0" t="s">
        <v>22</v>
      </c>
      <c r="D1507" s="0" t="s">
        <v>42</v>
      </c>
      <c r="E1507" s="10" t="n">
        <v>45784.3333333333</v>
      </c>
      <c r="F1507" s="10" t="n">
        <v>45784.7479166667</v>
      </c>
      <c r="G1507" s="0" t="n">
        <v>792.3</v>
      </c>
      <c r="H1507" s="0" t="n">
        <v>814.4</v>
      </c>
      <c r="I1507" s="11" t="n">
        <f aca="false">H1507-G1507</f>
        <v>22.1</v>
      </c>
      <c r="J1507" s="5" t="n">
        <f aca="false">IF(G1507=0,"",I1507/G1507)</f>
        <v>0.0278934746939291</v>
      </c>
      <c r="K1507" s="0" t="n">
        <v>94.4</v>
      </c>
      <c r="L1507" s="0" t="n">
        <v>9.95</v>
      </c>
      <c r="M1507" s="11" t="s">
        <v>2769</v>
      </c>
      <c r="N1507" s="12" t="n">
        <f aca="false">INT(E1507)</f>
        <v>45784</v>
      </c>
      <c r="O1507" s="12" t="n">
        <f aca="false">IF(F1507="","",INT(F1507))</f>
        <v>45784</v>
      </c>
    </row>
    <row r="1508" customFormat="false" ht="15" hidden="false" customHeight="false" outlineLevel="0" collapsed="false">
      <c r="A1508" s="0" t="s">
        <v>3058</v>
      </c>
      <c r="B1508" s="0" t="s">
        <v>3059</v>
      </c>
      <c r="C1508" s="0" t="s">
        <v>23</v>
      </c>
      <c r="D1508" s="0" t="s">
        <v>42</v>
      </c>
      <c r="E1508" s="10" t="n">
        <v>45784.3722222222</v>
      </c>
      <c r="F1508" s="10" t="n">
        <v>45785.2298611111</v>
      </c>
      <c r="G1508" s="0" t="n">
        <v>202.83</v>
      </c>
      <c r="H1508" s="0" t="n">
        <v>204.11</v>
      </c>
      <c r="I1508" s="11" t="n">
        <f aca="false">H1508-G1508</f>
        <v>1.28</v>
      </c>
      <c r="J1508" s="5" t="n">
        <f aca="false">IF(G1508=0,"",I1508/G1508)</f>
        <v>0.00631070354484051</v>
      </c>
      <c r="K1508" s="0" t="n">
        <v>64.9</v>
      </c>
      <c r="L1508" s="0" t="n">
        <v>20.58</v>
      </c>
      <c r="M1508" s="11" t="s">
        <v>2769</v>
      </c>
      <c r="N1508" s="12" t="n">
        <f aca="false">INT(E1508)</f>
        <v>45784</v>
      </c>
      <c r="O1508" s="12" t="n">
        <f aca="false">IF(F1508="","",INT(F1508))</f>
        <v>45785</v>
      </c>
    </row>
    <row r="1509" customFormat="false" ht="15" hidden="false" customHeight="false" outlineLevel="0" collapsed="false">
      <c r="A1509" s="0" t="s">
        <v>3060</v>
      </c>
      <c r="B1509" s="0" t="s">
        <v>3061</v>
      </c>
      <c r="C1509" s="0" t="s">
        <v>23</v>
      </c>
      <c r="D1509" s="0" t="s">
        <v>42</v>
      </c>
      <c r="E1509" s="10" t="n">
        <v>45784.4055555556</v>
      </c>
      <c r="F1509" s="10" t="n">
        <v>45786.3625</v>
      </c>
      <c r="G1509" s="0" t="n">
        <v>747.12</v>
      </c>
      <c r="H1509" s="0" t="n">
        <v>757.23</v>
      </c>
      <c r="I1509" s="11" t="n">
        <f aca="false">H1509-G1509</f>
        <v>10.11</v>
      </c>
      <c r="J1509" s="5" t="n">
        <f aca="false">IF(G1509=0,"",I1509/G1509)</f>
        <v>0.0135319627369098</v>
      </c>
      <c r="K1509" s="0" t="n">
        <v>186.3</v>
      </c>
      <c r="L1509" s="0" t="n">
        <v>46.97</v>
      </c>
      <c r="M1509" s="11" t="s">
        <v>2769</v>
      </c>
      <c r="N1509" s="12" t="n">
        <f aca="false">INT(E1509)</f>
        <v>45784</v>
      </c>
      <c r="O1509" s="12" t="n">
        <f aca="false">IF(F1509="","",INT(F1509))</f>
        <v>45786</v>
      </c>
    </row>
    <row r="1510" customFormat="false" ht="15" hidden="false" customHeight="false" outlineLevel="0" collapsed="false">
      <c r="A1510" s="0" t="s">
        <v>3062</v>
      </c>
      <c r="B1510" s="0" t="s">
        <v>3063</v>
      </c>
      <c r="C1510" s="0" t="s">
        <v>21</v>
      </c>
      <c r="D1510" s="0" t="s">
        <v>42</v>
      </c>
      <c r="E1510" s="10" t="n">
        <v>45784.4201388889</v>
      </c>
      <c r="F1510" s="10" t="n">
        <v>45785.1305555556</v>
      </c>
      <c r="G1510" s="0" t="n">
        <v>677.3</v>
      </c>
      <c r="H1510" s="0" t="n">
        <v>503.3</v>
      </c>
      <c r="I1510" s="11" t="n">
        <f aca="false">H1510-G1510</f>
        <v>-174</v>
      </c>
      <c r="J1510" s="5" t="n">
        <f aca="false">IF(G1510=0,"",I1510/G1510)</f>
        <v>-0.256902406614499</v>
      </c>
      <c r="K1510" s="0" t="n">
        <v>100.7</v>
      </c>
      <c r="L1510" s="0" t="n">
        <v>17.05</v>
      </c>
      <c r="M1510" s="11" t="s">
        <v>2769</v>
      </c>
      <c r="N1510" s="12" t="n">
        <f aca="false">INT(E1510)</f>
        <v>45784</v>
      </c>
      <c r="O1510" s="12" t="n">
        <f aca="false">IF(F1510="","",INT(F1510))</f>
        <v>45785</v>
      </c>
    </row>
    <row r="1511" customFormat="false" ht="15" hidden="false" customHeight="false" outlineLevel="0" collapsed="false">
      <c r="A1511" s="0" t="s">
        <v>3064</v>
      </c>
      <c r="B1511" s="0" t="s">
        <v>3065</v>
      </c>
      <c r="C1511" s="0" t="s">
        <v>20</v>
      </c>
      <c r="D1511" s="0" t="s">
        <v>42</v>
      </c>
      <c r="E1511" s="10" t="n">
        <v>45784.4541666667</v>
      </c>
      <c r="F1511" s="10" t="n">
        <v>45788.1743055556</v>
      </c>
      <c r="G1511" s="0" t="n">
        <v>367.95</v>
      </c>
      <c r="H1511" s="0" t="n">
        <v>370.01</v>
      </c>
      <c r="I1511" s="11" t="n">
        <f aca="false">H1511-G1511</f>
        <v>2.06</v>
      </c>
      <c r="J1511" s="5" t="n">
        <f aca="false">IF(G1511=0,"",I1511/G1511)</f>
        <v>0.00559858676450605</v>
      </c>
      <c r="K1511" s="0" t="n">
        <v>56</v>
      </c>
      <c r="L1511" s="0" t="n">
        <v>61.1</v>
      </c>
      <c r="M1511" s="11" t="s">
        <v>2769</v>
      </c>
      <c r="N1511" s="12" t="n">
        <f aca="false">INT(E1511)</f>
        <v>45784</v>
      </c>
      <c r="O1511" s="12" t="n">
        <f aca="false">IF(F1511="","",INT(F1511))</f>
        <v>45788</v>
      </c>
    </row>
    <row r="1512" customFormat="false" ht="15" hidden="false" customHeight="false" outlineLevel="0" collapsed="false">
      <c r="A1512" s="0" t="s">
        <v>3066</v>
      </c>
      <c r="B1512" s="0" t="s">
        <v>3067</v>
      </c>
      <c r="C1512" s="0" t="s">
        <v>20</v>
      </c>
      <c r="D1512" s="0" t="s">
        <v>42</v>
      </c>
      <c r="E1512" s="10" t="n">
        <v>45784.4555555556</v>
      </c>
      <c r="F1512" s="10" t="n">
        <v>45785.7049652778</v>
      </c>
      <c r="G1512" s="0" t="n">
        <v>197.81</v>
      </c>
      <c r="H1512" s="0" t="n">
        <v>197.26</v>
      </c>
      <c r="I1512" s="11" t="n">
        <f aca="false">H1512-G1512</f>
        <v>-0.550000000000011</v>
      </c>
      <c r="J1512" s="5" t="n">
        <f aca="false">IF(G1512=0,"",I1512/G1512)</f>
        <v>-0.00278044588241247</v>
      </c>
      <c r="K1512" s="0" t="n">
        <v>21.3</v>
      </c>
      <c r="L1512" s="0" t="n">
        <v>29.99</v>
      </c>
      <c r="M1512" s="11" t="s">
        <v>2769</v>
      </c>
      <c r="N1512" s="12" t="n">
        <f aca="false">INT(E1512)</f>
        <v>45784</v>
      </c>
      <c r="O1512" s="12" t="n">
        <f aca="false">IF(F1512="","",INT(F1512))</f>
        <v>45785</v>
      </c>
    </row>
    <row r="1513" customFormat="false" ht="15" hidden="false" customHeight="false" outlineLevel="0" collapsed="false">
      <c r="A1513" s="0" t="s">
        <v>3068</v>
      </c>
      <c r="B1513" s="0" t="s">
        <v>3069</v>
      </c>
      <c r="C1513" s="0" t="s">
        <v>22</v>
      </c>
      <c r="D1513" s="0" t="s">
        <v>42</v>
      </c>
      <c r="E1513" s="10" t="n">
        <v>45784.4743055556</v>
      </c>
      <c r="F1513" s="10" t="n">
        <v>45785.3179861111</v>
      </c>
      <c r="G1513" s="0" t="n">
        <v>590.31</v>
      </c>
      <c r="H1513" s="0" t="n">
        <v>587.13</v>
      </c>
      <c r="I1513" s="11" t="n">
        <f aca="false">H1513-G1513</f>
        <v>-3.17999999999995</v>
      </c>
      <c r="J1513" s="5" t="n">
        <f aca="false">IF(G1513=0,"",I1513/G1513)</f>
        <v>-0.00538700005082067</v>
      </c>
      <c r="K1513" s="0" t="n">
        <v>80.5</v>
      </c>
      <c r="L1513" s="0" t="n">
        <v>20.25</v>
      </c>
      <c r="M1513" s="11" t="s">
        <v>2769</v>
      </c>
      <c r="N1513" s="12" t="n">
        <f aca="false">INT(E1513)</f>
        <v>45784</v>
      </c>
      <c r="O1513" s="12" t="n">
        <f aca="false">IF(F1513="","",INT(F1513))</f>
        <v>45785</v>
      </c>
    </row>
    <row r="1514" customFormat="false" ht="15" hidden="false" customHeight="false" outlineLevel="0" collapsed="false">
      <c r="A1514" s="0" t="s">
        <v>3070</v>
      </c>
      <c r="B1514" s="0" t="s">
        <v>3071</v>
      </c>
      <c r="C1514" s="0" t="s">
        <v>23</v>
      </c>
      <c r="D1514" s="0" t="s">
        <v>42</v>
      </c>
      <c r="E1514" s="10" t="n">
        <v>45784.5104166667</v>
      </c>
      <c r="F1514" s="10" t="n">
        <v>45785.6359375</v>
      </c>
      <c r="G1514" s="0" t="n">
        <v>309.11</v>
      </c>
      <c r="H1514" s="0" t="n">
        <v>316.47</v>
      </c>
      <c r="I1514" s="11" t="n">
        <f aca="false">H1514-G1514</f>
        <v>7.36000000000001</v>
      </c>
      <c r="J1514" s="5" t="n">
        <f aca="false">IF(G1514=0,"",I1514/G1514)</f>
        <v>0.0238102940700722</v>
      </c>
      <c r="K1514" s="0" t="n">
        <v>81</v>
      </c>
      <c r="L1514" s="0" t="n">
        <v>27.01</v>
      </c>
      <c r="M1514" s="11" t="s">
        <v>2769</v>
      </c>
      <c r="N1514" s="12" t="n">
        <f aca="false">INT(E1514)</f>
        <v>45784</v>
      </c>
      <c r="O1514" s="12" t="n">
        <f aca="false">IF(F1514="","",INT(F1514))</f>
        <v>45785</v>
      </c>
    </row>
    <row r="1515" customFormat="false" ht="15" hidden="false" customHeight="false" outlineLevel="0" collapsed="false">
      <c r="A1515" s="0" t="s">
        <v>3072</v>
      </c>
      <c r="B1515" s="0" t="s">
        <v>3073</v>
      </c>
      <c r="C1515" s="0" t="s">
        <v>21</v>
      </c>
      <c r="D1515" s="0" t="s">
        <v>42</v>
      </c>
      <c r="E1515" s="10" t="n">
        <v>45784.5361111111</v>
      </c>
      <c r="F1515" s="10" t="n">
        <v>45786.0701388889</v>
      </c>
      <c r="G1515" s="0" t="n">
        <v>205.17</v>
      </c>
      <c r="H1515" s="0" t="n">
        <v>200.22</v>
      </c>
      <c r="I1515" s="11" t="n">
        <f aca="false">H1515-G1515</f>
        <v>-4.94999999999999</v>
      </c>
      <c r="J1515" s="5" t="n">
        <f aca="false">IF(G1515=0,"",I1515/G1515)</f>
        <v>-0.0241263342593946</v>
      </c>
      <c r="K1515" s="0" t="n">
        <v>36.2</v>
      </c>
      <c r="L1515" s="0" t="n">
        <v>36.82</v>
      </c>
      <c r="M1515" s="11" t="s">
        <v>2769</v>
      </c>
      <c r="N1515" s="12" t="n">
        <f aca="false">INT(E1515)</f>
        <v>45784</v>
      </c>
      <c r="O1515" s="12" t="n">
        <f aca="false">IF(F1515="","",INT(F1515))</f>
        <v>45786</v>
      </c>
    </row>
    <row r="1516" customFormat="false" ht="15" hidden="false" customHeight="false" outlineLevel="0" collapsed="false">
      <c r="A1516" s="0" t="s">
        <v>3074</v>
      </c>
      <c r="B1516" s="0" t="s">
        <v>3075</v>
      </c>
      <c r="C1516" s="0" t="s">
        <v>22</v>
      </c>
      <c r="D1516" s="0" t="s">
        <v>42</v>
      </c>
      <c r="E1516" s="10" t="n">
        <v>45784.5555555556</v>
      </c>
      <c r="F1516" s="10" t="n">
        <v>45785.5372685185</v>
      </c>
      <c r="G1516" s="0" t="n">
        <v>499.79</v>
      </c>
      <c r="H1516" s="0" t="n">
        <v>494.8</v>
      </c>
      <c r="I1516" s="11" t="n">
        <f aca="false">H1516-G1516</f>
        <v>-4.99000000000001</v>
      </c>
      <c r="J1516" s="5" t="n">
        <f aca="false">IF(G1516=0,"",I1516/G1516)</f>
        <v>-0.00998419336121173</v>
      </c>
      <c r="K1516" s="0" t="n">
        <v>83.8</v>
      </c>
      <c r="L1516" s="0" t="n">
        <v>23.56</v>
      </c>
      <c r="M1516" s="11" t="s">
        <v>2769</v>
      </c>
      <c r="N1516" s="12" t="n">
        <f aca="false">INT(E1516)</f>
        <v>45784</v>
      </c>
      <c r="O1516" s="12" t="n">
        <f aca="false">IF(F1516="","",INT(F1516))</f>
        <v>45785</v>
      </c>
    </row>
    <row r="1517" customFormat="false" ht="15" hidden="false" customHeight="false" outlineLevel="0" collapsed="false">
      <c r="A1517" s="0" t="s">
        <v>3076</v>
      </c>
      <c r="B1517" s="0" t="s">
        <v>3077</v>
      </c>
      <c r="C1517" s="0" t="s">
        <v>20</v>
      </c>
      <c r="D1517" s="0" t="s">
        <v>42</v>
      </c>
      <c r="E1517" s="10" t="n">
        <v>45784.6083333333</v>
      </c>
      <c r="F1517" s="10" t="n">
        <v>45785.1743055556</v>
      </c>
      <c r="G1517" s="0" t="n">
        <v>205.87</v>
      </c>
      <c r="H1517" s="0" t="n">
        <v>209.92</v>
      </c>
      <c r="I1517" s="11" t="n">
        <f aca="false">H1517-G1517</f>
        <v>4.04999999999998</v>
      </c>
      <c r="J1517" s="5" t="n">
        <f aca="false">IF(G1517=0,"",I1517/G1517)</f>
        <v>0.0196726089279642</v>
      </c>
      <c r="K1517" s="0" t="n">
        <v>34.4</v>
      </c>
      <c r="L1517" s="0" t="n">
        <v>13.58</v>
      </c>
      <c r="M1517" s="11" t="s">
        <v>2769</v>
      </c>
      <c r="N1517" s="12" t="n">
        <f aca="false">INT(E1517)</f>
        <v>45784</v>
      </c>
      <c r="O1517" s="12" t="n">
        <f aca="false">IF(F1517="","",INT(F1517))</f>
        <v>45785</v>
      </c>
    </row>
    <row r="1518" customFormat="false" ht="15" hidden="false" customHeight="false" outlineLevel="0" collapsed="false">
      <c r="A1518" s="0" t="s">
        <v>3078</v>
      </c>
      <c r="B1518" s="0" t="s">
        <v>3079</v>
      </c>
      <c r="C1518" s="0" t="s">
        <v>22</v>
      </c>
      <c r="D1518" s="0" t="s">
        <v>42</v>
      </c>
      <c r="E1518" s="10" t="n">
        <v>45784.6277777778</v>
      </c>
      <c r="F1518" s="10" t="n">
        <v>45786.95625</v>
      </c>
      <c r="G1518" s="0" t="n">
        <v>280.34</v>
      </c>
      <c r="H1518" s="0" t="n">
        <v>269.63</v>
      </c>
      <c r="I1518" s="11" t="n">
        <f aca="false">H1518-G1518</f>
        <v>-10.71</v>
      </c>
      <c r="J1518" s="5" t="n">
        <f aca="false">IF(G1518=0,"",I1518/G1518)</f>
        <v>-0.0382036099022615</v>
      </c>
      <c r="K1518" s="0" t="n">
        <v>30.2</v>
      </c>
      <c r="L1518" s="0" t="n">
        <v>55.88</v>
      </c>
      <c r="M1518" s="11" t="s">
        <v>2769</v>
      </c>
      <c r="N1518" s="12" t="n">
        <f aca="false">INT(E1518)</f>
        <v>45784</v>
      </c>
      <c r="O1518" s="12" t="n">
        <f aca="false">IF(F1518="","",INT(F1518))</f>
        <v>45786</v>
      </c>
    </row>
    <row r="1519" customFormat="false" ht="15" hidden="false" customHeight="false" outlineLevel="0" collapsed="false">
      <c r="A1519" s="0" t="s">
        <v>3080</v>
      </c>
      <c r="B1519" s="0" t="s">
        <v>3081</v>
      </c>
      <c r="C1519" s="0" t="s">
        <v>24</v>
      </c>
      <c r="D1519" s="0" t="s">
        <v>42</v>
      </c>
      <c r="E1519" s="10" t="n">
        <v>45784.6548611111</v>
      </c>
      <c r="F1519" s="10" t="n">
        <v>45787.8009606482</v>
      </c>
      <c r="G1519" s="0" t="n">
        <v>477.52</v>
      </c>
      <c r="H1519" s="0" t="n">
        <v>491</v>
      </c>
      <c r="I1519" s="11" t="n">
        <f aca="false">H1519-G1519</f>
        <v>13.48</v>
      </c>
      <c r="J1519" s="5" t="n">
        <f aca="false">IF(G1519=0,"",I1519/G1519)</f>
        <v>0.0282291841179427</v>
      </c>
      <c r="K1519" s="0" t="n">
        <v>108</v>
      </c>
      <c r="L1519" s="0" t="n">
        <v>56.28</v>
      </c>
      <c r="M1519" s="11" t="s">
        <v>2769</v>
      </c>
      <c r="N1519" s="12" t="n">
        <f aca="false">INT(E1519)</f>
        <v>45784</v>
      </c>
      <c r="O1519" s="12" t="n">
        <f aca="false">IF(F1519="","",INT(F1519))</f>
        <v>45787</v>
      </c>
    </row>
    <row r="1520" customFormat="false" ht="15" hidden="false" customHeight="false" outlineLevel="0" collapsed="false">
      <c r="A1520" s="0" t="s">
        <v>3082</v>
      </c>
      <c r="B1520" s="0" t="s">
        <v>3083</v>
      </c>
      <c r="C1520" s="0" t="s">
        <v>23</v>
      </c>
      <c r="D1520" s="0" t="s">
        <v>42</v>
      </c>
      <c r="E1520" s="10" t="n">
        <v>45784.6652777778</v>
      </c>
      <c r="F1520" s="10" t="n">
        <v>45785.4923611111</v>
      </c>
      <c r="G1520" s="0" t="n">
        <v>756.04</v>
      </c>
      <c r="H1520" s="0" t="n">
        <v>767.4</v>
      </c>
      <c r="I1520" s="11" t="n">
        <f aca="false">H1520-G1520</f>
        <v>11.36</v>
      </c>
      <c r="J1520" s="5" t="n">
        <f aca="false">IF(G1520=0,"",I1520/G1520)</f>
        <v>0.0150256600179885</v>
      </c>
      <c r="K1520" s="0" t="n">
        <v>172.1</v>
      </c>
      <c r="L1520" s="0" t="n">
        <v>19.85</v>
      </c>
      <c r="M1520" s="11" t="s">
        <v>2769</v>
      </c>
      <c r="N1520" s="12" t="n">
        <f aca="false">INT(E1520)</f>
        <v>45784</v>
      </c>
      <c r="O1520" s="12" t="n">
        <f aca="false">IF(F1520="","",INT(F1520))</f>
        <v>45785</v>
      </c>
    </row>
    <row r="1521" customFormat="false" ht="15" hidden="false" customHeight="false" outlineLevel="0" collapsed="false">
      <c r="A1521" s="0" t="s">
        <v>3084</v>
      </c>
      <c r="B1521" s="0" t="s">
        <v>3085</v>
      </c>
      <c r="C1521" s="0" t="s">
        <v>23</v>
      </c>
      <c r="D1521" s="0" t="s">
        <v>42</v>
      </c>
      <c r="E1521" s="10" t="n">
        <v>45784.6756944444</v>
      </c>
      <c r="F1521" s="10" t="n">
        <v>45786.1013657407</v>
      </c>
      <c r="G1521" s="0" t="n">
        <v>594.04</v>
      </c>
      <c r="H1521" s="0" t="n">
        <v>590.14</v>
      </c>
      <c r="I1521" s="11" t="n">
        <f aca="false">H1521-G1521</f>
        <v>-3.89999999999998</v>
      </c>
      <c r="J1521" s="5" t="n">
        <f aca="false">IF(G1521=0,"",I1521/G1521)</f>
        <v>-0.00656521446367244</v>
      </c>
      <c r="K1521" s="0" t="n">
        <v>208.7</v>
      </c>
      <c r="L1521" s="0" t="n">
        <v>34.22</v>
      </c>
      <c r="M1521" s="11" t="s">
        <v>2769</v>
      </c>
      <c r="N1521" s="12" t="n">
        <f aca="false">INT(E1521)</f>
        <v>45784</v>
      </c>
      <c r="O1521" s="12" t="n">
        <f aca="false">IF(F1521="","",INT(F1521))</f>
        <v>45786</v>
      </c>
    </row>
    <row r="1522" customFormat="false" ht="15" hidden="false" customHeight="false" outlineLevel="0" collapsed="false">
      <c r="A1522" s="0" t="s">
        <v>3086</v>
      </c>
      <c r="B1522" s="0" t="s">
        <v>3087</v>
      </c>
      <c r="C1522" s="0" t="s">
        <v>21</v>
      </c>
      <c r="D1522" s="0" t="s">
        <v>42</v>
      </c>
      <c r="E1522" s="10" t="n">
        <v>45784.6798611111</v>
      </c>
      <c r="F1522" s="10" t="n">
        <v>45785.3180555556</v>
      </c>
      <c r="G1522" s="0" t="n">
        <v>452.37</v>
      </c>
      <c r="H1522" s="0" t="n">
        <v>463.92</v>
      </c>
      <c r="I1522" s="11" t="n">
        <f aca="false">H1522-G1522</f>
        <v>11.55</v>
      </c>
      <c r="J1522" s="5" t="n">
        <f aca="false">IF(G1522=0,"",I1522/G1522)</f>
        <v>0.0255321970952981</v>
      </c>
      <c r="K1522" s="0" t="n">
        <v>116.2</v>
      </c>
      <c r="L1522" s="0" t="n">
        <v>15.32</v>
      </c>
      <c r="M1522" s="11" t="s">
        <v>2769</v>
      </c>
      <c r="N1522" s="12" t="n">
        <f aca="false">INT(E1522)</f>
        <v>45784</v>
      </c>
      <c r="O1522" s="12" t="n">
        <f aca="false">IF(F1522="","",INT(F1522))</f>
        <v>45785</v>
      </c>
    </row>
    <row r="1523" customFormat="false" ht="15" hidden="false" customHeight="false" outlineLevel="0" collapsed="false">
      <c r="A1523" s="0" t="s">
        <v>3088</v>
      </c>
      <c r="B1523" s="0" t="s">
        <v>3089</v>
      </c>
      <c r="C1523" s="0" t="s">
        <v>23</v>
      </c>
      <c r="D1523" s="0" t="s">
        <v>42</v>
      </c>
      <c r="E1523" s="10" t="n">
        <v>45784.7284722222</v>
      </c>
      <c r="F1523" s="10" t="n">
        <v>45785.9235069445</v>
      </c>
      <c r="G1523" s="0" t="n">
        <v>1610.12</v>
      </c>
      <c r="H1523" s="0" t="n">
        <v>1628.91</v>
      </c>
      <c r="I1523" s="11" t="n">
        <f aca="false">H1523-G1523</f>
        <v>18.7900000000002</v>
      </c>
      <c r="J1523" s="5" t="n">
        <f aca="false">IF(G1523=0,"",I1523/G1523)</f>
        <v>0.0116699376443993</v>
      </c>
      <c r="K1523" s="0" t="n">
        <v>436.5</v>
      </c>
      <c r="L1523" s="0" t="n">
        <v>28.68</v>
      </c>
      <c r="M1523" s="11" t="s">
        <v>2769</v>
      </c>
      <c r="N1523" s="12" t="n">
        <f aca="false">INT(E1523)</f>
        <v>45784</v>
      </c>
      <c r="O1523" s="12" t="n">
        <f aca="false">IF(F1523="","",INT(F1523))</f>
        <v>45785</v>
      </c>
    </row>
    <row r="1524" customFormat="false" ht="15" hidden="false" customHeight="false" outlineLevel="0" collapsed="false">
      <c r="A1524" s="0" t="s">
        <v>3090</v>
      </c>
      <c r="B1524" s="0" t="s">
        <v>3091</v>
      </c>
      <c r="C1524" s="0" t="s">
        <v>20</v>
      </c>
      <c r="D1524" s="0" t="s">
        <v>42</v>
      </c>
      <c r="E1524" s="10" t="n">
        <v>45784.7569444445</v>
      </c>
      <c r="F1524" s="10" t="n">
        <v>45785.4256712963</v>
      </c>
      <c r="G1524" s="0" t="n">
        <v>227.78</v>
      </c>
      <c r="H1524" s="0" t="n">
        <v>228.32</v>
      </c>
      <c r="I1524" s="11" t="n">
        <f aca="false">H1524-G1524</f>
        <v>0.539999999999992</v>
      </c>
      <c r="J1524" s="5" t="n">
        <f aca="false">IF(G1524=0,"",I1524/G1524)</f>
        <v>0.00237070857845286</v>
      </c>
      <c r="K1524" s="0" t="n">
        <v>43.7</v>
      </c>
      <c r="L1524" s="0" t="n">
        <v>16.05</v>
      </c>
      <c r="M1524" s="11" t="s">
        <v>2769</v>
      </c>
      <c r="N1524" s="12" t="n">
        <f aca="false">INT(E1524)</f>
        <v>45784</v>
      </c>
      <c r="O1524" s="12" t="n">
        <f aca="false">IF(F1524="","",INT(F1524))</f>
        <v>45785</v>
      </c>
    </row>
    <row r="1525" customFormat="false" ht="15" hidden="false" customHeight="false" outlineLevel="0" collapsed="false">
      <c r="A1525" s="0" t="s">
        <v>3092</v>
      </c>
      <c r="B1525" s="0" t="s">
        <v>3093</v>
      </c>
      <c r="C1525" s="0" t="s">
        <v>23</v>
      </c>
      <c r="D1525" s="0" t="s">
        <v>42</v>
      </c>
      <c r="E1525" s="10" t="n">
        <v>45784.7854166667</v>
      </c>
      <c r="F1525" s="10" t="n">
        <v>45785.2118055556</v>
      </c>
      <c r="G1525" s="0" t="n">
        <v>392.4</v>
      </c>
      <c r="H1525" s="0" t="n">
        <v>392.69</v>
      </c>
      <c r="I1525" s="11" t="n">
        <f aca="false">H1525-G1525</f>
        <v>0.29000000000002</v>
      </c>
      <c r="J1525" s="5" t="n">
        <f aca="false">IF(G1525=0,"",I1525/G1525)</f>
        <v>0.000739041794087718</v>
      </c>
      <c r="K1525" s="0" t="n">
        <v>100.1</v>
      </c>
      <c r="L1525" s="0" t="n">
        <v>10.23</v>
      </c>
      <c r="M1525" s="11" t="s">
        <v>2769</v>
      </c>
      <c r="N1525" s="12" t="n">
        <f aca="false">INT(E1525)</f>
        <v>45784</v>
      </c>
      <c r="O1525" s="12" t="n">
        <f aca="false">IF(F1525="","",INT(F1525))</f>
        <v>45785</v>
      </c>
    </row>
    <row r="1526" customFormat="false" ht="15" hidden="false" customHeight="false" outlineLevel="0" collapsed="false">
      <c r="A1526" s="0" t="s">
        <v>3094</v>
      </c>
      <c r="B1526" s="0" t="s">
        <v>3095</v>
      </c>
      <c r="C1526" s="0" t="s">
        <v>20</v>
      </c>
      <c r="D1526" s="0" t="s">
        <v>42</v>
      </c>
      <c r="E1526" s="10" t="n">
        <v>45784.7902777778</v>
      </c>
      <c r="F1526" s="10" t="n">
        <v>45786.7833333333</v>
      </c>
      <c r="G1526" s="0" t="n">
        <v>158.13</v>
      </c>
      <c r="H1526" s="0" t="n">
        <v>159.04</v>
      </c>
      <c r="I1526" s="11" t="n">
        <f aca="false">H1526-G1526</f>
        <v>0.909999999999997</v>
      </c>
      <c r="J1526" s="5" t="n">
        <f aca="false">IF(G1526=0,"",I1526/G1526)</f>
        <v>0.00575475874280653</v>
      </c>
      <c r="K1526" s="0" t="n">
        <v>18.6</v>
      </c>
      <c r="L1526" s="0" t="n">
        <v>47.83</v>
      </c>
      <c r="M1526" s="11" t="s">
        <v>2769</v>
      </c>
      <c r="N1526" s="12" t="n">
        <f aca="false">INT(E1526)</f>
        <v>45784</v>
      </c>
      <c r="O1526" s="12" t="n">
        <f aca="false">IF(F1526="","",INT(F1526))</f>
        <v>45786</v>
      </c>
    </row>
    <row r="1527" customFormat="false" ht="15" hidden="false" customHeight="false" outlineLevel="0" collapsed="false">
      <c r="A1527" s="0" t="s">
        <v>3096</v>
      </c>
      <c r="B1527" s="0" t="s">
        <v>3097</v>
      </c>
      <c r="C1527" s="0" t="s">
        <v>20</v>
      </c>
      <c r="D1527" s="0" t="s">
        <v>42</v>
      </c>
      <c r="E1527" s="10" t="n">
        <v>45785.3111111111</v>
      </c>
      <c r="F1527" s="10" t="n">
        <v>45787.3756944445</v>
      </c>
      <c r="G1527" s="0" t="n">
        <v>761.57</v>
      </c>
      <c r="H1527" s="0" t="n">
        <v>774.73</v>
      </c>
      <c r="I1527" s="11" t="n">
        <f aca="false">H1527-G1527</f>
        <v>13.16</v>
      </c>
      <c r="J1527" s="5" t="n">
        <f aca="false">IF(G1527=0,"",I1527/G1527)</f>
        <v>0.0172800924406161</v>
      </c>
      <c r="K1527" s="0" t="n">
        <v>154.8</v>
      </c>
      <c r="L1527" s="0" t="n">
        <v>40.53</v>
      </c>
      <c r="M1527" s="11" t="s">
        <v>2769</v>
      </c>
      <c r="N1527" s="12" t="n">
        <f aca="false">INT(E1527)</f>
        <v>45785</v>
      </c>
      <c r="O1527" s="12" t="n">
        <f aca="false">IF(F1527="","",INT(F1527))</f>
        <v>45787</v>
      </c>
    </row>
    <row r="1528" customFormat="false" ht="15" hidden="false" customHeight="false" outlineLevel="0" collapsed="false">
      <c r="A1528" s="0" t="s">
        <v>3098</v>
      </c>
      <c r="B1528" s="0" t="s">
        <v>3099</v>
      </c>
      <c r="C1528" s="0" t="s">
        <v>19</v>
      </c>
      <c r="D1528" s="0" t="s">
        <v>42</v>
      </c>
      <c r="E1528" s="10" t="n">
        <v>45785.3319444444</v>
      </c>
      <c r="F1528" s="10" t="n">
        <v>45786.3404861111</v>
      </c>
      <c r="G1528" s="0" t="n">
        <v>187.05</v>
      </c>
      <c r="H1528" s="0" t="n">
        <v>182.57</v>
      </c>
      <c r="I1528" s="11" t="n">
        <f aca="false">H1528-G1528</f>
        <v>-4.48000000000002</v>
      </c>
      <c r="J1528" s="5" t="n">
        <f aca="false">IF(G1528=0,"",I1528/G1528)</f>
        <v>-0.0239508152900295</v>
      </c>
      <c r="K1528" s="0" t="n">
        <v>34.3</v>
      </c>
      <c r="L1528" s="0" t="n">
        <v>24.2</v>
      </c>
      <c r="M1528" s="11" t="s">
        <v>2769</v>
      </c>
      <c r="N1528" s="12" t="n">
        <f aca="false">INT(E1528)</f>
        <v>45785</v>
      </c>
      <c r="O1528" s="12" t="n">
        <f aca="false">IF(F1528="","",INT(F1528))</f>
        <v>45786</v>
      </c>
    </row>
    <row r="1529" customFormat="false" ht="15" hidden="false" customHeight="false" outlineLevel="0" collapsed="false">
      <c r="A1529" s="0" t="s">
        <v>3100</v>
      </c>
      <c r="B1529" s="0" t="s">
        <v>3101</v>
      </c>
      <c r="C1529" s="0" t="s">
        <v>21</v>
      </c>
      <c r="D1529" s="0" t="s">
        <v>42</v>
      </c>
      <c r="E1529" s="10" t="n">
        <v>45785.35</v>
      </c>
      <c r="F1529" s="10" t="n">
        <v>45785.7798611111</v>
      </c>
      <c r="G1529" s="0" t="n">
        <v>410.7</v>
      </c>
      <c r="H1529" s="0" t="n">
        <v>430.21</v>
      </c>
      <c r="I1529" s="11" t="n">
        <f aca="false">H1529-G1529</f>
        <v>19.51</v>
      </c>
      <c r="J1529" s="5" t="n">
        <f aca="false">IF(G1529=0,"",I1529/G1529)</f>
        <v>0.0475042610177745</v>
      </c>
      <c r="K1529" s="0" t="n">
        <v>110.4</v>
      </c>
      <c r="L1529" s="0" t="n">
        <v>10.32</v>
      </c>
      <c r="M1529" s="11" t="s">
        <v>2769</v>
      </c>
      <c r="N1529" s="12" t="n">
        <f aca="false">INT(E1529)</f>
        <v>45785</v>
      </c>
      <c r="O1529" s="12" t="n">
        <f aca="false">IF(F1529="","",INT(F1529))</f>
        <v>45785</v>
      </c>
    </row>
    <row r="1530" customFormat="false" ht="15" hidden="false" customHeight="false" outlineLevel="0" collapsed="false">
      <c r="A1530" s="0" t="s">
        <v>3102</v>
      </c>
      <c r="B1530" s="0" t="s">
        <v>3103</v>
      </c>
      <c r="C1530" s="0" t="s">
        <v>21</v>
      </c>
      <c r="D1530" s="0" t="s">
        <v>42</v>
      </c>
      <c r="E1530" s="10" t="n">
        <v>45785.3506944445</v>
      </c>
      <c r="F1530" s="10" t="n">
        <v>45786.425</v>
      </c>
      <c r="G1530" s="0" t="n">
        <v>1368.24</v>
      </c>
      <c r="H1530" s="0" t="n">
        <v>1345.73</v>
      </c>
      <c r="I1530" s="11" t="n">
        <f aca="false">H1530-G1530</f>
        <v>-22.51</v>
      </c>
      <c r="J1530" s="5" t="n">
        <f aca="false">IF(G1530=0,"",I1530/G1530)</f>
        <v>-0.0164517920832602</v>
      </c>
      <c r="K1530" s="0" t="n">
        <v>170.1</v>
      </c>
      <c r="L1530" s="0" t="n">
        <v>25.78</v>
      </c>
      <c r="M1530" s="11" t="s">
        <v>2769</v>
      </c>
      <c r="N1530" s="12" t="n">
        <f aca="false">INT(E1530)</f>
        <v>45785</v>
      </c>
      <c r="O1530" s="12" t="n">
        <f aca="false">IF(F1530="","",INT(F1530))</f>
        <v>45786</v>
      </c>
    </row>
    <row r="1531" customFormat="false" ht="15" hidden="false" customHeight="false" outlineLevel="0" collapsed="false">
      <c r="A1531" s="0" t="s">
        <v>3104</v>
      </c>
      <c r="B1531" s="0" t="s">
        <v>3105</v>
      </c>
      <c r="C1531" s="0" t="s">
        <v>23</v>
      </c>
      <c r="D1531" s="0" t="s">
        <v>42</v>
      </c>
      <c r="E1531" s="10" t="n">
        <v>45785.3715277778</v>
      </c>
      <c r="F1531" s="10" t="n">
        <v>45786.7924074074</v>
      </c>
      <c r="G1531" s="0" t="n">
        <v>417.95</v>
      </c>
      <c r="H1531" s="0" t="n">
        <v>413.01</v>
      </c>
      <c r="I1531" s="11" t="n">
        <f aca="false">H1531-G1531</f>
        <v>-4.94</v>
      </c>
      <c r="J1531" s="5" t="n">
        <f aca="false">IF(G1531=0,"",I1531/G1531)</f>
        <v>-0.0118195956454121</v>
      </c>
      <c r="K1531" s="0" t="n">
        <v>186.5</v>
      </c>
      <c r="L1531" s="0" t="n">
        <v>34.1</v>
      </c>
      <c r="M1531" s="11" t="s">
        <v>2769</v>
      </c>
      <c r="N1531" s="12" t="n">
        <f aca="false">INT(E1531)</f>
        <v>45785</v>
      </c>
      <c r="O1531" s="12" t="n">
        <f aca="false">IF(F1531="","",INT(F1531))</f>
        <v>45786</v>
      </c>
    </row>
    <row r="1532" customFormat="false" ht="15" hidden="false" customHeight="false" outlineLevel="0" collapsed="false">
      <c r="A1532" s="0" t="s">
        <v>3106</v>
      </c>
      <c r="B1532" s="0" t="s">
        <v>3107</v>
      </c>
      <c r="C1532" s="0" t="s">
        <v>20</v>
      </c>
      <c r="D1532" s="0" t="s">
        <v>42</v>
      </c>
      <c r="E1532" s="10" t="n">
        <v>45785.4138888889</v>
      </c>
      <c r="F1532" s="10" t="n">
        <v>45786.9375</v>
      </c>
      <c r="G1532" s="0" t="n">
        <v>1019.34</v>
      </c>
      <c r="H1532" s="0" t="n">
        <v>991.59</v>
      </c>
      <c r="I1532" s="11" t="n">
        <f aca="false">H1532-G1532</f>
        <v>-27.75</v>
      </c>
      <c r="J1532" s="5" t="n">
        <f aca="false">IF(G1532=0,"",I1532/G1532)</f>
        <v>-0.0272234975572429</v>
      </c>
      <c r="K1532" s="0" t="n">
        <v>119.8</v>
      </c>
      <c r="L1532" s="0" t="n">
        <v>36.57</v>
      </c>
      <c r="M1532" s="11" t="s">
        <v>2769</v>
      </c>
      <c r="N1532" s="12" t="n">
        <f aca="false">INT(E1532)</f>
        <v>45785</v>
      </c>
      <c r="O1532" s="12" t="n">
        <f aca="false">IF(F1532="","",INT(F1532))</f>
        <v>45786</v>
      </c>
    </row>
    <row r="1533" customFormat="false" ht="15" hidden="false" customHeight="false" outlineLevel="0" collapsed="false">
      <c r="A1533" s="0" t="s">
        <v>3108</v>
      </c>
      <c r="B1533" s="0" t="s">
        <v>3109</v>
      </c>
      <c r="C1533" s="0" t="s">
        <v>21</v>
      </c>
      <c r="D1533" s="0" t="s">
        <v>42</v>
      </c>
      <c r="E1533" s="10" t="n">
        <v>45785.4368055556</v>
      </c>
      <c r="F1533" s="10" t="n">
        <v>45786.1305555556</v>
      </c>
      <c r="G1533" s="0" t="n">
        <v>232.25</v>
      </c>
      <c r="H1533" s="0" t="n">
        <v>228.83</v>
      </c>
      <c r="I1533" s="11" t="n">
        <f aca="false">H1533-G1533</f>
        <v>-3.41999999999999</v>
      </c>
      <c r="J1533" s="5" t="n">
        <f aca="false">IF(G1533=0,"",I1533/G1533)</f>
        <v>-0.0147255113024757</v>
      </c>
      <c r="K1533" s="0" t="n">
        <v>53.2</v>
      </c>
      <c r="L1533" s="0" t="n">
        <v>16.65</v>
      </c>
      <c r="M1533" s="11" t="s">
        <v>2769</v>
      </c>
      <c r="N1533" s="12" t="n">
        <f aca="false">INT(E1533)</f>
        <v>45785</v>
      </c>
      <c r="O1533" s="12" t="n">
        <f aca="false">IF(F1533="","",INT(F1533))</f>
        <v>45786</v>
      </c>
    </row>
    <row r="1534" customFormat="false" ht="15" hidden="false" customHeight="false" outlineLevel="0" collapsed="false">
      <c r="A1534" s="0" t="s">
        <v>3110</v>
      </c>
      <c r="B1534" s="0" t="s">
        <v>3111</v>
      </c>
      <c r="C1534" s="0" t="s">
        <v>24</v>
      </c>
      <c r="D1534" s="0" t="s">
        <v>42</v>
      </c>
      <c r="E1534" s="10" t="n">
        <v>45785.4381944445</v>
      </c>
      <c r="F1534" s="10" t="n">
        <v>45786.1782060185</v>
      </c>
      <c r="G1534" s="0" t="n">
        <v>160.38</v>
      </c>
      <c r="H1534" s="0" t="n">
        <v>157.42</v>
      </c>
      <c r="I1534" s="11" t="n">
        <f aca="false">H1534-G1534</f>
        <v>-2.96000000000001</v>
      </c>
      <c r="J1534" s="5" t="n">
        <f aca="false">IF(G1534=0,"",I1534/G1534)</f>
        <v>-0.0184561666043148</v>
      </c>
      <c r="K1534" s="0" t="n">
        <v>34.6</v>
      </c>
      <c r="L1534" s="0" t="n">
        <v>17.76</v>
      </c>
      <c r="M1534" s="11" t="s">
        <v>2769</v>
      </c>
      <c r="N1534" s="12" t="n">
        <f aca="false">INT(E1534)</f>
        <v>45785</v>
      </c>
      <c r="O1534" s="12" t="n">
        <f aca="false">IF(F1534="","",INT(F1534))</f>
        <v>45786</v>
      </c>
    </row>
    <row r="1535" customFormat="false" ht="15" hidden="false" customHeight="false" outlineLevel="0" collapsed="false">
      <c r="A1535" s="0" t="s">
        <v>3112</v>
      </c>
      <c r="B1535" s="0" t="s">
        <v>3113</v>
      </c>
      <c r="C1535" s="0" t="s">
        <v>21</v>
      </c>
      <c r="D1535" s="0" t="s">
        <v>42</v>
      </c>
      <c r="E1535" s="10" t="n">
        <v>45785.4409722222</v>
      </c>
      <c r="F1535" s="10" t="n">
        <v>45786.1576388889</v>
      </c>
      <c r="G1535" s="0" t="n">
        <v>530.91</v>
      </c>
      <c r="H1535" s="0" t="n">
        <v>527.56</v>
      </c>
      <c r="I1535" s="11" t="n">
        <f aca="false">H1535-G1535</f>
        <v>-3.35000000000002</v>
      </c>
      <c r="J1535" s="5" t="n">
        <f aca="false">IF(G1535=0,"",I1535/G1535)</f>
        <v>-0.00630992070219062</v>
      </c>
      <c r="K1535" s="0" t="n">
        <v>87.1</v>
      </c>
      <c r="L1535" s="0" t="n">
        <v>17.2</v>
      </c>
      <c r="M1535" s="11" t="s">
        <v>2769</v>
      </c>
      <c r="N1535" s="12" t="n">
        <f aca="false">INT(E1535)</f>
        <v>45785</v>
      </c>
      <c r="O1535" s="12" t="n">
        <f aca="false">IF(F1535="","",INT(F1535))</f>
        <v>45786</v>
      </c>
    </row>
    <row r="1536" customFormat="false" ht="15" hidden="false" customHeight="false" outlineLevel="0" collapsed="false">
      <c r="A1536" s="0" t="s">
        <v>3114</v>
      </c>
      <c r="B1536" s="0" t="s">
        <v>3115</v>
      </c>
      <c r="C1536" s="0" t="s">
        <v>23</v>
      </c>
      <c r="D1536" s="0" t="s">
        <v>42</v>
      </c>
      <c r="E1536" s="10" t="n">
        <v>45785.4659722222</v>
      </c>
      <c r="F1536" s="10" t="n">
        <v>45786.3276157407</v>
      </c>
      <c r="G1536" s="0" t="n">
        <v>365.97</v>
      </c>
      <c r="H1536" s="0" t="n">
        <v>358.15</v>
      </c>
      <c r="I1536" s="11" t="n">
        <f aca="false">H1536-G1536</f>
        <v>-7.82000000000005</v>
      </c>
      <c r="J1536" s="5" t="n">
        <f aca="false">IF(G1536=0,"",I1536/G1536)</f>
        <v>-0.0213678716834715</v>
      </c>
      <c r="K1536" s="0" t="n">
        <v>149.7</v>
      </c>
      <c r="L1536" s="0" t="n">
        <v>20.68</v>
      </c>
      <c r="M1536" s="11" t="s">
        <v>2769</v>
      </c>
      <c r="N1536" s="12" t="n">
        <f aca="false">INT(E1536)</f>
        <v>45785</v>
      </c>
      <c r="O1536" s="12" t="n">
        <f aca="false">IF(F1536="","",INT(F1536))</f>
        <v>45786</v>
      </c>
    </row>
    <row r="1537" customFormat="false" ht="15" hidden="false" customHeight="false" outlineLevel="0" collapsed="false">
      <c r="A1537" s="0" t="s">
        <v>3116</v>
      </c>
      <c r="B1537" s="0" t="s">
        <v>3117</v>
      </c>
      <c r="C1537" s="0" t="s">
        <v>23</v>
      </c>
      <c r="D1537" s="0" t="s">
        <v>42</v>
      </c>
      <c r="E1537" s="10" t="n">
        <v>45785.4673611111</v>
      </c>
      <c r="F1537" s="10" t="n">
        <v>45786.8305555556</v>
      </c>
      <c r="G1537" s="0" t="n">
        <v>195.18</v>
      </c>
      <c r="H1537" s="0" t="n">
        <v>194.07</v>
      </c>
      <c r="I1537" s="11" t="n">
        <f aca="false">H1537-G1537</f>
        <v>-1.11000000000001</v>
      </c>
      <c r="J1537" s="5" t="n">
        <f aca="false">IF(G1537=0,"",I1537/G1537)</f>
        <v>-0.00568705810021526</v>
      </c>
      <c r="K1537" s="0" t="n">
        <v>69.9</v>
      </c>
      <c r="L1537" s="0" t="n">
        <v>32.72</v>
      </c>
      <c r="M1537" s="11" t="s">
        <v>2769</v>
      </c>
      <c r="N1537" s="12" t="n">
        <f aca="false">INT(E1537)</f>
        <v>45785</v>
      </c>
      <c r="O1537" s="12" t="n">
        <f aca="false">IF(F1537="","",INT(F1537))</f>
        <v>45786</v>
      </c>
    </row>
    <row r="1538" customFormat="false" ht="15" hidden="false" customHeight="false" outlineLevel="0" collapsed="false">
      <c r="A1538" s="0" t="s">
        <v>3118</v>
      </c>
      <c r="B1538" s="0" t="s">
        <v>3119</v>
      </c>
      <c r="C1538" s="0" t="s">
        <v>23</v>
      </c>
      <c r="D1538" s="0" t="s">
        <v>42</v>
      </c>
      <c r="E1538" s="10" t="n">
        <v>45785.4777777778</v>
      </c>
      <c r="F1538" s="10" t="n">
        <v>45786.1455555556</v>
      </c>
      <c r="G1538" s="0" t="n">
        <v>552.11</v>
      </c>
      <c r="H1538" s="0" t="n">
        <v>462.16</v>
      </c>
      <c r="I1538" s="11" t="n">
        <f aca="false">H1538-G1538</f>
        <v>-89.95</v>
      </c>
      <c r="J1538" s="5" t="n">
        <f aca="false">IF(G1538=0,"",I1538/G1538)</f>
        <v>-0.162920432522505</v>
      </c>
      <c r="K1538" s="0" t="n">
        <v>227.1</v>
      </c>
      <c r="L1538" s="0" t="n">
        <v>16.03</v>
      </c>
      <c r="M1538" s="11" t="s">
        <v>2769</v>
      </c>
      <c r="N1538" s="12" t="n">
        <f aca="false">INT(E1538)</f>
        <v>45785</v>
      </c>
      <c r="O1538" s="12" t="n">
        <f aca="false">IF(F1538="","",INT(F1538))</f>
        <v>45786</v>
      </c>
    </row>
    <row r="1539" customFormat="false" ht="15" hidden="false" customHeight="false" outlineLevel="0" collapsed="false">
      <c r="A1539" s="0" t="s">
        <v>3120</v>
      </c>
      <c r="B1539" s="0" t="s">
        <v>3121</v>
      </c>
      <c r="C1539" s="0" t="s">
        <v>23</v>
      </c>
      <c r="D1539" s="0" t="s">
        <v>42</v>
      </c>
      <c r="E1539" s="10" t="n">
        <v>45785.5034722222</v>
      </c>
      <c r="F1539" s="10" t="n">
        <v>45786.6779513889</v>
      </c>
      <c r="G1539" s="0" t="n">
        <v>716.79</v>
      </c>
      <c r="H1539" s="0" t="n">
        <v>723.65</v>
      </c>
      <c r="I1539" s="11" t="n">
        <f aca="false">H1539-G1539</f>
        <v>6.86000000000001</v>
      </c>
      <c r="J1539" s="5" t="n">
        <f aca="false">IF(G1539=0,"",I1539/G1539)</f>
        <v>0.00957044601626699</v>
      </c>
      <c r="K1539" s="0" t="n">
        <v>186.6</v>
      </c>
      <c r="L1539" s="0" t="n">
        <v>28.19</v>
      </c>
      <c r="M1539" s="11" t="s">
        <v>2769</v>
      </c>
      <c r="N1539" s="12" t="n">
        <f aca="false">INT(E1539)</f>
        <v>45785</v>
      </c>
      <c r="O1539" s="12" t="n">
        <f aca="false">IF(F1539="","",INT(F1539))</f>
        <v>45786</v>
      </c>
    </row>
    <row r="1540" customFormat="false" ht="15" hidden="false" customHeight="false" outlineLevel="0" collapsed="false">
      <c r="A1540" s="0" t="s">
        <v>3122</v>
      </c>
      <c r="B1540" s="0" t="s">
        <v>3123</v>
      </c>
      <c r="C1540" s="0" t="s">
        <v>19</v>
      </c>
      <c r="D1540" s="0" t="s">
        <v>42</v>
      </c>
      <c r="E1540" s="10" t="n">
        <v>45785.5090277778</v>
      </c>
      <c r="F1540" s="10" t="n">
        <v>45786.38125</v>
      </c>
      <c r="G1540" s="0" t="n">
        <v>351.7</v>
      </c>
      <c r="H1540" s="0" t="n">
        <v>356.49</v>
      </c>
      <c r="I1540" s="11" t="n">
        <f aca="false">H1540-G1540</f>
        <v>4.79000000000002</v>
      </c>
      <c r="J1540" s="5" t="n">
        <f aca="false">IF(G1540=0,"",I1540/G1540)</f>
        <v>0.0136195621268127</v>
      </c>
      <c r="K1540" s="0" t="n">
        <v>63.5</v>
      </c>
      <c r="L1540" s="0" t="n">
        <v>20.93</v>
      </c>
      <c r="M1540" s="11" t="s">
        <v>2769</v>
      </c>
      <c r="N1540" s="12" t="n">
        <f aca="false">INT(E1540)</f>
        <v>45785</v>
      </c>
      <c r="O1540" s="12" t="n">
        <f aca="false">IF(F1540="","",INT(F1540))</f>
        <v>45786</v>
      </c>
    </row>
    <row r="1541" customFormat="false" ht="15" hidden="false" customHeight="false" outlineLevel="0" collapsed="false">
      <c r="A1541" s="0" t="s">
        <v>3124</v>
      </c>
      <c r="B1541" s="0" t="s">
        <v>3125</v>
      </c>
      <c r="C1541" s="0" t="s">
        <v>21</v>
      </c>
      <c r="D1541" s="0" t="s">
        <v>48</v>
      </c>
      <c r="E1541" s="10" t="n">
        <v>45785.5222222222</v>
      </c>
      <c r="F1541" s="10"/>
      <c r="G1541" s="0" t="n">
        <v>464.02</v>
      </c>
      <c r="H1541" s="0" t="n">
        <v>466.65</v>
      </c>
      <c r="I1541" s="11" t="n">
        <f aca="false">H1541-G1541</f>
        <v>2.63</v>
      </c>
      <c r="J1541" s="5" t="n">
        <f aca="false">IF(G1541=0,"",I1541/G1541)</f>
        <v>0.0056678591440024</v>
      </c>
      <c r="K1541" s="0" t="n">
        <v>117.7</v>
      </c>
      <c r="M1541" s="11" t="s">
        <v>2769</v>
      </c>
      <c r="N1541" s="12" t="n">
        <f aca="false">INT(E1541)</f>
        <v>45785</v>
      </c>
      <c r="O1541" s="12" t="str">
        <f aca="false">IF(F1541="","",INT(F1541))</f>
        <v/>
      </c>
    </row>
    <row r="1542" customFormat="false" ht="15" hidden="false" customHeight="false" outlineLevel="0" collapsed="false">
      <c r="A1542" s="0" t="s">
        <v>3126</v>
      </c>
      <c r="B1542" s="0" t="s">
        <v>3127</v>
      </c>
      <c r="C1542" s="0" t="s">
        <v>21</v>
      </c>
      <c r="D1542" s="0" t="s">
        <v>42</v>
      </c>
      <c r="E1542" s="10" t="n">
        <v>45785.5583333333</v>
      </c>
      <c r="F1542" s="10" t="n">
        <v>45786.3402777778</v>
      </c>
      <c r="G1542" s="0" t="n">
        <v>237</v>
      </c>
      <c r="H1542" s="0" t="n">
        <v>225.01</v>
      </c>
      <c r="I1542" s="11" t="n">
        <f aca="false">H1542-G1542</f>
        <v>-11.99</v>
      </c>
      <c r="J1542" s="5" t="n">
        <f aca="false">IF(G1542=0,"",I1542/G1542)</f>
        <v>-0.0505907172995781</v>
      </c>
      <c r="K1542" s="0" t="n">
        <v>34.4</v>
      </c>
      <c r="L1542" s="0" t="n">
        <v>18.77</v>
      </c>
      <c r="M1542" s="11" t="s">
        <v>2769</v>
      </c>
      <c r="N1542" s="12" t="n">
        <f aca="false">INT(E1542)</f>
        <v>45785</v>
      </c>
      <c r="O1542" s="12" t="n">
        <f aca="false">IF(F1542="","",INT(F1542))</f>
        <v>45786</v>
      </c>
    </row>
    <row r="1543" customFormat="false" ht="15" hidden="false" customHeight="false" outlineLevel="0" collapsed="false">
      <c r="A1543" s="0" t="s">
        <v>3128</v>
      </c>
      <c r="B1543" s="0" t="s">
        <v>3129</v>
      </c>
      <c r="C1543" s="0" t="s">
        <v>23</v>
      </c>
      <c r="D1543" s="0" t="s">
        <v>42</v>
      </c>
      <c r="E1543" s="10" t="n">
        <v>45785.6069444444</v>
      </c>
      <c r="F1543" s="10" t="n">
        <v>45788.1861111111</v>
      </c>
      <c r="G1543" s="0" t="n">
        <v>1601.24</v>
      </c>
      <c r="H1543" s="0" t="n">
        <v>1563.91</v>
      </c>
      <c r="I1543" s="11" t="n">
        <f aca="false">H1543-G1543</f>
        <v>-37.3299999999999</v>
      </c>
      <c r="J1543" s="5" t="n">
        <f aca="false">IF(G1543=0,"",I1543/G1543)</f>
        <v>-0.0233131822837301</v>
      </c>
      <c r="K1543" s="0" t="n">
        <v>381</v>
      </c>
      <c r="L1543" s="0" t="n">
        <v>33.43</v>
      </c>
      <c r="M1543" s="11" t="s">
        <v>2769</v>
      </c>
      <c r="N1543" s="12" t="n">
        <f aca="false">INT(E1543)</f>
        <v>45785</v>
      </c>
      <c r="O1543" s="12" t="n">
        <f aca="false">IF(F1543="","",INT(F1543))</f>
        <v>45788</v>
      </c>
    </row>
    <row r="1544" customFormat="false" ht="15" hidden="false" customHeight="false" outlineLevel="0" collapsed="false">
      <c r="A1544" s="0" t="s">
        <v>3130</v>
      </c>
      <c r="B1544" s="0" t="s">
        <v>3131</v>
      </c>
      <c r="C1544" s="0" t="s">
        <v>23</v>
      </c>
      <c r="D1544" s="0" t="s">
        <v>42</v>
      </c>
      <c r="E1544" s="10" t="n">
        <v>45785.6131944444</v>
      </c>
      <c r="F1544" s="10" t="n">
        <v>45786.7993055556</v>
      </c>
      <c r="G1544" s="0" t="n">
        <v>405.44</v>
      </c>
      <c r="H1544" s="0" t="n">
        <v>397.66</v>
      </c>
      <c r="I1544" s="11" t="n">
        <f aca="false">H1544-G1544</f>
        <v>-7.77999999999997</v>
      </c>
      <c r="J1544" s="5" t="n">
        <f aca="false">IF(G1544=0,"",I1544/G1544)</f>
        <v>-0.0191890292028413</v>
      </c>
      <c r="K1544" s="0" t="n">
        <v>177.9</v>
      </c>
      <c r="L1544" s="0" t="n">
        <v>28.47</v>
      </c>
      <c r="M1544" s="11" t="s">
        <v>2769</v>
      </c>
      <c r="N1544" s="12" t="n">
        <f aca="false">INT(E1544)</f>
        <v>45785</v>
      </c>
      <c r="O1544" s="12" t="n">
        <f aca="false">IF(F1544="","",INT(F1544))</f>
        <v>45786</v>
      </c>
    </row>
    <row r="1545" customFormat="false" ht="15" hidden="false" customHeight="false" outlineLevel="0" collapsed="false">
      <c r="A1545" s="0" t="s">
        <v>3132</v>
      </c>
      <c r="B1545" s="0" t="s">
        <v>3133</v>
      </c>
      <c r="C1545" s="0" t="s">
        <v>21</v>
      </c>
      <c r="D1545" s="0" t="s">
        <v>42</v>
      </c>
      <c r="E1545" s="10" t="n">
        <v>45785.6326388889</v>
      </c>
      <c r="F1545" s="10" t="n">
        <v>45786.1777777778</v>
      </c>
      <c r="G1545" s="0" t="n">
        <v>370.06</v>
      </c>
      <c r="H1545" s="0" t="n">
        <v>376.04</v>
      </c>
      <c r="I1545" s="11" t="n">
        <f aca="false">H1545-G1545</f>
        <v>5.98000000000002</v>
      </c>
      <c r="J1545" s="5" t="n">
        <f aca="false">IF(G1545=0,"",I1545/G1545)</f>
        <v>0.0161595416959413</v>
      </c>
      <c r="K1545" s="0" t="n">
        <v>98.4</v>
      </c>
      <c r="L1545" s="0" t="n">
        <v>13.08</v>
      </c>
      <c r="M1545" s="11" t="s">
        <v>2769</v>
      </c>
      <c r="N1545" s="12" t="n">
        <f aca="false">INT(E1545)</f>
        <v>45785</v>
      </c>
      <c r="O1545" s="12" t="n">
        <f aca="false">IF(F1545="","",INT(F1545))</f>
        <v>45786</v>
      </c>
    </row>
    <row r="1546" customFormat="false" ht="15" hidden="false" customHeight="false" outlineLevel="0" collapsed="false">
      <c r="A1546" s="0" t="s">
        <v>3134</v>
      </c>
      <c r="B1546" s="0" t="s">
        <v>3135</v>
      </c>
      <c r="C1546" s="0" t="s">
        <v>21</v>
      </c>
      <c r="D1546" s="0" t="s">
        <v>42</v>
      </c>
      <c r="E1546" s="10" t="n">
        <v>45785.6347222222</v>
      </c>
      <c r="F1546" s="10" t="n">
        <v>45786.3131944445</v>
      </c>
      <c r="G1546" s="0" t="n">
        <v>521.13</v>
      </c>
      <c r="H1546" s="0" t="n">
        <v>525.19</v>
      </c>
      <c r="I1546" s="11" t="n">
        <f aca="false">H1546-G1546</f>
        <v>4.06000000000006</v>
      </c>
      <c r="J1546" s="5" t="n">
        <f aca="false">IF(G1546=0,"",I1546/G1546)</f>
        <v>0.00779076238174747</v>
      </c>
      <c r="K1546" s="0" t="n">
        <v>116</v>
      </c>
      <c r="L1546" s="0" t="n">
        <v>16.28</v>
      </c>
      <c r="M1546" s="11" t="s">
        <v>2769</v>
      </c>
      <c r="N1546" s="12" t="n">
        <f aca="false">INT(E1546)</f>
        <v>45785</v>
      </c>
      <c r="O1546" s="12" t="n">
        <f aca="false">IF(F1546="","",INT(F1546))</f>
        <v>45786</v>
      </c>
    </row>
    <row r="1547" customFormat="false" ht="15" hidden="false" customHeight="false" outlineLevel="0" collapsed="false">
      <c r="A1547" s="0" t="s">
        <v>3136</v>
      </c>
      <c r="B1547" s="0" t="s">
        <v>3137</v>
      </c>
      <c r="C1547" s="0" t="s">
        <v>23</v>
      </c>
      <c r="D1547" s="0" t="s">
        <v>42</v>
      </c>
      <c r="E1547" s="10" t="n">
        <v>45785.6444444444</v>
      </c>
      <c r="F1547" s="10" t="n">
        <v>45788.925</v>
      </c>
      <c r="G1547" s="0" t="n">
        <v>146.68</v>
      </c>
      <c r="H1547" s="0" t="n">
        <v>146.66</v>
      </c>
      <c r="I1547" s="11" t="n">
        <f aca="false">H1547-G1547</f>
        <v>-0.0200000000000102</v>
      </c>
      <c r="J1547" s="5" t="n">
        <f aca="false">IF(G1547=0,"",I1547/G1547)</f>
        <v>-0.000136351240796361</v>
      </c>
      <c r="K1547" s="0" t="n">
        <v>36.9</v>
      </c>
      <c r="L1547" s="0" t="n">
        <v>32.53</v>
      </c>
      <c r="M1547" s="11" t="s">
        <v>2769</v>
      </c>
      <c r="N1547" s="12" t="n">
        <f aca="false">INT(E1547)</f>
        <v>45785</v>
      </c>
      <c r="O1547" s="12" t="n">
        <f aca="false">IF(F1547="","",INT(F1547))</f>
        <v>45788</v>
      </c>
    </row>
    <row r="1548" customFormat="false" ht="15" hidden="false" customHeight="false" outlineLevel="0" collapsed="false">
      <c r="A1548" s="0" t="s">
        <v>3138</v>
      </c>
      <c r="B1548" s="0" t="s">
        <v>3139</v>
      </c>
      <c r="C1548" s="0" t="s">
        <v>20</v>
      </c>
      <c r="D1548" s="0" t="s">
        <v>42</v>
      </c>
      <c r="E1548" s="10" t="n">
        <v>45785.6680555556</v>
      </c>
      <c r="F1548" s="10" t="n">
        <v>45787.2069444444</v>
      </c>
      <c r="G1548" s="0" t="n">
        <v>264.97</v>
      </c>
      <c r="H1548" s="0" t="n">
        <v>264.58</v>
      </c>
      <c r="I1548" s="11" t="n">
        <f aca="false">H1548-G1548</f>
        <v>-0.390000000000043</v>
      </c>
      <c r="J1548" s="5" t="n">
        <f aca="false">IF(G1548=0,"",I1548/G1548)</f>
        <v>-0.00147186473940462</v>
      </c>
      <c r="K1548" s="0" t="n">
        <v>45.5</v>
      </c>
      <c r="L1548" s="0" t="n">
        <v>31.97</v>
      </c>
      <c r="M1548" s="11" t="s">
        <v>2769</v>
      </c>
      <c r="N1548" s="12" t="n">
        <f aca="false">INT(E1548)</f>
        <v>45785</v>
      </c>
      <c r="O1548" s="12" t="n">
        <f aca="false">IF(F1548="","",INT(F1548))</f>
        <v>45787</v>
      </c>
    </row>
    <row r="1549" customFormat="false" ht="15" hidden="false" customHeight="false" outlineLevel="0" collapsed="false">
      <c r="A1549" s="0" t="s">
        <v>3140</v>
      </c>
      <c r="B1549" s="0" t="s">
        <v>3141</v>
      </c>
      <c r="C1549" s="0" t="s">
        <v>21</v>
      </c>
      <c r="D1549" s="0" t="s">
        <v>303</v>
      </c>
      <c r="E1549" s="10" t="n">
        <v>45785.6694444444</v>
      </c>
      <c r="F1549" s="10"/>
      <c r="G1549" s="0" t="n">
        <v>147.57</v>
      </c>
      <c r="H1549" s="0" t="n">
        <v>149.58</v>
      </c>
      <c r="I1549" s="11" t="n">
        <f aca="false">H1549-G1549</f>
        <v>2.01000000000002</v>
      </c>
      <c r="J1549" s="5" t="n">
        <f aca="false">IF(G1549=0,"",I1549/G1549)</f>
        <v>0.0136206546045946</v>
      </c>
      <c r="K1549" s="0" t="n">
        <v>39.3</v>
      </c>
      <c r="M1549" s="11" t="s">
        <v>2769</v>
      </c>
      <c r="N1549" s="12" t="n">
        <f aca="false">INT(E1549)</f>
        <v>45785</v>
      </c>
      <c r="O1549" s="12" t="str">
        <f aca="false">IF(F1549="","",INT(F1549))</f>
        <v/>
      </c>
    </row>
    <row r="1550" customFormat="false" ht="15" hidden="false" customHeight="false" outlineLevel="0" collapsed="false">
      <c r="A1550" s="0" t="s">
        <v>3142</v>
      </c>
      <c r="B1550" s="0" t="s">
        <v>3143</v>
      </c>
      <c r="C1550" s="0" t="s">
        <v>21</v>
      </c>
      <c r="D1550" s="0" t="s">
        <v>42</v>
      </c>
      <c r="E1550" s="10" t="n">
        <v>45785.6715277778</v>
      </c>
      <c r="F1550" s="10" t="n">
        <v>45786.3821296296</v>
      </c>
      <c r="G1550" s="0" t="n">
        <v>179.68</v>
      </c>
      <c r="H1550" s="0" t="n">
        <v>181.39</v>
      </c>
      <c r="I1550" s="11" t="n">
        <f aca="false">H1550-G1550</f>
        <v>1.70999999999998</v>
      </c>
      <c r="J1550" s="5" t="n">
        <f aca="false">IF(G1550=0,"",I1550/G1550)</f>
        <v>0.00951691896705242</v>
      </c>
      <c r="K1550" s="0" t="n">
        <v>23.3</v>
      </c>
      <c r="L1550" s="0" t="n">
        <v>17.05</v>
      </c>
      <c r="M1550" s="11" t="s">
        <v>2769</v>
      </c>
      <c r="N1550" s="12" t="n">
        <f aca="false">INT(E1550)</f>
        <v>45785</v>
      </c>
      <c r="O1550" s="12" t="n">
        <f aca="false">IF(F1550="","",INT(F1550))</f>
        <v>45786</v>
      </c>
    </row>
    <row r="1551" customFormat="false" ht="15" hidden="false" customHeight="false" outlineLevel="0" collapsed="false">
      <c r="A1551" s="0" t="s">
        <v>3144</v>
      </c>
      <c r="B1551" s="0" t="s">
        <v>3145</v>
      </c>
      <c r="C1551" s="0" t="s">
        <v>19</v>
      </c>
      <c r="D1551" s="0" t="s">
        <v>42</v>
      </c>
      <c r="E1551" s="10" t="n">
        <v>45785.7465277778</v>
      </c>
      <c r="F1551" s="10" t="n">
        <v>45786.4131944445</v>
      </c>
      <c r="G1551" s="0" t="n">
        <v>303.5</v>
      </c>
      <c r="H1551" s="0" t="n">
        <v>368.64</v>
      </c>
      <c r="I1551" s="11" t="n">
        <f aca="false">H1551-G1551</f>
        <v>65.14</v>
      </c>
      <c r="J1551" s="5" t="n">
        <f aca="false">IF(G1551=0,"",I1551/G1551)</f>
        <v>0.214629324546952</v>
      </c>
      <c r="K1551" s="0" t="n">
        <v>52.7</v>
      </c>
      <c r="L1551" s="0" t="n">
        <v>16</v>
      </c>
      <c r="M1551" s="11" t="s">
        <v>2769</v>
      </c>
      <c r="N1551" s="12" t="n">
        <f aca="false">INT(E1551)</f>
        <v>45785</v>
      </c>
      <c r="O1551" s="12" t="n">
        <f aca="false">IF(F1551="","",INT(F1551))</f>
        <v>45786</v>
      </c>
    </row>
    <row r="1552" customFormat="false" ht="15" hidden="false" customHeight="false" outlineLevel="0" collapsed="false">
      <c r="A1552" s="0" t="s">
        <v>3146</v>
      </c>
      <c r="B1552" s="0" t="s">
        <v>3147</v>
      </c>
      <c r="C1552" s="0" t="s">
        <v>24</v>
      </c>
      <c r="D1552" s="0" t="s">
        <v>48</v>
      </c>
      <c r="E1552" s="10" t="n">
        <v>45785.7590277778</v>
      </c>
      <c r="F1552" s="10"/>
      <c r="G1552" s="0" t="n">
        <v>186.37</v>
      </c>
      <c r="H1552" s="0" t="n">
        <v>199.65</v>
      </c>
      <c r="I1552" s="11" t="n">
        <f aca="false">H1552-G1552</f>
        <v>13.28</v>
      </c>
      <c r="J1552" s="5" t="n">
        <f aca="false">IF(G1552=0,"",I1552/G1552)</f>
        <v>0.0712561034501261</v>
      </c>
      <c r="K1552" s="0" t="n">
        <v>47.3</v>
      </c>
      <c r="M1552" s="11" t="s">
        <v>2769</v>
      </c>
      <c r="N1552" s="12" t="n">
        <f aca="false">INT(E1552)</f>
        <v>45785</v>
      </c>
      <c r="O1552" s="12" t="str">
        <f aca="false">IF(F1552="","",INT(F1552))</f>
        <v/>
      </c>
    </row>
    <row r="1553" customFormat="false" ht="15" hidden="false" customHeight="false" outlineLevel="0" collapsed="false">
      <c r="A1553" s="0" t="s">
        <v>3148</v>
      </c>
      <c r="B1553" s="0" t="s">
        <v>3149</v>
      </c>
      <c r="C1553" s="0" t="s">
        <v>19</v>
      </c>
      <c r="D1553" s="0" t="s">
        <v>42</v>
      </c>
      <c r="E1553" s="10" t="n">
        <v>45785.7604166667</v>
      </c>
      <c r="F1553" s="10" t="n">
        <v>45786.7201388889</v>
      </c>
      <c r="G1553" s="0" t="n">
        <v>465.62</v>
      </c>
      <c r="H1553" s="0" t="n">
        <v>485.87</v>
      </c>
      <c r="I1553" s="11" t="n">
        <f aca="false">H1553-G1553</f>
        <v>20.25</v>
      </c>
      <c r="J1553" s="5" t="n">
        <f aca="false">IF(G1553=0,"",I1553/G1553)</f>
        <v>0.0434903998969116</v>
      </c>
      <c r="K1553" s="0" t="n">
        <v>63.5</v>
      </c>
      <c r="L1553" s="0" t="n">
        <v>23.03</v>
      </c>
      <c r="M1553" s="11" t="s">
        <v>2769</v>
      </c>
      <c r="N1553" s="12" t="n">
        <f aca="false">INT(E1553)</f>
        <v>45785</v>
      </c>
      <c r="O1553" s="12" t="n">
        <f aca="false">IF(F1553="","",INT(F1553))</f>
        <v>45786</v>
      </c>
    </row>
    <row r="1554" customFormat="false" ht="15" hidden="false" customHeight="false" outlineLevel="0" collapsed="false">
      <c r="A1554" s="0" t="s">
        <v>3150</v>
      </c>
      <c r="B1554" s="0" t="s">
        <v>3151</v>
      </c>
      <c r="C1554" s="0" t="s">
        <v>23</v>
      </c>
      <c r="D1554" s="0" t="s">
        <v>42</v>
      </c>
      <c r="E1554" s="10" t="n">
        <v>45785.7604166667</v>
      </c>
      <c r="F1554" s="10" t="n">
        <v>45788.3263078704</v>
      </c>
      <c r="G1554" s="0" t="n">
        <v>182</v>
      </c>
      <c r="H1554" s="0" t="n">
        <v>182.54</v>
      </c>
      <c r="I1554" s="11" t="n">
        <f aca="false">H1554-G1554</f>
        <v>0.539999999999992</v>
      </c>
      <c r="J1554" s="5" t="n">
        <f aca="false">IF(G1554=0,"",I1554/G1554)</f>
        <v>0.00296703296703292</v>
      </c>
      <c r="K1554" s="0" t="n">
        <v>56.9</v>
      </c>
      <c r="L1554" s="0" t="n">
        <v>29.75</v>
      </c>
      <c r="M1554" s="11" t="s">
        <v>2769</v>
      </c>
      <c r="N1554" s="12" t="n">
        <f aca="false">INT(E1554)</f>
        <v>45785</v>
      </c>
      <c r="O1554" s="12" t="n">
        <f aca="false">IF(F1554="","",INT(F1554))</f>
        <v>45788</v>
      </c>
    </row>
    <row r="1555" customFormat="false" ht="15" hidden="false" customHeight="false" outlineLevel="0" collapsed="false">
      <c r="A1555" s="0" t="s">
        <v>3152</v>
      </c>
      <c r="B1555" s="0" t="s">
        <v>3153</v>
      </c>
      <c r="C1555" s="0" t="s">
        <v>22</v>
      </c>
      <c r="D1555" s="0" t="s">
        <v>42</v>
      </c>
      <c r="E1555" s="10" t="n">
        <v>45785.7875</v>
      </c>
      <c r="F1555" s="10" t="n">
        <v>45787.2555555556</v>
      </c>
      <c r="G1555" s="0" t="n">
        <v>305.27</v>
      </c>
      <c r="H1555" s="0" t="n">
        <v>295.13</v>
      </c>
      <c r="I1555" s="11" t="n">
        <f aca="false">H1555-G1555</f>
        <v>-10.14</v>
      </c>
      <c r="J1555" s="5" t="n">
        <f aca="false">IF(G1555=0,"",I1555/G1555)</f>
        <v>-0.0332164968716218</v>
      </c>
      <c r="K1555" s="0" t="n">
        <v>34.6</v>
      </c>
      <c r="L1555" s="0" t="n">
        <v>29.1</v>
      </c>
      <c r="M1555" s="11" t="s">
        <v>2769</v>
      </c>
      <c r="N1555" s="12" t="n">
        <f aca="false">INT(E1555)</f>
        <v>45785</v>
      </c>
      <c r="O1555" s="12" t="n">
        <f aca="false">IF(F1555="","",INT(F1555))</f>
        <v>45787</v>
      </c>
    </row>
    <row r="1556" customFormat="false" ht="15" hidden="false" customHeight="false" outlineLevel="0" collapsed="false">
      <c r="A1556" s="0" t="s">
        <v>3154</v>
      </c>
      <c r="B1556" s="0" t="s">
        <v>3155</v>
      </c>
      <c r="C1556" s="0" t="s">
        <v>23</v>
      </c>
      <c r="D1556" s="0" t="s">
        <v>42</v>
      </c>
      <c r="E1556" s="10" t="n">
        <v>45786.2986111111</v>
      </c>
      <c r="F1556" s="10" t="n">
        <v>45787.7840277778</v>
      </c>
      <c r="G1556" s="0" t="n">
        <v>285.71</v>
      </c>
      <c r="H1556" s="0" t="n">
        <v>284.73</v>
      </c>
      <c r="I1556" s="11" t="n">
        <f aca="false">H1556-G1556</f>
        <v>-0.979999999999961</v>
      </c>
      <c r="J1556" s="5" t="n">
        <f aca="false">IF(G1556=0,"",I1556/G1556)</f>
        <v>-0.00343005145077163</v>
      </c>
      <c r="K1556" s="0" t="n">
        <v>78.4</v>
      </c>
      <c r="L1556" s="0" t="n">
        <v>16.83</v>
      </c>
      <c r="M1556" s="11" t="s">
        <v>2769</v>
      </c>
      <c r="N1556" s="12" t="n">
        <f aca="false">INT(E1556)</f>
        <v>45786</v>
      </c>
      <c r="O1556" s="12" t="n">
        <f aca="false">IF(F1556="","",INT(F1556))</f>
        <v>45787</v>
      </c>
    </row>
    <row r="1557" customFormat="false" ht="15" hidden="false" customHeight="false" outlineLevel="0" collapsed="false">
      <c r="A1557" s="0" t="s">
        <v>3156</v>
      </c>
      <c r="B1557" s="0" t="s">
        <v>3157</v>
      </c>
      <c r="C1557" s="0" t="s">
        <v>20</v>
      </c>
      <c r="D1557" s="0" t="s">
        <v>42</v>
      </c>
      <c r="E1557" s="10" t="n">
        <v>45786.3006944444</v>
      </c>
      <c r="F1557" s="10" t="n">
        <v>45789.5491203704</v>
      </c>
      <c r="G1557" s="0" t="n">
        <v>66.52</v>
      </c>
      <c r="H1557" s="0" t="n">
        <v>66.01</v>
      </c>
      <c r="I1557" s="11" t="n">
        <f aca="false">H1557-G1557</f>
        <v>-0.509999999999991</v>
      </c>
      <c r="J1557" s="5" t="n">
        <f aca="false">IF(G1557=0,"",I1557/G1557)</f>
        <v>-0.00766686710763666</v>
      </c>
      <c r="K1557" s="0" t="n">
        <v>9.5</v>
      </c>
      <c r="L1557" s="0" t="n">
        <v>29.96</v>
      </c>
      <c r="M1557" s="11" t="s">
        <v>2769</v>
      </c>
      <c r="N1557" s="12" t="n">
        <f aca="false">INT(E1557)</f>
        <v>45786</v>
      </c>
      <c r="O1557" s="12" t="n">
        <f aca="false">IF(F1557="","",INT(F1557))</f>
        <v>45789</v>
      </c>
    </row>
    <row r="1558" customFormat="false" ht="15" hidden="false" customHeight="false" outlineLevel="0" collapsed="false">
      <c r="A1558" s="0" t="s">
        <v>3158</v>
      </c>
      <c r="B1558" s="0" t="s">
        <v>3159</v>
      </c>
      <c r="C1558" s="0" t="s">
        <v>20</v>
      </c>
      <c r="D1558" s="0" t="s">
        <v>42</v>
      </c>
      <c r="E1558" s="10" t="n">
        <v>45786.3097222222</v>
      </c>
      <c r="F1558" s="10" t="n">
        <v>45788.2368518519</v>
      </c>
      <c r="G1558" s="0" t="n">
        <v>677.53</v>
      </c>
      <c r="H1558" s="0" t="n">
        <v>679.05</v>
      </c>
      <c r="I1558" s="11" t="n">
        <f aca="false">H1558-G1558</f>
        <v>1.51999999999998</v>
      </c>
      <c r="J1558" s="5" t="n">
        <f aca="false">IF(G1558=0,"",I1558/G1558)</f>
        <v>0.00224344309477068</v>
      </c>
      <c r="K1558" s="0" t="n">
        <v>79.2</v>
      </c>
      <c r="L1558" s="0" t="n">
        <v>16.57</v>
      </c>
      <c r="M1558" s="11" t="s">
        <v>2769</v>
      </c>
      <c r="N1558" s="12" t="n">
        <f aca="false">INT(E1558)</f>
        <v>45786</v>
      </c>
      <c r="O1558" s="12" t="n">
        <f aca="false">IF(F1558="","",INT(F1558))</f>
        <v>45788</v>
      </c>
    </row>
    <row r="1559" customFormat="false" ht="15" hidden="false" customHeight="false" outlineLevel="0" collapsed="false">
      <c r="A1559" s="0" t="s">
        <v>3160</v>
      </c>
      <c r="B1559" s="0" t="s">
        <v>3161</v>
      </c>
      <c r="C1559" s="0" t="s">
        <v>21</v>
      </c>
      <c r="D1559" s="0" t="s">
        <v>48</v>
      </c>
      <c r="E1559" s="10" t="n">
        <v>45786.3166666667</v>
      </c>
      <c r="F1559" s="10"/>
      <c r="G1559" s="0" t="n">
        <v>280.81</v>
      </c>
      <c r="H1559" s="0" t="n">
        <v>284.98</v>
      </c>
      <c r="I1559" s="11" t="n">
        <f aca="false">H1559-G1559</f>
        <v>4.17000000000002</v>
      </c>
      <c r="J1559" s="5" t="n">
        <f aca="false">IF(G1559=0,"",I1559/G1559)</f>
        <v>0.014849898507888</v>
      </c>
      <c r="K1559" s="0" t="n">
        <v>55.1</v>
      </c>
      <c r="M1559" s="11" t="s">
        <v>2769</v>
      </c>
      <c r="N1559" s="12" t="n">
        <f aca="false">INT(E1559)</f>
        <v>45786</v>
      </c>
      <c r="O1559" s="12" t="str">
        <f aca="false">IF(F1559="","",INT(F1559))</f>
        <v/>
      </c>
    </row>
    <row r="1560" customFormat="false" ht="15" hidden="false" customHeight="false" outlineLevel="0" collapsed="false">
      <c r="A1560" s="0" t="s">
        <v>3162</v>
      </c>
      <c r="B1560" s="0" t="s">
        <v>3163</v>
      </c>
      <c r="C1560" s="0" t="s">
        <v>23</v>
      </c>
      <c r="D1560" s="0" t="s">
        <v>42</v>
      </c>
      <c r="E1560" s="10" t="n">
        <v>45786.3222222222</v>
      </c>
      <c r="F1560" s="10" t="n">
        <v>45787.3347222222</v>
      </c>
      <c r="G1560" s="0" t="n">
        <v>240.78</v>
      </c>
      <c r="H1560" s="0" t="n">
        <v>297.27</v>
      </c>
      <c r="I1560" s="11" t="n">
        <f aca="false">H1560-G1560</f>
        <v>56.49</v>
      </c>
      <c r="J1560" s="5" t="n">
        <f aca="false">IF(G1560=0,"",I1560/G1560)</f>
        <v>0.23461250934463</v>
      </c>
      <c r="K1560" s="0" t="n">
        <v>59.1</v>
      </c>
      <c r="L1560" s="0" t="n">
        <v>16.27</v>
      </c>
      <c r="M1560" s="11" t="s">
        <v>2769</v>
      </c>
      <c r="N1560" s="12" t="n">
        <f aca="false">INT(E1560)</f>
        <v>45786</v>
      </c>
      <c r="O1560" s="12" t="n">
        <f aca="false">IF(F1560="","",INT(F1560))</f>
        <v>45787</v>
      </c>
    </row>
    <row r="1561" customFormat="false" ht="15" hidden="false" customHeight="false" outlineLevel="0" collapsed="false">
      <c r="A1561" s="0" t="s">
        <v>3164</v>
      </c>
      <c r="B1561" s="0" t="s">
        <v>3165</v>
      </c>
      <c r="C1561" s="0" t="s">
        <v>21</v>
      </c>
      <c r="D1561" s="0" t="s">
        <v>42</v>
      </c>
      <c r="E1561" s="10" t="n">
        <v>45786.3368055556</v>
      </c>
      <c r="F1561" s="10" t="n">
        <v>45786.9131944445</v>
      </c>
      <c r="G1561" s="0" t="n">
        <v>1020.91</v>
      </c>
      <c r="H1561" s="0" t="n">
        <v>1041.78</v>
      </c>
      <c r="I1561" s="11" t="n">
        <f aca="false">H1561-G1561</f>
        <v>20.87</v>
      </c>
      <c r="J1561" s="5" t="n">
        <f aca="false">IF(G1561=0,"",I1561/G1561)</f>
        <v>0.0204425463557023</v>
      </c>
      <c r="K1561" s="0" t="n">
        <v>258.9</v>
      </c>
      <c r="L1561" s="0" t="n">
        <v>13.83</v>
      </c>
      <c r="M1561" s="11" t="s">
        <v>2769</v>
      </c>
      <c r="N1561" s="12" t="n">
        <f aca="false">INT(E1561)</f>
        <v>45786</v>
      </c>
      <c r="O1561" s="12" t="n">
        <f aca="false">IF(F1561="","",INT(F1561))</f>
        <v>45786</v>
      </c>
    </row>
    <row r="1562" customFormat="false" ht="15" hidden="false" customHeight="false" outlineLevel="0" collapsed="false">
      <c r="A1562" s="0" t="s">
        <v>3166</v>
      </c>
      <c r="B1562" s="0" t="s">
        <v>3167</v>
      </c>
      <c r="C1562" s="0" t="s">
        <v>21</v>
      </c>
      <c r="D1562" s="0" t="s">
        <v>42</v>
      </c>
      <c r="E1562" s="10" t="n">
        <v>45786.3520833333</v>
      </c>
      <c r="F1562" s="10" t="n">
        <v>45787.54375</v>
      </c>
      <c r="G1562" s="0" t="n">
        <v>1715.55</v>
      </c>
      <c r="H1562" s="0" t="n">
        <v>1617.48</v>
      </c>
      <c r="I1562" s="11" t="n">
        <f aca="false">H1562-G1562</f>
        <v>-98.0699999999999</v>
      </c>
      <c r="J1562" s="5" t="n">
        <f aca="false">IF(G1562=0,"",I1562/G1562)</f>
        <v>-0.057165340561336</v>
      </c>
      <c r="K1562" s="0" t="n">
        <v>256.9</v>
      </c>
      <c r="L1562" s="0" t="n">
        <v>15.55</v>
      </c>
      <c r="M1562" s="11" t="s">
        <v>2769</v>
      </c>
      <c r="N1562" s="12" t="n">
        <f aca="false">INT(E1562)</f>
        <v>45786</v>
      </c>
      <c r="O1562" s="12" t="n">
        <f aca="false">IF(F1562="","",INT(F1562))</f>
        <v>45787</v>
      </c>
    </row>
    <row r="1563" customFormat="false" ht="15" hidden="false" customHeight="false" outlineLevel="0" collapsed="false">
      <c r="A1563" s="0" t="s">
        <v>3168</v>
      </c>
      <c r="B1563" s="0" t="s">
        <v>3169</v>
      </c>
      <c r="C1563" s="0" t="s">
        <v>21</v>
      </c>
      <c r="D1563" s="0" t="s">
        <v>42</v>
      </c>
      <c r="E1563" s="10" t="n">
        <v>45786.3645833333</v>
      </c>
      <c r="F1563" s="10" t="n">
        <v>45787.7597222222</v>
      </c>
      <c r="G1563" s="0" t="n">
        <v>167.74</v>
      </c>
      <c r="H1563" s="0" t="n">
        <v>167.88</v>
      </c>
      <c r="I1563" s="11" t="n">
        <f aca="false">H1563-G1563</f>
        <v>0.139999999999986</v>
      </c>
      <c r="J1563" s="5" t="n">
        <f aca="false">IF(G1563=0,"",I1563/G1563)</f>
        <v>0.000834625014903937</v>
      </c>
      <c r="K1563" s="0" t="n">
        <v>40.3</v>
      </c>
      <c r="L1563" s="0" t="n">
        <v>15.25</v>
      </c>
      <c r="M1563" s="11" t="s">
        <v>2769</v>
      </c>
      <c r="N1563" s="12" t="n">
        <f aca="false">INT(E1563)</f>
        <v>45786</v>
      </c>
      <c r="O1563" s="12" t="n">
        <f aca="false">IF(F1563="","",INT(F1563))</f>
        <v>45787</v>
      </c>
    </row>
    <row r="1564" customFormat="false" ht="15" hidden="false" customHeight="false" outlineLevel="0" collapsed="false">
      <c r="A1564" s="0" t="s">
        <v>3170</v>
      </c>
      <c r="B1564" s="0" t="s">
        <v>3171</v>
      </c>
      <c r="C1564" s="0" t="s">
        <v>21</v>
      </c>
      <c r="D1564" s="0" t="s">
        <v>42</v>
      </c>
      <c r="E1564" s="10" t="n">
        <v>45786.3729166667</v>
      </c>
      <c r="F1564" s="10" t="n">
        <v>45786.6333333333</v>
      </c>
      <c r="G1564" s="0" t="n">
        <v>398.51</v>
      </c>
      <c r="H1564" s="0" t="n">
        <v>406.96</v>
      </c>
      <c r="I1564" s="11" t="n">
        <f aca="false">H1564-G1564</f>
        <v>8.44999999999999</v>
      </c>
      <c r="J1564" s="5" t="n">
        <f aca="false">IF(G1564=0,"",I1564/G1564)</f>
        <v>0.0212039848435422</v>
      </c>
      <c r="K1564" s="0" t="n">
        <v>73.5</v>
      </c>
      <c r="L1564" s="0" t="n">
        <v>6.25</v>
      </c>
      <c r="M1564" s="11" t="s">
        <v>2769</v>
      </c>
      <c r="N1564" s="12" t="n">
        <f aca="false">INT(E1564)</f>
        <v>45786</v>
      </c>
      <c r="O1564" s="12" t="n">
        <f aca="false">IF(F1564="","",INT(F1564))</f>
        <v>45786</v>
      </c>
    </row>
    <row r="1565" customFormat="false" ht="15" hidden="false" customHeight="false" outlineLevel="0" collapsed="false">
      <c r="A1565" s="0" t="s">
        <v>3172</v>
      </c>
      <c r="B1565" s="0" t="s">
        <v>3173</v>
      </c>
      <c r="C1565" s="0" t="s">
        <v>22</v>
      </c>
      <c r="D1565" s="0" t="s">
        <v>42</v>
      </c>
      <c r="E1565" s="10" t="n">
        <v>45786.3895833333</v>
      </c>
      <c r="F1565" s="10" t="n">
        <v>45787.4853009259</v>
      </c>
      <c r="G1565" s="0" t="n">
        <v>154.99</v>
      </c>
      <c r="H1565" s="0" t="n">
        <v>154.81</v>
      </c>
      <c r="I1565" s="11" t="n">
        <f aca="false">H1565-G1565</f>
        <v>-0.180000000000007</v>
      </c>
      <c r="J1565" s="5" t="n">
        <f aca="false">IF(G1565=0,"",I1565/G1565)</f>
        <v>-0.00116136524937097</v>
      </c>
      <c r="K1565" s="0" t="n">
        <v>23.5</v>
      </c>
      <c r="L1565" s="0" t="n">
        <v>14.65</v>
      </c>
      <c r="M1565" s="11" t="s">
        <v>2769</v>
      </c>
      <c r="N1565" s="12" t="n">
        <f aca="false">INT(E1565)</f>
        <v>45786</v>
      </c>
      <c r="O1565" s="12" t="n">
        <f aca="false">IF(F1565="","",INT(F1565))</f>
        <v>45787</v>
      </c>
    </row>
    <row r="1566" customFormat="false" ht="15" hidden="false" customHeight="false" outlineLevel="0" collapsed="false">
      <c r="A1566" s="0" t="s">
        <v>3174</v>
      </c>
      <c r="B1566" s="0" t="s">
        <v>3175</v>
      </c>
      <c r="C1566" s="0" t="s">
        <v>20</v>
      </c>
      <c r="D1566" s="0" t="s">
        <v>42</v>
      </c>
      <c r="E1566" s="10" t="n">
        <v>45786.3944444444</v>
      </c>
      <c r="F1566" s="10" t="n">
        <v>45788.0935532407</v>
      </c>
      <c r="G1566" s="0" t="n">
        <v>305.76</v>
      </c>
      <c r="H1566" s="0" t="n">
        <v>227.21</v>
      </c>
      <c r="I1566" s="11" t="n">
        <f aca="false">H1566-G1566</f>
        <v>-78.55</v>
      </c>
      <c r="J1566" s="5" t="n">
        <f aca="false">IF(G1566=0,"",I1566/G1566)</f>
        <v>-0.25690083725798</v>
      </c>
      <c r="K1566" s="0" t="n">
        <v>59.4</v>
      </c>
      <c r="L1566" s="0" t="n">
        <v>14.53</v>
      </c>
      <c r="M1566" s="11" t="s">
        <v>2769</v>
      </c>
      <c r="N1566" s="12" t="n">
        <f aca="false">INT(E1566)</f>
        <v>45786</v>
      </c>
      <c r="O1566" s="12" t="n">
        <f aca="false">IF(F1566="","",INT(F1566))</f>
        <v>45788</v>
      </c>
    </row>
    <row r="1567" customFormat="false" ht="15" hidden="false" customHeight="false" outlineLevel="0" collapsed="false">
      <c r="A1567" s="0" t="s">
        <v>3176</v>
      </c>
      <c r="B1567" s="0" t="s">
        <v>3177</v>
      </c>
      <c r="C1567" s="0" t="s">
        <v>23</v>
      </c>
      <c r="D1567" s="0" t="s">
        <v>42</v>
      </c>
      <c r="E1567" s="10" t="n">
        <v>45786.4013888889</v>
      </c>
      <c r="F1567" s="10" t="n">
        <v>45788.0904976852</v>
      </c>
      <c r="G1567" s="0" t="n">
        <v>252.71</v>
      </c>
      <c r="H1567" s="0" t="n">
        <v>260.01</v>
      </c>
      <c r="I1567" s="11" t="n">
        <f aca="false">H1567-G1567</f>
        <v>7.29999999999998</v>
      </c>
      <c r="J1567" s="5" t="n">
        <f aca="false">IF(G1567=0,"",I1567/G1567)</f>
        <v>0.0288868663685647</v>
      </c>
      <c r="K1567" s="0" t="n">
        <v>54.9</v>
      </c>
      <c r="L1567" s="0" t="n">
        <v>14.37</v>
      </c>
      <c r="M1567" s="11" t="s">
        <v>2769</v>
      </c>
      <c r="N1567" s="12" t="n">
        <f aca="false">INT(E1567)</f>
        <v>45786</v>
      </c>
      <c r="O1567" s="12" t="n">
        <f aca="false">IF(F1567="","",INT(F1567))</f>
        <v>45788</v>
      </c>
    </row>
    <row r="1568" customFormat="false" ht="15" hidden="false" customHeight="false" outlineLevel="0" collapsed="false">
      <c r="A1568" s="0" t="s">
        <v>3178</v>
      </c>
      <c r="B1568" s="0" t="s">
        <v>3179</v>
      </c>
      <c r="C1568" s="0" t="s">
        <v>21</v>
      </c>
      <c r="D1568" s="0" t="s">
        <v>42</v>
      </c>
      <c r="E1568" s="10" t="n">
        <v>45786.4048611111</v>
      </c>
      <c r="F1568" s="10" t="n">
        <v>45787.8034722222</v>
      </c>
      <c r="G1568" s="0" t="n">
        <v>711.77</v>
      </c>
      <c r="H1568" s="0" t="n">
        <v>728.87</v>
      </c>
      <c r="I1568" s="11" t="n">
        <f aca="false">H1568-G1568</f>
        <v>17.1</v>
      </c>
      <c r="J1568" s="5" t="n">
        <f aca="false">IF(G1568=0,"",I1568/G1568)</f>
        <v>0.0240246146929486</v>
      </c>
      <c r="K1568" s="0" t="n">
        <v>94.1</v>
      </c>
      <c r="L1568" s="0" t="n">
        <v>14.28</v>
      </c>
      <c r="M1568" s="11" t="s">
        <v>2769</v>
      </c>
      <c r="N1568" s="12" t="n">
        <f aca="false">INT(E1568)</f>
        <v>45786</v>
      </c>
      <c r="O1568" s="12" t="n">
        <f aca="false">IF(F1568="","",INT(F1568))</f>
        <v>45787</v>
      </c>
    </row>
    <row r="1569" customFormat="false" ht="15" hidden="false" customHeight="false" outlineLevel="0" collapsed="false">
      <c r="A1569" s="0" t="s">
        <v>3180</v>
      </c>
      <c r="B1569" s="0" t="s">
        <v>3181</v>
      </c>
      <c r="C1569" s="0" t="s">
        <v>23</v>
      </c>
      <c r="D1569" s="0" t="s">
        <v>42</v>
      </c>
      <c r="E1569" s="10" t="n">
        <v>45786.4083333333</v>
      </c>
      <c r="F1569" s="10" t="n">
        <v>45786.86875</v>
      </c>
      <c r="G1569" s="0" t="n">
        <v>1100.02</v>
      </c>
      <c r="H1569" s="0" t="n">
        <v>1069.87</v>
      </c>
      <c r="I1569" s="11" t="n">
        <f aca="false">H1569-G1569</f>
        <v>-30.1500000000001</v>
      </c>
      <c r="J1569" s="5" t="n">
        <f aca="false">IF(G1569=0,"",I1569/G1569)</f>
        <v>-0.0274085925710442</v>
      </c>
      <c r="K1569" s="0" t="n">
        <v>457.9</v>
      </c>
      <c r="L1569" s="0" t="n">
        <v>11.05</v>
      </c>
      <c r="M1569" s="11" t="s">
        <v>2769</v>
      </c>
      <c r="N1569" s="12" t="n">
        <f aca="false">INT(E1569)</f>
        <v>45786</v>
      </c>
      <c r="O1569" s="12" t="n">
        <f aca="false">IF(F1569="","",INT(F1569))</f>
        <v>45786</v>
      </c>
    </row>
    <row r="1570" customFormat="false" ht="15" hidden="false" customHeight="false" outlineLevel="0" collapsed="false">
      <c r="A1570" s="0" t="s">
        <v>3182</v>
      </c>
      <c r="B1570" s="0" t="s">
        <v>3183</v>
      </c>
      <c r="C1570" s="0" t="s">
        <v>21</v>
      </c>
      <c r="D1570" s="0" t="s">
        <v>42</v>
      </c>
      <c r="E1570" s="10" t="n">
        <v>45786.4166666667</v>
      </c>
      <c r="F1570" s="10" t="n">
        <v>45786.9461574074</v>
      </c>
      <c r="G1570" s="0" t="n">
        <v>714.71</v>
      </c>
      <c r="H1570" s="0" t="n">
        <v>617.18</v>
      </c>
      <c r="I1570" s="11" t="n">
        <f aca="false">H1570-G1570</f>
        <v>-97.5300000000001</v>
      </c>
      <c r="J1570" s="5" t="n">
        <f aca="false">IF(G1570=0,"",I1570/G1570)</f>
        <v>-0.136460942200333</v>
      </c>
      <c r="K1570" s="0" t="n">
        <v>183.3</v>
      </c>
      <c r="L1570" s="0" t="n">
        <v>12.71</v>
      </c>
      <c r="M1570" s="11" t="s">
        <v>2769</v>
      </c>
      <c r="N1570" s="12" t="n">
        <f aca="false">INT(E1570)</f>
        <v>45786</v>
      </c>
      <c r="O1570" s="12" t="n">
        <f aca="false">IF(F1570="","",INT(F1570))</f>
        <v>45786</v>
      </c>
    </row>
    <row r="1571" customFormat="false" ht="15" hidden="false" customHeight="false" outlineLevel="0" collapsed="false">
      <c r="A1571" s="0" t="s">
        <v>3184</v>
      </c>
      <c r="B1571" s="0" t="s">
        <v>3185</v>
      </c>
      <c r="C1571" s="0" t="s">
        <v>23</v>
      </c>
      <c r="D1571" s="0" t="s">
        <v>42</v>
      </c>
      <c r="E1571" s="10" t="n">
        <v>45786.425</v>
      </c>
      <c r="F1571" s="10" t="n">
        <v>45788.4631944444</v>
      </c>
      <c r="G1571" s="0" t="n">
        <v>292.38</v>
      </c>
      <c r="H1571" s="0" t="n">
        <v>284.98</v>
      </c>
      <c r="I1571" s="11" t="n">
        <f aca="false">H1571-G1571</f>
        <v>-7.39999999999998</v>
      </c>
      <c r="J1571" s="5" t="n">
        <f aca="false">IF(G1571=0,"",I1571/G1571)</f>
        <v>-0.0253095286955331</v>
      </c>
      <c r="K1571" s="0" t="n">
        <v>60.1</v>
      </c>
      <c r="L1571" s="0" t="n">
        <v>13.8</v>
      </c>
      <c r="M1571" s="11" t="s">
        <v>2769</v>
      </c>
      <c r="N1571" s="12" t="n">
        <f aca="false">INT(E1571)</f>
        <v>45786</v>
      </c>
      <c r="O1571" s="12" t="n">
        <f aca="false">IF(F1571="","",INT(F1571))</f>
        <v>45788</v>
      </c>
    </row>
    <row r="1572" customFormat="false" ht="15" hidden="false" customHeight="false" outlineLevel="0" collapsed="false">
      <c r="A1572" s="0" t="s">
        <v>3186</v>
      </c>
      <c r="B1572" s="0" t="s">
        <v>3187</v>
      </c>
      <c r="C1572" s="0" t="s">
        <v>19</v>
      </c>
      <c r="D1572" s="0" t="s">
        <v>42</v>
      </c>
      <c r="E1572" s="10" t="n">
        <v>45786.4326388889</v>
      </c>
      <c r="F1572" s="10" t="n">
        <v>45787.1400462963</v>
      </c>
      <c r="G1572" s="0" t="n">
        <v>431.04</v>
      </c>
      <c r="H1572" s="0" t="n">
        <v>431.89</v>
      </c>
      <c r="I1572" s="11" t="n">
        <f aca="false">H1572-G1572</f>
        <v>0.849999999999966</v>
      </c>
      <c r="J1572" s="5" t="n">
        <f aca="false">IF(G1572=0,"",I1572/G1572)</f>
        <v>0.00197197475872301</v>
      </c>
      <c r="K1572" s="0" t="n">
        <v>40.8</v>
      </c>
      <c r="L1572" s="0" t="n">
        <v>13.62</v>
      </c>
      <c r="M1572" s="11" t="s">
        <v>2769</v>
      </c>
      <c r="N1572" s="12" t="n">
        <f aca="false">INT(E1572)</f>
        <v>45786</v>
      </c>
      <c r="O1572" s="12" t="n">
        <f aca="false">IF(F1572="","",INT(F1572))</f>
        <v>45787</v>
      </c>
    </row>
    <row r="1573" customFormat="false" ht="15" hidden="false" customHeight="false" outlineLevel="0" collapsed="false">
      <c r="A1573" s="0" t="s">
        <v>3188</v>
      </c>
      <c r="B1573" s="0" t="s">
        <v>3189</v>
      </c>
      <c r="C1573" s="0" t="s">
        <v>23</v>
      </c>
      <c r="D1573" s="0" t="s">
        <v>42</v>
      </c>
      <c r="E1573" s="10" t="n">
        <v>45786.4527777778</v>
      </c>
      <c r="F1573" s="10" t="n">
        <v>45789.3000115741</v>
      </c>
      <c r="G1573" s="0" t="n">
        <v>229</v>
      </c>
      <c r="H1573" s="0" t="n">
        <v>230.37</v>
      </c>
      <c r="I1573" s="11" t="n">
        <f aca="false">H1573-G1573</f>
        <v>1.37</v>
      </c>
      <c r="J1573" s="5" t="n">
        <f aca="false">IF(G1573=0,"",I1573/G1573)</f>
        <v>0.00598253275109172</v>
      </c>
      <c r="K1573" s="0" t="n">
        <v>49.7</v>
      </c>
      <c r="L1573" s="0" t="n">
        <v>20.33</v>
      </c>
      <c r="M1573" s="11" t="s">
        <v>2769</v>
      </c>
      <c r="N1573" s="12" t="n">
        <f aca="false">INT(E1573)</f>
        <v>45786</v>
      </c>
      <c r="O1573" s="12" t="n">
        <f aca="false">IF(F1573="","",INT(F1573))</f>
        <v>45789</v>
      </c>
    </row>
    <row r="1574" customFormat="false" ht="15" hidden="false" customHeight="false" outlineLevel="0" collapsed="false">
      <c r="A1574" s="0" t="s">
        <v>3190</v>
      </c>
      <c r="B1574" s="0" t="s">
        <v>3191</v>
      </c>
      <c r="C1574" s="0" t="s">
        <v>19</v>
      </c>
      <c r="D1574" s="0" t="s">
        <v>42</v>
      </c>
      <c r="E1574" s="10" t="n">
        <v>45786.4791666667</v>
      </c>
      <c r="F1574" s="10" t="n">
        <v>45788.9541666667</v>
      </c>
      <c r="G1574" s="0" t="n">
        <v>929.79</v>
      </c>
      <c r="H1574" s="0" t="n">
        <v>964.7</v>
      </c>
      <c r="I1574" s="11" t="n">
        <f aca="false">H1574-G1574</f>
        <v>34.9100000000001</v>
      </c>
      <c r="J1574" s="5" t="n">
        <f aca="false">IF(G1574=0,"",I1574/G1574)</f>
        <v>0.037546112563052</v>
      </c>
      <c r="K1574" s="0" t="n">
        <v>124.6</v>
      </c>
      <c r="L1574" s="0" t="n">
        <v>12.5</v>
      </c>
      <c r="M1574" s="11" t="s">
        <v>2769</v>
      </c>
      <c r="N1574" s="12" t="n">
        <f aca="false">INT(E1574)</f>
        <v>45786</v>
      </c>
      <c r="O1574" s="12" t="n">
        <f aca="false">IF(F1574="","",INT(F1574))</f>
        <v>45788</v>
      </c>
    </row>
    <row r="1575" customFormat="false" ht="15" hidden="false" customHeight="false" outlineLevel="0" collapsed="false">
      <c r="A1575" s="0" t="s">
        <v>3192</v>
      </c>
      <c r="B1575" s="0" t="s">
        <v>3193</v>
      </c>
      <c r="C1575" s="0" t="s">
        <v>23</v>
      </c>
      <c r="D1575" s="0" t="s">
        <v>42</v>
      </c>
      <c r="E1575" s="10" t="n">
        <v>45786.5013888889</v>
      </c>
      <c r="F1575" s="10" t="n">
        <v>45787.9377083333</v>
      </c>
      <c r="G1575" s="0" t="n">
        <v>1629.21</v>
      </c>
      <c r="H1575" s="0" t="n">
        <v>1623.52</v>
      </c>
      <c r="I1575" s="11" t="n">
        <f aca="false">H1575-G1575</f>
        <v>-5.69000000000006</v>
      </c>
      <c r="J1575" s="5" t="n">
        <f aca="false">IF(G1575=0,"",I1575/G1575)</f>
        <v>-0.00349249022532396</v>
      </c>
      <c r="K1575" s="0" t="n">
        <v>665.7</v>
      </c>
      <c r="L1575" s="0" t="n">
        <v>11.97</v>
      </c>
      <c r="M1575" s="11" t="s">
        <v>2769</v>
      </c>
      <c r="N1575" s="12" t="n">
        <f aca="false">INT(E1575)</f>
        <v>45786</v>
      </c>
      <c r="O1575" s="12" t="n">
        <f aca="false">IF(F1575="","",INT(F1575))</f>
        <v>45787</v>
      </c>
    </row>
    <row r="1576" customFormat="false" ht="15" hidden="false" customHeight="false" outlineLevel="0" collapsed="false">
      <c r="A1576" s="0" t="s">
        <v>3194</v>
      </c>
      <c r="B1576" s="0" t="s">
        <v>3195</v>
      </c>
      <c r="C1576" s="0" t="s">
        <v>24</v>
      </c>
      <c r="D1576" s="0" t="s">
        <v>42</v>
      </c>
      <c r="E1576" s="10" t="n">
        <v>45786.5222222222</v>
      </c>
      <c r="F1576" s="10" t="n">
        <v>45790.0180555556</v>
      </c>
      <c r="G1576" s="0" t="n">
        <v>263.97</v>
      </c>
      <c r="H1576" s="0" t="n">
        <v>264.73</v>
      </c>
      <c r="I1576" s="11" t="n">
        <f aca="false">H1576-G1576</f>
        <v>0.759999999999991</v>
      </c>
      <c r="J1576" s="5" t="n">
        <f aca="false">IF(G1576=0,"",I1576/G1576)</f>
        <v>0.00287911505095273</v>
      </c>
      <c r="K1576" s="0" t="n">
        <v>72.4</v>
      </c>
      <c r="L1576" s="0" t="n">
        <v>35.9</v>
      </c>
      <c r="M1576" s="11" t="s">
        <v>2769</v>
      </c>
      <c r="N1576" s="12" t="n">
        <f aca="false">INT(E1576)</f>
        <v>45786</v>
      </c>
      <c r="O1576" s="12" t="n">
        <f aca="false">IF(F1576="","",INT(F1576))</f>
        <v>45790</v>
      </c>
    </row>
    <row r="1577" customFormat="false" ht="15" hidden="false" customHeight="false" outlineLevel="0" collapsed="false">
      <c r="A1577" s="0" t="s">
        <v>3196</v>
      </c>
      <c r="B1577" s="0" t="s">
        <v>3197</v>
      </c>
      <c r="C1577" s="0" t="s">
        <v>21</v>
      </c>
      <c r="D1577" s="0" t="s">
        <v>42</v>
      </c>
      <c r="E1577" s="10" t="n">
        <v>45786.5368055556</v>
      </c>
      <c r="F1577" s="10" t="n">
        <v>45787.8089814815</v>
      </c>
      <c r="G1577" s="0" t="n">
        <v>740.09</v>
      </c>
      <c r="H1577" s="0" t="n">
        <v>734.21</v>
      </c>
      <c r="I1577" s="11" t="n">
        <f aca="false">H1577-G1577</f>
        <v>-5.88</v>
      </c>
      <c r="J1577" s="5" t="n">
        <f aca="false">IF(G1577=0,"",I1577/G1577)</f>
        <v>-0.00794497966463538</v>
      </c>
      <c r="K1577" s="0" t="n">
        <v>163.8</v>
      </c>
      <c r="L1577" s="0" t="n">
        <v>11.12</v>
      </c>
      <c r="M1577" s="11" t="s">
        <v>2769</v>
      </c>
      <c r="N1577" s="12" t="n">
        <f aca="false">INT(E1577)</f>
        <v>45786</v>
      </c>
      <c r="O1577" s="12" t="n">
        <f aca="false">IF(F1577="","",INT(F1577))</f>
        <v>45787</v>
      </c>
    </row>
    <row r="1578" customFormat="false" ht="15" hidden="false" customHeight="false" outlineLevel="0" collapsed="false">
      <c r="A1578" s="0" t="s">
        <v>3198</v>
      </c>
      <c r="B1578" s="0" t="s">
        <v>3199</v>
      </c>
      <c r="C1578" s="0" t="s">
        <v>20</v>
      </c>
      <c r="D1578" s="0" t="s">
        <v>42</v>
      </c>
      <c r="E1578" s="10" t="n">
        <v>45786.5576388889</v>
      </c>
      <c r="F1578" s="10" t="n">
        <v>45787.5881944444</v>
      </c>
      <c r="G1578" s="0" t="n">
        <v>313.06</v>
      </c>
      <c r="H1578" s="0" t="n">
        <v>315.8</v>
      </c>
      <c r="I1578" s="11" t="n">
        <f aca="false">H1578-G1578</f>
        <v>2.74000000000001</v>
      </c>
      <c r="J1578" s="5" t="n">
        <f aca="false">IF(G1578=0,"",I1578/G1578)</f>
        <v>0.00875231584999684</v>
      </c>
      <c r="K1578" s="0" t="n">
        <v>39.8</v>
      </c>
      <c r="L1578" s="0" t="n">
        <v>10.62</v>
      </c>
      <c r="M1578" s="11" t="s">
        <v>2769</v>
      </c>
      <c r="N1578" s="12" t="n">
        <f aca="false">INT(E1578)</f>
        <v>45786</v>
      </c>
      <c r="O1578" s="12" t="n">
        <f aca="false">IF(F1578="","",INT(F1578))</f>
        <v>45787</v>
      </c>
    </row>
    <row r="1579" customFormat="false" ht="15" hidden="false" customHeight="false" outlineLevel="0" collapsed="false">
      <c r="A1579" s="0" t="s">
        <v>3200</v>
      </c>
      <c r="B1579" s="0" t="s">
        <v>3201</v>
      </c>
      <c r="C1579" s="0" t="s">
        <v>20</v>
      </c>
      <c r="D1579" s="0" t="s">
        <v>42</v>
      </c>
      <c r="E1579" s="10" t="n">
        <v>45786.5659722222</v>
      </c>
      <c r="F1579" s="10" t="n">
        <v>45787.8334953704</v>
      </c>
      <c r="G1579" s="0" t="n">
        <v>588.79</v>
      </c>
      <c r="H1579" s="0" t="n">
        <v>597.9</v>
      </c>
      <c r="I1579" s="11" t="n">
        <f aca="false">H1579-G1579</f>
        <v>9.11000000000001</v>
      </c>
      <c r="J1579" s="5" t="n">
        <f aca="false">IF(G1579=0,"",I1579/G1579)</f>
        <v>0.0154724095178247</v>
      </c>
      <c r="K1579" s="0" t="n">
        <v>105</v>
      </c>
      <c r="L1579" s="0" t="n">
        <v>10.42</v>
      </c>
      <c r="M1579" s="11" t="s">
        <v>2769</v>
      </c>
      <c r="N1579" s="12" t="n">
        <f aca="false">INT(E1579)</f>
        <v>45786</v>
      </c>
      <c r="O1579" s="12" t="n">
        <f aca="false">IF(F1579="","",INT(F1579))</f>
        <v>45787</v>
      </c>
    </row>
    <row r="1580" customFormat="false" ht="15" hidden="false" customHeight="false" outlineLevel="0" collapsed="false">
      <c r="A1580" s="0" t="s">
        <v>3202</v>
      </c>
      <c r="B1580" s="0" t="s">
        <v>3203</v>
      </c>
      <c r="C1580" s="0" t="s">
        <v>19</v>
      </c>
      <c r="D1580" s="0" t="s">
        <v>42</v>
      </c>
      <c r="E1580" s="10" t="n">
        <v>45786.6055555556</v>
      </c>
      <c r="F1580" s="10" t="n">
        <v>45789.5013888889</v>
      </c>
      <c r="G1580" s="0" t="n">
        <v>890.13</v>
      </c>
      <c r="H1580" s="0" t="n">
        <v>884.18</v>
      </c>
      <c r="I1580" s="11" t="n">
        <f aca="false">H1580-G1580</f>
        <v>-5.95000000000005</v>
      </c>
      <c r="J1580" s="5" t="n">
        <f aca="false">IF(G1580=0,"",I1580/G1580)</f>
        <v>-0.00668441688292726</v>
      </c>
      <c r="K1580" s="0" t="n">
        <v>107.4</v>
      </c>
      <c r="L1580" s="0" t="n">
        <v>21.5</v>
      </c>
      <c r="M1580" s="11" t="s">
        <v>2769</v>
      </c>
      <c r="N1580" s="12" t="n">
        <f aca="false">INT(E1580)</f>
        <v>45786</v>
      </c>
      <c r="O1580" s="12" t="n">
        <f aca="false">IF(F1580="","",INT(F1580))</f>
        <v>45789</v>
      </c>
    </row>
    <row r="1581" customFormat="false" ht="15" hidden="false" customHeight="false" outlineLevel="0" collapsed="false">
      <c r="A1581" s="0" t="s">
        <v>3204</v>
      </c>
      <c r="B1581" s="0" t="s">
        <v>3205</v>
      </c>
      <c r="C1581" s="0" t="s">
        <v>19</v>
      </c>
      <c r="D1581" s="0" t="s">
        <v>42</v>
      </c>
      <c r="E1581" s="10" t="n">
        <v>45786.6159722222</v>
      </c>
      <c r="F1581" s="10" t="n">
        <v>45787.9750810185</v>
      </c>
      <c r="G1581" s="0" t="n">
        <v>302.41</v>
      </c>
      <c r="H1581" s="0" t="n">
        <v>297.15</v>
      </c>
      <c r="I1581" s="11" t="n">
        <f aca="false">H1581-G1581</f>
        <v>-5.26000000000005</v>
      </c>
      <c r="J1581" s="5" t="n">
        <f aca="false">IF(G1581=0,"",I1581/G1581)</f>
        <v>-0.0173936047088392</v>
      </c>
      <c r="K1581" s="0" t="n">
        <v>44.9</v>
      </c>
      <c r="L1581" s="0" t="n">
        <v>9.22</v>
      </c>
      <c r="M1581" s="11" t="s">
        <v>2769</v>
      </c>
      <c r="N1581" s="12" t="n">
        <f aca="false">INT(E1581)</f>
        <v>45786</v>
      </c>
      <c r="O1581" s="12" t="n">
        <f aca="false">IF(F1581="","",INT(F1581))</f>
        <v>45787</v>
      </c>
    </row>
    <row r="1582" customFormat="false" ht="15" hidden="false" customHeight="false" outlineLevel="0" collapsed="false">
      <c r="A1582" s="0" t="s">
        <v>3206</v>
      </c>
      <c r="B1582" s="0" t="s">
        <v>3207</v>
      </c>
      <c r="C1582" s="0" t="s">
        <v>21</v>
      </c>
      <c r="D1582" s="0" t="s">
        <v>42</v>
      </c>
      <c r="E1582" s="10" t="n">
        <v>45786.6354166667</v>
      </c>
      <c r="F1582" s="10" t="n">
        <v>45786.9895833333</v>
      </c>
      <c r="G1582" s="0" t="n">
        <v>243.62</v>
      </c>
      <c r="H1582" s="0" t="n">
        <v>246.64</v>
      </c>
      <c r="I1582" s="11" t="n">
        <f aca="false">H1582-G1582</f>
        <v>3.01999999999998</v>
      </c>
      <c r="J1582" s="5" t="n">
        <f aca="false">IF(G1582=0,"",I1582/G1582)</f>
        <v>0.0123963549790657</v>
      </c>
      <c r="K1582" s="0" t="n">
        <v>46.3</v>
      </c>
      <c r="L1582" s="0" t="n">
        <v>8.5</v>
      </c>
      <c r="M1582" s="11" t="s">
        <v>2769</v>
      </c>
      <c r="N1582" s="12" t="n">
        <f aca="false">INT(E1582)</f>
        <v>45786</v>
      </c>
      <c r="O1582" s="12" t="n">
        <f aca="false">IF(F1582="","",INT(F1582))</f>
        <v>45786</v>
      </c>
    </row>
    <row r="1583" customFormat="false" ht="15" hidden="false" customHeight="false" outlineLevel="0" collapsed="false">
      <c r="A1583" s="0" t="s">
        <v>3208</v>
      </c>
      <c r="B1583" s="0" t="s">
        <v>3209</v>
      </c>
      <c r="C1583" s="0" t="s">
        <v>23</v>
      </c>
      <c r="D1583" s="0" t="s">
        <v>42</v>
      </c>
      <c r="E1583" s="10" t="n">
        <v>45786.64375</v>
      </c>
      <c r="F1583" s="10" t="n">
        <v>45787.9747569444</v>
      </c>
      <c r="G1583" s="0" t="n">
        <v>346.12</v>
      </c>
      <c r="H1583" s="0" t="n">
        <v>349.25</v>
      </c>
      <c r="I1583" s="11" t="n">
        <f aca="false">H1583-G1583</f>
        <v>3.13</v>
      </c>
      <c r="J1583" s="5" t="n">
        <f aca="false">IF(G1583=0,"",I1583/G1583)</f>
        <v>0.00904310643707383</v>
      </c>
      <c r="K1583" s="0" t="n">
        <v>98.7</v>
      </c>
      <c r="L1583" s="0" t="n">
        <v>8.55</v>
      </c>
      <c r="M1583" s="11" t="s">
        <v>2769</v>
      </c>
      <c r="N1583" s="12" t="n">
        <f aca="false">INT(E1583)</f>
        <v>45786</v>
      </c>
      <c r="O1583" s="12" t="n">
        <f aca="false">IF(F1583="","",INT(F1583))</f>
        <v>45787</v>
      </c>
    </row>
    <row r="1584" customFormat="false" ht="15" hidden="false" customHeight="false" outlineLevel="0" collapsed="false">
      <c r="A1584" s="0" t="s">
        <v>3210</v>
      </c>
      <c r="B1584" s="0" t="s">
        <v>3211</v>
      </c>
      <c r="C1584" s="0" t="s">
        <v>20</v>
      </c>
      <c r="D1584" s="0" t="s">
        <v>42</v>
      </c>
      <c r="E1584" s="10" t="n">
        <v>45786.6506944444</v>
      </c>
      <c r="F1584" s="10" t="n">
        <v>45787.1951388889</v>
      </c>
      <c r="G1584" s="0" t="n">
        <v>268.4</v>
      </c>
      <c r="H1584" s="0" t="n">
        <v>267.7</v>
      </c>
      <c r="I1584" s="11" t="n">
        <f aca="false">H1584-G1584</f>
        <v>-0.699999999999989</v>
      </c>
      <c r="J1584" s="5" t="n">
        <f aca="false">IF(G1584=0,"",I1584/G1584)</f>
        <v>-0.00260804769001486</v>
      </c>
      <c r="K1584" s="0" t="n">
        <v>44.9</v>
      </c>
      <c r="L1584" s="0" t="n">
        <v>8.38</v>
      </c>
      <c r="M1584" s="11" t="s">
        <v>2769</v>
      </c>
      <c r="N1584" s="12" t="n">
        <f aca="false">INT(E1584)</f>
        <v>45786</v>
      </c>
      <c r="O1584" s="12" t="n">
        <f aca="false">IF(F1584="","",INT(F1584))</f>
        <v>45787</v>
      </c>
    </row>
    <row r="1585" customFormat="false" ht="15" hidden="false" customHeight="false" outlineLevel="0" collapsed="false">
      <c r="A1585" s="0" t="s">
        <v>3212</v>
      </c>
      <c r="B1585" s="0" t="s">
        <v>3213</v>
      </c>
      <c r="C1585" s="0" t="s">
        <v>23</v>
      </c>
      <c r="D1585" s="0" t="s">
        <v>42</v>
      </c>
      <c r="E1585" s="10" t="n">
        <v>45786.6666666667</v>
      </c>
      <c r="F1585" s="10" t="n">
        <v>45787.2222222222</v>
      </c>
      <c r="G1585" s="0" t="n">
        <v>348.35</v>
      </c>
      <c r="H1585" s="0" t="n">
        <v>332.33</v>
      </c>
      <c r="I1585" s="11" t="n">
        <f aca="false">H1585-G1585</f>
        <v>-16.02</v>
      </c>
      <c r="J1585" s="5" t="n">
        <f aca="false">IF(G1585=0,"",I1585/G1585)</f>
        <v>-0.0459882302282189</v>
      </c>
      <c r="K1585" s="0" t="n">
        <v>116.7</v>
      </c>
      <c r="L1585" s="0" t="n">
        <v>8</v>
      </c>
      <c r="M1585" s="11" t="s">
        <v>2769</v>
      </c>
      <c r="N1585" s="12" t="n">
        <f aca="false">INT(E1585)</f>
        <v>45786</v>
      </c>
      <c r="O1585" s="12" t="n">
        <f aca="false">IF(F1585="","",INT(F1585))</f>
        <v>45787</v>
      </c>
    </row>
    <row r="1586" customFormat="false" ht="15" hidden="false" customHeight="false" outlineLevel="0" collapsed="false">
      <c r="A1586" s="0" t="s">
        <v>3214</v>
      </c>
      <c r="B1586" s="0" t="s">
        <v>3215</v>
      </c>
      <c r="C1586" s="0" t="s">
        <v>21</v>
      </c>
      <c r="D1586" s="0" t="s">
        <v>42</v>
      </c>
      <c r="E1586" s="10" t="n">
        <v>45786.6819444444</v>
      </c>
      <c r="F1586" s="10" t="n">
        <v>45787.4509143519</v>
      </c>
      <c r="G1586" s="0" t="n">
        <v>113.96</v>
      </c>
      <c r="H1586" s="0" t="n">
        <v>114.17</v>
      </c>
      <c r="I1586" s="11" t="n">
        <f aca="false">H1586-G1586</f>
        <v>0.210000000000008</v>
      </c>
      <c r="J1586" s="5" t="n">
        <f aca="false">IF(G1586=0,"",I1586/G1586)</f>
        <v>0.00184275184275191</v>
      </c>
      <c r="K1586" s="0" t="n">
        <v>24.5</v>
      </c>
      <c r="L1586" s="0" t="n">
        <v>7.63</v>
      </c>
      <c r="M1586" s="11" t="s">
        <v>2769</v>
      </c>
      <c r="N1586" s="12" t="n">
        <f aca="false">INT(E1586)</f>
        <v>45786</v>
      </c>
      <c r="O1586" s="12" t="n">
        <f aca="false">IF(F1586="","",INT(F1586))</f>
        <v>45787</v>
      </c>
    </row>
    <row r="1587" customFormat="false" ht="15" hidden="false" customHeight="false" outlineLevel="0" collapsed="false">
      <c r="A1587" s="0" t="s">
        <v>3216</v>
      </c>
      <c r="B1587" s="0" t="s">
        <v>3217</v>
      </c>
      <c r="C1587" s="0" t="s">
        <v>23</v>
      </c>
      <c r="D1587" s="0" t="s">
        <v>42</v>
      </c>
      <c r="E1587" s="10" t="n">
        <v>45786.6930555556</v>
      </c>
      <c r="F1587" s="10" t="n">
        <v>45787.8456828704</v>
      </c>
      <c r="G1587" s="0" t="n">
        <v>720.95</v>
      </c>
      <c r="H1587" s="0" t="n">
        <v>720.79</v>
      </c>
      <c r="I1587" s="11" t="n">
        <f aca="false">H1587-G1587</f>
        <v>-0.160000000000082</v>
      </c>
      <c r="J1587" s="5" t="n">
        <f aca="false">IF(G1587=0,"",I1587/G1587)</f>
        <v>-0.000221929398710149</v>
      </c>
      <c r="K1587" s="0" t="n">
        <v>200.9</v>
      </c>
      <c r="L1587" s="0" t="n">
        <v>7.37</v>
      </c>
      <c r="M1587" s="11" t="s">
        <v>2769</v>
      </c>
      <c r="N1587" s="12" t="n">
        <f aca="false">INT(E1587)</f>
        <v>45786</v>
      </c>
      <c r="O1587" s="12" t="n">
        <f aca="false">IF(F1587="","",INT(F1587))</f>
        <v>45787</v>
      </c>
    </row>
    <row r="1588" customFormat="false" ht="15" hidden="false" customHeight="false" outlineLevel="0" collapsed="false">
      <c r="A1588" s="0" t="s">
        <v>3218</v>
      </c>
      <c r="B1588" s="0" t="s">
        <v>3219</v>
      </c>
      <c r="C1588" s="0" t="s">
        <v>21</v>
      </c>
      <c r="D1588" s="0" t="s">
        <v>42</v>
      </c>
      <c r="E1588" s="10" t="n">
        <v>45786.6972222222</v>
      </c>
      <c r="F1588" s="10" t="n">
        <v>45786.9900462963</v>
      </c>
      <c r="G1588" s="0" t="n">
        <v>756.89</v>
      </c>
      <c r="H1588" s="0" t="n">
        <v>748.14</v>
      </c>
      <c r="I1588" s="11" t="n">
        <f aca="false">H1588-G1588</f>
        <v>-8.75</v>
      </c>
      <c r="J1588" s="5" t="n">
        <f aca="false">IF(G1588=0,"",I1588/G1588)</f>
        <v>-0.0115604645324948</v>
      </c>
      <c r="K1588" s="0" t="n">
        <v>95.8</v>
      </c>
      <c r="L1588" s="0" t="n">
        <v>7.03</v>
      </c>
      <c r="M1588" s="11" t="s">
        <v>2769</v>
      </c>
      <c r="N1588" s="12" t="n">
        <f aca="false">INT(E1588)</f>
        <v>45786</v>
      </c>
      <c r="O1588" s="12" t="n">
        <f aca="false">IF(F1588="","",INT(F1588))</f>
        <v>45786</v>
      </c>
    </row>
    <row r="1589" customFormat="false" ht="15" hidden="false" customHeight="false" outlineLevel="0" collapsed="false">
      <c r="A1589" s="0" t="s">
        <v>3220</v>
      </c>
      <c r="B1589" s="0" t="s">
        <v>3221</v>
      </c>
      <c r="C1589" s="0" t="s">
        <v>21</v>
      </c>
      <c r="D1589" s="0" t="s">
        <v>42</v>
      </c>
      <c r="E1589" s="10" t="n">
        <v>45786.7</v>
      </c>
      <c r="F1589" s="10" t="n">
        <v>45787.0722222222</v>
      </c>
      <c r="G1589" s="0" t="n">
        <v>104.22</v>
      </c>
      <c r="H1589" s="0" t="n">
        <v>103.33</v>
      </c>
      <c r="I1589" s="11" t="n">
        <f aca="false">H1589-G1589</f>
        <v>-0.890000000000001</v>
      </c>
      <c r="J1589" s="5" t="n">
        <f aca="false">IF(G1589=0,"",I1589/G1589)</f>
        <v>-0.00853962771061217</v>
      </c>
      <c r="K1589" s="0" t="n">
        <v>17.1</v>
      </c>
      <c r="L1589" s="0" t="n">
        <v>7.2</v>
      </c>
      <c r="M1589" s="11" t="s">
        <v>2769</v>
      </c>
      <c r="N1589" s="12" t="n">
        <f aca="false">INT(E1589)</f>
        <v>45786</v>
      </c>
      <c r="O1589" s="12" t="n">
        <f aca="false">IF(F1589="","",INT(F1589))</f>
        <v>45787</v>
      </c>
    </row>
    <row r="1590" customFormat="false" ht="15" hidden="false" customHeight="false" outlineLevel="0" collapsed="false">
      <c r="A1590" s="0" t="s">
        <v>3222</v>
      </c>
      <c r="B1590" s="0" t="s">
        <v>3223</v>
      </c>
      <c r="C1590" s="0" t="s">
        <v>21</v>
      </c>
      <c r="D1590" s="0" t="s">
        <v>42</v>
      </c>
      <c r="E1590" s="10" t="n">
        <v>45786.7027777778</v>
      </c>
      <c r="F1590" s="10" t="n">
        <v>45786.9604166667</v>
      </c>
      <c r="G1590" s="0" t="n">
        <v>273.13</v>
      </c>
      <c r="H1590" s="0" t="n">
        <v>273.77</v>
      </c>
      <c r="I1590" s="11" t="n">
        <f aca="false">H1590-G1590</f>
        <v>0.639999999999986</v>
      </c>
      <c r="J1590" s="5" t="n">
        <f aca="false">IF(G1590=0,"",I1590/G1590)</f>
        <v>0.00234320653168816</v>
      </c>
      <c r="K1590" s="0" t="n">
        <v>55.4</v>
      </c>
      <c r="L1590" s="0" t="n">
        <v>6.18</v>
      </c>
      <c r="M1590" s="11" t="s">
        <v>2769</v>
      </c>
      <c r="N1590" s="12" t="n">
        <f aca="false">INT(E1590)</f>
        <v>45786</v>
      </c>
      <c r="O1590" s="12" t="n">
        <f aca="false">IF(F1590="","",INT(F1590))</f>
        <v>45786</v>
      </c>
    </row>
    <row r="1591" customFormat="false" ht="15" hidden="false" customHeight="false" outlineLevel="0" collapsed="false">
      <c r="A1591" s="0" t="s">
        <v>3224</v>
      </c>
      <c r="B1591" s="0" t="s">
        <v>3225</v>
      </c>
      <c r="C1591" s="0" t="s">
        <v>19</v>
      </c>
      <c r="D1591" s="0" t="s">
        <v>42</v>
      </c>
      <c r="E1591" s="10" t="n">
        <v>45786.7125</v>
      </c>
      <c r="F1591" s="10" t="n">
        <v>45788.0423611111</v>
      </c>
      <c r="G1591" s="0" t="n">
        <v>344.92</v>
      </c>
      <c r="H1591" s="0" t="n">
        <v>345.23</v>
      </c>
      <c r="I1591" s="11" t="n">
        <f aca="false">H1591-G1591</f>
        <v>0.310000000000002</v>
      </c>
      <c r="J1591" s="5" t="n">
        <f aca="false">IF(G1591=0,"",I1591/G1591)</f>
        <v>0.000898759132552483</v>
      </c>
      <c r="K1591" s="0" t="n">
        <v>30.1</v>
      </c>
      <c r="L1591" s="0" t="n">
        <v>6.9</v>
      </c>
      <c r="M1591" s="11" t="s">
        <v>2769</v>
      </c>
      <c r="N1591" s="12" t="n">
        <f aca="false">INT(E1591)</f>
        <v>45786</v>
      </c>
      <c r="O1591" s="12" t="n">
        <f aca="false">IF(F1591="","",INT(F1591))</f>
        <v>45788</v>
      </c>
    </row>
    <row r="1592" customFormat="false" ht="15" hidden="false" customHeight="false" outlineLevel="0" collapsed="false">
      <c r="A1592" s="0" t="s">
        <v>3226</v>
      </c>
      <c r="B1592" s="0" t="s">
        <v>3227</v>
      </c>
      <c r="C1592" s="0" t="s">
        <v>20</v>
      </c>
      <c r="D1592" s="0" t="s">
        <v>42</v>
      </c>
      <c r="E1592" s="10" t="n">
        <v>45786.7138888889</v>
      </c>
      <c r="F1592" s="10" t="n">
        <v>45787.7269560185</v>
      </c>
      <c r="G1592" s="0" t="n">
        <v>188.47</v>
      </c>
      <c r="H1592" s="0" t="n">
        <v>190.79</v>
      </c>
      <c r="I1592" s="11" t="n">
        <f aca="false">H1592-G1592</f>
        <v>2.31999999999999</v>
      </c>
      <c r="J1592" s="5" t="n">
        <f aca="false">IF(G1592=0,"",I1592/G1592)</f>
        <v>0.0123096514034063</v>
      </c>
      <c r="K1592" s="0" t="n">
        <v>37</v>
      </c>
      <c r="L1592" s="0" t="n">
        <v>6.87</v>
      </c>
      <c r="M1592" s="11" t="s">
        <v>2769</v>
      </c>
      <c r="N1592" s="12" t="n">
        <f aca="false">INT(E1592)</f>
        <v>45786</v>
      </c>
      <c r="O1592" s="12" t="n">
        <f aca="false">IF(F1592="","",INT(F1592))</f>
        <v>45787</v>
      </c>
    </row>
    <row r="1593" customFormat="false" ht="15" hidden="false" customHeight="false" outlineLevel="0" collapsed="false">
      <c r="A1593" s="0" t="s">
        <v>3228</v>
      </c>
      <c r="B1593" s="0" t="s">
        <v>3229</v>
      </c>
      <c r="C1593" s="0" t="s">
        <v>20</v>
      </c>
      <c r="D1593" s="0" t="s">
        <v>42</v>
      </c>
      <c r="E1593" s="10" t="n">
        <v>45786.7229166667</v>
      </c>
      <c r="F1593" s="10" t="n">
        <v>45787.6221875</v>
      </c>
      <c r="G1593" s="0" t="n">
        <v>1653.91</v>
      </c>
      <c r="H1593" s="0" t="n">
        <v>1675.37</v>
      </c>
      <c r="I1593" s="11" t="n">
        <f aca="false">H1593-G1593</f>
        <v>21.4599999999998</v>
      </c>
      <c r="J1593" s="5" t="n">
        <f aca="false">IF(G1593=0,"",I1593/G1593)</f>
        <v>0.0129753130460544</v>
      </c>
      <c r="K1593" s="0" t="n">
        <v>352.2</v>
      </c>
      <c r="L1593" s="0" t="n">
        <v>6.65</v>
      </c>
      <c r="M1593" s="11" t="s">
        <v>2769</v>
      </c>
      <c r="N1593" s="12" t="n">
        <f aca="false">INT(E1593)</f>
        <v>45786</v>
      </c>
      <c r="O1593" s="12" t="n">
        <f aca="false">IF(F1593="","",INT(F1593))</f>
        <v>45787</v>
      </c>
    </row>
    <row r="1594" customFormat="false" ht="15" hidden="false" customHeight="false" outlineLevel="0" collapsed="false">
      <c r="A1594" s="0" t="s">
        <v>3230</v>
      </c>
      <c r="B1594" s="0" t="s">
        <v>3231</v>
      </c>
      <c r="C1594" s="0" t="s">
        <v>24</v>
      </c>
      <c r="D1594" s="0" t="s">
        <v>42</v>
      </c>
      <c r="E1594" s="10" t="n">
        <v>45786.7333333333</v>
      </c>
      <c r="F1594" s="10" t="n">
        <v>45788.0416666667</v>
      </c>
      <c r="G1594" s="0" t="n">
        <v>618.5</v>
      </c>
      <c r="H1594" s="0" t="n">
        <v>711.6</v>
      </c>
      <c r="I1594" s="11" t="n">
        <f aca="false">H1594-G1594</f>
        <v>93.1</v>
      </c>
      <c r="J1594" s="5" t="n">
        <f aca="false">IF(G1594=0,"",I1594/G1594)</f>
        <v>0.150525464834277</v>
      </c>
      <c r="K1594" s="0" t="n">
        <v>187.8</v>
      </c>
      <c r="L1594" s="0" t="n">
        <v>6.4</v>
      </c>
      <c r="M1594" s="11" t="s">
        <v>2769</v>
      </c>
      <c r="N1594" s="12" t="n">
        <f aca="false">INT(E1594)</f>
        <v>45786</v>
      </c>
      <c r="O1594" s="12" t="n">
        <f aca="false">IF(F1594="","",INT(F1594))</f>
        <v>45788</v>
      </c>
    </row>
    <row r="1595" customFormat="false" ht="15" hidden="false" customHeight="false" outlineLevel="0" collapsed="false">
      <c r="A1595" s="0" t="s">
        <v>3232</v>
      </c>
      <c r="B1595" s="0" t="s">
        <v>3233</v>
      </c>
      <c r="C1595" s="0" t="s">
        <v>19</v>
      </c>
      <c r="D1595" s="0" t="s">
        <v>42</v>
      </c>
      <c r="E1595" s="10" t="n">
        <v>45786.7340277778</v>
      </c>
      <c r="F1595" s="10" t="n">
        <v>45787.9708333333</v>
      </c>
      <c r="G1595" s="0" t="n">
        <v>281.66</v>
      </c>
      <c r="H1595" s="0" t="n">
        <v>276.81</v>
      </c>
      <c r="I1595" s="11" t="n">
        <f aca="false">H1595-G1595</f>
        <v>-4.85000000000002</v>
      </c>
      <c r="J1595" s="5" t="n">
        <f aca="false">IF(G1595=0,"",I1595/G1595)</f>
        <v>-0.0172193424696443</v>
      </c>
      <c r="K1595" s="0" t="n">
        <v>47.6</v>
      </c>
      <c r="L1595" s="0" t="n">
        <v>6.38</v>
      </c>
      <c r="M1595" s="11" t="s">
        <v>2769</v>
      </c>
      <c r="N1595" s="12" t="n">
        <f aca="false">INT(E1595)</f>
        <v>45786</v>
      </c>
      <c r="O1595" s="12" t="n">
        <f aca="false">IF(F1595="","",INT(F1595))</f>
        <v>45787</v>
      </c>
    </row>
    <row r="1596" customFormat="false" ht="15" hidden="false" customHeight="false" outlineLevel="0" collapsed="false">
      <c r="A1596" s="0" t="s">
        <v>3234</v>
      </c>
      <c r="B1596" s="0" t="s">
        <v>3235</v>
      </c>
      <c r="C1596" s="0" t="s">
        <v>23</v>
      </c>
      <c r="D1596" s="0" t="s">
        <v>42</v>
      </c>
      <c r="E1596" s="10" t="n">
        <v>45786.7576388889</v>
      </c>
      <c r="F1596" s="10" t="n">
        <v>45788.0334143519</v>
      </c>
      <c r="G1596" s="0" t="n">
        <v>212.95</v>
      </c>
      <c r="H1596" s="0" t="n">
        <v>219.71</v>
      </c>
      <c r="I1596" s="11" t="n">
        <f aca="false">H1596-G1596</f>
        <v>6.76000000000002</v>
      </c>
      <c r="J1596" s="5" t="n">
        <f aca="false">IF(G1596=0,"",I1596/G1596)</f>
        <v>0.0317445409720593</v>
      </c>
      <c r="K1596" s="0" t="n">
        <v>66.2</v>
      </c>
      <c r="L1596" s="0" t="n">
        <v>5.82</v>
      </c>
      <c r="M1596" s="11" t="s">
        <v>2769</v>
      </c>
      <c r="N1596" s="12" t="n">
        <f aca="false">INT(E1596)</f>
        <v>45786</v>
      </c>
      <c r="O1596" s="12" t="n">
        <f aca="false">IF(F1596="","",INT(F1596))</f>
        <v>45788</v>
      </c>
    </row>
    <row r="1597" customFormat="false" ht="15" hidden="false" customHeight="false" outlineLevel="0" collapsed="false">
      <c r="A1597" s="0" t="s">
        <v>3236</v>
      </c>
      <c r="B1597" s="0" t="s">
        <v>3237</v>
      </c>
      <c r="C1597" s="0" t="s">
        <v>23</v>
      </c>
      <c r="D1597" s="0" t="s">
        <v>42</v>
      </c>
      <c r="E1597" s="10" t="n">
        <v>45786.7597222222</v>
      </c>
      <c r="F1597" s="10" t="n">
        <v>45790.2618055556</v>
      </c>
      <c r="G1597" s="0" t="n">
        <v>2624.66</v>
      </c>
      <c r="H1597" s="0" t="n">
        <v>2616.92</v>
      </c>
      <c r="I1597" s="11" t="n">
        <f aca="false">H1597-G1597</f>
        <v>-7.73999999999978</v>
      </c>
      <c r="J1597" s="5" t="n">
        <f aca="false">IF(G1597=0,"",I1597/G1597)</f>
        <v>-0.0029489533882483</v>
      </c>
      <c r="K1597" s="0" t="n">
        <v>867.7</v>
      </c>
      <c r="L1597" s="0" t="n">
        <v>36.05</v>
      </c>
      <c r="M1597" s="11" t="s">
        <v>2769</v>
      </c>
      <c r="N1597" s="12" t="n">
        <f aca="false">INT(E1597)</f>
        <v>45786</v>
      </c>
      <c r="O1597" s="12" t="n">
        <f aca="false">IF(F1597="","",INT(F1597))</f>
        <v>45790</v>
      </c>
    </row>
    <row r="1598" customFormat="false" ht="15" hidden="false" customHeight="false" outlineLevel="0" collapsed="false">
      <c r="A1598" s="0" t="s">
        <v>3238</v>
      </c>
      <c r="B1598" s="0" t="s">
        <v>3239</v>
      </c>
      <c r="C1598" s="0" t="s">
        <v>22</v>
      </c>
      <c r="D1598" s="0" t="s">
        <v>42</v>
      </c>
      <c r="E1598" s="10" t="n">
        <v>45786.7680555556</v>
      </c>
      <c r="F1598" s="10" t="n">
        <v>45787.9447337963</v>
      </c>
      <c r="G1598" s="0" t="n">
        <v>558.22</v>
      </c>
      <c r="H1598" s="0" t="n">
        <v>685.98</v>
      </c>
      <c r="I1598" s="11" t="n">
        <f aca="false">H1598-G1598</f>
        <v>127.76</v>
      </c>
      <c r="J1598" s="5" t="n">
        <f aca="false">IF(G1598=0,"",I1598/G1598)</f>
        <v>0.228870337859625</v>
      </c>
      <c r="K1598" s="0" t="n">
        <v>86.8</v>
      </c>
      <c r="L1598" s="0" t="n">
        <v>5.57</v>
      </c>
      <c r="M1598" s="11" t="s">
        <v>2769</v>
      </c>
      <c r="N1598" s="12" t="n">
        <f aca="false">INT(E1598)</f>
        <v>45786</v>
      </c>
      <c r="O1598" s="12" t="n">
        <f aca="false">IF(F1598="","",INT(F1598))</f>
        <v>45787</v>
      </c>
    </row>
    <row r="1599" customFormat="false" ht="15" hidden="false" customHeight="false" outlineLevel="0" collapsed="false">
      <c r="A1599" s="0" t="s">
        <v>3240</v>
      </c>
      <c r="B1599" s="0" t="s">
        <v>3241</v>
      </c>
      <c r="C1599" s="0" t="s">
        <v>24</v>
      </c>
      <c r="D1599" s="0" t="s">
        <v>42</v>
      </c>
      <c r="E1599" s="10" t="n">
        <v>45786.7701388889</v>
      </c>
      <c r="F1599" s="10" t="n">
        <v>45789.2090277778</v>
      </c>
      <c r="G1599" s="0" t="n">
        <v>499.03</v>
      </c>
      <c r="H1599" s="0" t="n">
        <v>500.1</v>
      </c>
      <c r="I1599" s="11" t="n">
        <f aca="false">H1599-G1599</f>
        <v>1.07000000000005</v>
      </c>
      <c r="J1599" s="5" t="n">
        <f aca="false">IF(G1599=0,"",I1599/G1599)</f>
        <v>0.00214415966975943</v>
      </c>
      <c r="K1599" s="0" t="n">
        <v>176.2</v>
      </c>
      <c r="L1599" s="0" t="n">
        <v>10.53</v>
      </c>
      <c r="M1599" s="11" t="s">
        <v>2769</v>
      </c>
      <c r="N1599" s="12" t="n">
        <f aca="false">INT(E1599)</f>
        <v>45786</v>
      </c>
      <c r="O1599" s="12" t="n">
        <f aca="false">IF(F1599="","",INT(F1599))</f>
        <v>45789</v>
      </c>
    </row>
    <row r="1600" customFormat="false" ht="15" hidden="false" customHeight="false" outlineLevel="0" collapsed="false">
      <c r="A1600" s="0" t="s">
        <v>3242</v>
      </c>
      <c r="B1600" s="0" t="s">
        <v>3243</v>
      </c>
      <c r="C1600" s="0" t="s">
        <v>20</v>
      </c>
      <c r="D1600" s="0" t="s">
        <v>42</v>
      </c>
      <c r="E1600" s="10" t="n">
        <v>45786.7791666667</v>
      </c>
      <c r="F1600" s="10" t="n">
        <v>45787.8993055556</v>
      </c>
      <c r="G1600" s="0" t="n">
        <v>208.17</v>
      </c>
      <c r="H1600" s="0" t="n">
        <v>146.39</v>
      </c>
      <c r="I1600" s="11" t="n">
        <f aca="false">H1600-G1600</f>
        <v>-61.78</v>
      </c>
      <c r="J1600" s="5" t="n">
        <f aca="false">IF(G1600=0,"",I1600/G1600)</f>
        <v>-0.296776672911563</v>
      </c>
      <c r="K1600" s="0" t="n">
        <v>44.7</v>
      </c>
      <c r="L1600" s="0" t="n">
        <v>5.3</v>
      </c>
      <c r="M1600" s="11" t="s">
        <v>2769</v>
      </c>
      <c r="N1600" s="12" t="n">
        <f aca="false">INT(E1600)</f>
        <v>45786</v>
      </c>
      <c r="O1600" s="12" t="n">
        <f aca="false">IF(F1600="","",INT(F1600))</f>
        <v>45787</v>
      </c>
    </row>
    <row r="1601" customFormat="false" ht="15" hidden="false" customHeight="false" outlineLevel="0" collapsed="false">
      <c r="A1601" s="0" t="s">
        <v>3244</v>
      </c>
      <c r="B1601" s="0" t="s">
        <v>3245</v>
      </c>
      <c r="C1601" s="0" t="s">
        <v>20</v>
      </c>
      <c r="D1601" s="0" t="s">
        <v>42</v>
      </c>
      <c r="E1601" s="10" t="n">
        <v>45786.7902777778</v>
      </c>
      <c r="F1601" s="10" t="n">
        <v>45787.1805555556</v>
      </c>
      <c r="G1601" s="0" t="n">
        <v>687.59</v>
      </c>
      <c r="H1601" s="0" t="n">
        <v>686.33</v>
      </c>
      <c r="I1601" s="11" t="n">
        <f aca="false">H1601-G1601</f>
        <v>-1.25999999999999</v>
      </c>
      <c r="J1601" s="5" t="n">
        <f aca="false">IF(G1601=0,"",I1601/G1601)</f>
        <v>-0.00183248738346979</v>
      </c>
      <c r="K1601" s="0" t="n">
        <v>94.4</v>
      </c>
      <c r="L1601" s="0" t="n">
        <v>5.03</v>
      </c>
      <c r="M1601" s="11" t="s">
        <v>2769</v>
      </c>
      <c r="N1601" s="12" t="n">
        <f aca="false">INT(E1601)</f>
        <v>45786</v>
      </c>
      <c r="O1601" s="12" t="n">
        <f aca="false">IF(F1601="","",INT(F1601))</f>
        <v>45787</v>
      </c>
    </row>
    <row r="1602" customFormat="false" ht="15" hidden="false" customHeight="false" outlineLevel="0" collapsed="false">
      <c r="A1602" s="0" t="s">
        <v>3246</v>
      </c>
      <c r="B1602" s="0" t="s">
        <v>3247</v>
      </c>
      <c r="C1602" s="0" t="s">
        <v>19</v>
      </c>
      <c r="D1602" s="0" t="s">
        <v>42</v>
      </c>
      <c r="E1602" s="10" t="n">
        <v>45789.3104166667</v>
      </c>
      <c r="F1602" s="10" t="n">
        <v>45790.1</v>
      </c>
      <c r="G1602" s="0" t="n">
        <v>216.52</v>
      </c>
      <c r="H1602" s="0" t="n">
        <v>268.64</v>
      </c>
      <c r="I1602" s="11" t="n">
        <f aca="false">H1602-G1602</f>
        <v>52.12</v>
      </c>
      <c r="J1602" s="5" t="n">
        <f aca="false">IF(G1602=0,"",I1602/G1602)</f>
        <v>0.240716792905967</v>
      </c>
      <c r="K1602" s="0" t="n">
        <v>36.9</v>
      </c>
      <c r="L1602" s="0" t="n">
        <v>18.95</v>
      </c>
      <c r="M1602" s="11" t="s">
        <v>2769</v>
      </c>
      <c r="N1602" s="12" t="n">
        <f aca="false">INT(E1602)</f>
        <v>45789</v>
      </c>
      <c r="O1602" s="12" t="n">
        <f aca="false">IF(F1602="","",INT(F1602))</f>
        <v>45790</v>
      </c>
    </row>
    <row r="1603" customFormat="false" ht="15" hidden="false" customHeight="false" outlineLevel="0" collapsed="false">
      <c r="A1603" s="0" t="s">
        <v>3248</v>
      </c>
      <c r="B1603" s="0" t="s">
        <v>3249</v>
      </c>
      <c r="C1603" s="0" t="s">
        <v>23</v>
      </c>
      <c r="D1603" s="0" t="s">
        <v>42</v>
      </c>
      <c r="E1603" s="10" t="n">
        <v>45789.3104166667</v>
      </c>
      <c r="F1603" s="10" t="n">
        <v>45790.6729166667</v>
      </c>
      <c r="G1603" s="0" t="n">
        <v>556.87</v>
      </c>
      <c r="H1603" s="0" t="n">
        <v>569.35</v>
      </c>
      <c r="I1603" s="11" t="n">
        <f aca="false">H1603-G1603</f>
        <v>12.48</v>
      </c>
      <c r="J1603" s="5" t="n">
        <f aca="false">IF(G1603=0,"",I1603/G1603)</f>
        <v>0.0224109756316555</v>
      </c>
      <c r="K1603" s="0" t="n">
        <v>170.4</v>
      </c>
      <c r="L1603" s="0" t="n">
        <v>32.7</v>
      </c>
      <c r="M1603" s="11" t="s">
        <v>2769</v>
      </c>
      <c r="N1603" s="12" t="n">
        <f aca="false">INT(E1603)</f>
        <v>45789</v>
      </c>
      <c r="O1603" s="12" t="n">
        <f aca="false">IF(F1603="","",INT(F1603))</f>
        <v>45790</v>
      </c>
    </row>
    <row r="1604" customFormat="false" ht="15" hidden="false" customHeight="false" outlineLevel="0" collapsed="false">
      <c r="A1604" s="0" t="s">
        <v>3250</v>
      </c>
      <c r="B1604" s="0" t="s">
        <v>3251</v>
      </c>
      <c r="C1604" s="0" t="s">
        <v>23</v>
      </c>
      <c r="D1604" s="0" t="s">
        <v>42</v>
      </c>
      <c r="E1604" s="10" t="n">
        <v>45789.3145833333</v>
      </c>
      <c r="F1604" s="10" t="n">
        <v>45791.8486111111</v>
      </c>
      <c r="G1604" s="0" t="n">
        <v>459.06</v>
      </c>
      <c r="H1604" s="0" t="n">
        <v>462.04</v>
      </c>
      <c r="I1604" s="11" t="n">
        <f aca="false">H1604-G1604</f>
        <v>2.98000000000002</v>
      </c>
      <c r="J1604" s="5" t="n">
        <f aca="false">IF(G1604=0,"",I1604/G1604)</f>
        <v>0.00649152616215749</v>
      </c>
      <c r="K1604" s="0" t="n">
        <v>141.2</v>
      </c>
      <c r="L1604" s="0" t="n">
        <v>60.82</v>
      </c>
      <c r="M1604" s="11" t="s">
        <v>2769</v>
      </c>
      <c r="N1604" s="12" t="n">
        <f aca="false">INT(E1604)</f>
        <v>45789</v>
      </c>
      <c r="O1604" s="12" t="n">
        <f aca="false">IF(F1604="","",INT(F1604))</f>
        <v>45791</v>
      </c>
    </row>
    <row r="1605" customFormat="false" ht="15" hidden="false" customHeight="false" outlineLevel="0" collapsed="false">
      <c r="A1605" s="0" t="s">
        <v>3252</v>
      </c>
      <c r="B1605" s="0" t="s">
        <v>3253</v>
      </c>
      <c r="C1605" s="0" t="s">
        <v>24</v>
      </c>
      <c r="D1605" s="0" t="s">
        <v>42</v>
      </c>
      <c r="E1605" s="10" t="n">
        <v>45789.3277777778</v>
      </c>
      <c r="F1605" s="10" t="n">
        <v>45792.7041666667</v>
      </c>
      <c r="G1605" s="0" t="n">
        <v>668.17</v>
      </c>
      <c r="H1605" s="0" t="n">
        <v>660.98</v>
      </c>
      <c r="I1605" s="11" t="n">
        <f aca="false">H1605-G1605</f>
        <v>-7.18999999999994</v>
      </c>
      <c r="J1605" s="5" t="n">
        <f aca="false">IF(G1605=0,"",I1605/G1605)</f>
        <v>-0.0107607345436041</v>
      </c>
      <c r="K1605" s="0" t="n">
        <v>220.1</v>
      </c>
      <c r="L1605" s="0" t="n">
        <v>81.03</v>
      </c>
      <c r="M1605" s="11" t="s">
        <v>2769</v>
      </c>
      <c r="N1605" s="12" t="n">
        <f aca="false">INT(E1605)</f>
        <v>45789</v>
      </c>
      <c r="O1605" s="12" t="n">
        <f aca="false">IF(F1605="","",INT(F1605))</f>
        <v>45792</v>
      </c>
    </row>
    <row r="1606" customFormat="false" ht="15" hidden="false" customHeight="false" outlineLevel="0" collapsed="false">
      <c r="A1606" s="0" t="s">
        <v>3254</v>
      </c>
      <c r="B1606" s="0" t="s">
        <v>3255</v>
      </c>
      <c r="C1606" s="0" t="s">
        <v>20</v>
      </c>
      <c r="D1606" s="0" t="s">
        <v>42</v>
      </c>
      <c r="E1606" s="10" t="n">
        <v>45789.33125</v>
      </c>
      <c r="F1606" s="10" t="n">
        <v>45790.3201388889</v>
      </c>
      <c r="G1606" s="0" t="n">
        <v>241.44</v>
      </c>
      <c r="H1606" s="0" t="n">
        <v>242.37</v>
      </c>
      <c r="I1606" s="11" t="n">
        <f aca="false">H1606-G1606</f>
        <v>0.930000000000007</v>
      </c>
      <c r="J1606" s="5" t="n">
        <f aca="false">IF(G1606=0,"",I1606/G1606)</f>
        <v>0.00385188866799208</v>
      </c>
      <c r="K1606" s="0" t="n">
        <v>47.6</v>
      </c>
      <c r="L1606" s="0" t="n">
        <v>23.73</v>
      </c>
      <c r="M1606" s="11" t="s">
        <v>2769</v>
      </c>
      <c r="N1606" s="12" t="n">
        <f aca="false">INT(E1606)</f>
        <v>45789</v>
      </c>
      <c r="O1606" s="12" t="n">
        <f aca="false">IF(F1606="","",INT(F1606))</f>
        <v>45790</v>
      </c>
    </row>
    <row r="1607" customFormat="false" ht="15" hidden="false" customHeight="false" outlineLevel="0" collapsed="false">
      <c r="A1607" s="0" t="s">
        <v>3256</v>
      </c>
      <c r="B1607" s="0" t="s">
        <v>3257</v>
      </c>
      <c r="C1607" s="0" t="s">
        <v>20</v>
      </c>
      <c r="D1607" s="0" t="s">
        <v>42</v>
      </c>
      <c r="E1607" s="10" t="n">
        <v>45789.3375</v>
      </c>
      <c r="F1607" s="10" t="n">
        <v>45790.4302546296</v>
      </c>
      <c r="G1607" s="0" t="n">
        <v>218.89</v>
      </c>
      <c r="H1607" s="0" t="n">
        <v>219.35</v>
      </c>
      <c r="I1607" s="11" t="n">
        <f aca="false">H1607-G1607</f>
        <v>0.460000000000008</v>
      </c>
      <c r="J1607" s="5" t="n">
        <f aca="false">IF(G1607=0,"",I1607/G1607)</f>
        <v>0.00210151217506514</v>
      </c>
      <c r="K1607" s="0" t="n">
        <v>23.4</v>
      </c>
      <c r="L1607" s="0" t="n">
        <v>26.23</v>
      </c>
      <c r="M1607" s="11" t="s">
        <v>2769</v>
      </c>
      <c r="N1607" s="12" t="n">
        <f aca="false">INT(E1607)</f>
        <v>45789</v>
      </c>
      <c r="O1607" s="12" t="n">
        <f aca="false">IF(F1607="","",INT(F1607))</f>
        <v>45790</v>
      </c>
    </row>
    <row r="1608" customFormat="false" ht="15" hidden="false" customHeight="false" outlineLevel="0" collapsed="false">
      <c r="A1608" s="0" t="s">
        <v>3258</v>
      </c>
      <c r="B1608" s="0" t="s">
        <v>3259</v>
      </c>
      <c r="C1608" s="0" t="s">
        <v>23</v>
      </c>
      <c r="D1608" s="0" t="s">
        <v>42</v>
      </c>
      <c r="E1608" s="10" t="n">
        <v>45789.35</v>
      </c>
      <c r="F1608" s="10" t="n">
        <v>45790.10625</v>
      </c>
      <c r="G1608" s="0" t="n">
        <v>645.39</v>
      </c>
      <c r="H1608" s="0" t="n">
        <v>646.4</v>
      </c>
      <c r="I1608" s="11" t="n">
        <f aca="false">H1608-G1608</f>
        <v>1.00999999999999</v>
      </c>
      <c r="J1608" s="5" t="n">
        <f aca="false">IF(G1608=0,"",I1608/G1608)</f>
        <v>0.00156494522691704</v>
      </c>
      <c r="K1608" s="0" t="n">
        <v>162.7</v>
      </c>
      <c r="L1608" s="0" t="n">
        <v>18.15</v>
      </c>
      <c r="M1608" s="11" t="s">
        <v>2769</v>
      </c>
      <c r="N1608" s="12" t="n">
        <f aca="false">INT(E1608)</f>
        <v>45789</v>
      </c>
      <c r="O1608" s="12" t="n">
        <f aca="false">IF(F1608="","",INT(F1608))</f>
        <v>45790</v>
      </c>
    </row>
    <row r="1609" customFormat="false" ht="15" hidden="false" customHeight="false" outlineLevel="0" collapsed="false">
      <c r="A1609" s="0" t="s">
        <v>3260</v>
      </c>
      <c r="B1609" s="0" t="s">
        <v>3261</v>
      </c>
      <c r="C1609" s="0" t="s">
        <v>21</v>
      </c>
      <c r="D1609" s="0" t="s">
        <v>42</v>
      </c>
      <c r="E1609" s="10" t="n">
        <v>45789.3604166667</v>
      </c>
      <c r="F1609" s="10" t="n">
        <v>45790.0597222222</v>
      </c>
      <c r="G1609" s="0" t="n">
        <v>363.5</v>
      </c>
      <c r="H1609" s="0" t="n">
        <v>360.11</v>
      </c>
      <c r="I1609" s="11" t="n">
        <f aca="false">H1609-G1609</f>
        <v>-3.38999999999999</v>
      </c>
      <c r="J1609" s="5" t="n">
        <f aca="false">IF(G1609=0,"",I1609/G1609)</f>
        <v>-0.00932599724896833</v>
      </c>
      <c r="K1609" s="0" t="n">
        <v>93.9</v>
      </c>
      <c r="L1609" s="0" t="n">
        <v>16.78</v>
      </c>
      <c r="M1609" s="11" t="s">
        <v>2769</v>
      </c>
      <c r="N1609" s="12" t="n">
        <f aca="false">INT(E1609)</f>
        <v>45789</v>
      </c>
      <c r="O1609" s="12" t="n">
        <f aca="false">IF(F1609="","",INT(F1609))</f>
        <v>45790</v>
      </c>
    </row>
    <row r="1610" customFormat="false" ht="15" hidden="false" customHeight="false" outlineLevel="0" collapsed="false">
      <c r="A1610" s="0" t="s">
        <v>3262</v>
      </c>
      <c r="B1610" s="0" t="s">
        <v>3263</v>
      </c>
      <c r="C1610" s="0" t="s">
        <v>24</v>
      </c>
      <c r="D1610" s="0" t="s">
        <v>42</v>
      </c>
      <c r="E1610" s="10" t="n">
        <v>45789.3847222222</v>
      </c>
      <c r="F1610" s="10" t="n">
        <v>45790.5586342593</v>
      </c>
      <c r="G1610" s="0" t="n">
        <v>1030.9</v>
      </c>
      <c r="H1610" s="0" t="n">
        <v>1012.35</v>
      </c>
      <c r="I1610" s="11" t="n">
        <f aca="false">H1610-G1610</f>
        <v>-18.5500000000001</v>
      </c>
      <c r="J1610" s="5" t="n">
        <f aca="false">IF(G1610=0,"",I1610/G1610)</f>
        <v>-0.0179939858376177</v>
      </c>
      <c r="K1610" s="0" t="n">
        <v>286.8</v>
      </c>
      <c r="L1610" s="0" t="n">
        <v>28.17</v>
      </c>
      <c r="M1610" s="11" t="s">
        <v>2769</v>
      </c>
      <c r="N1610" s="12" t="n">
        <f aca="false">INT(E1610)</f>
        <v>45789</v>
      </c>
      <c r="O1610" s="12" t="n">
        <f aca="false">IF(F1610="","",INT(F1610))</f>
        <v>45790</v>
      </c>
    </row>
    <row r="1611" customFormat="false" ht="15" hidden="false" customHeight="false" outlineLevel="0" collapsed="false">
      <c r="A1611" s="0" t="s">
        <v>3264</v>
      </c>
      <c r="B1611" s="0" t="s">
        <v>3265</v>
      </c>
      <c r="C1611" s="0" t="s">
        <v>20</v>
      </c>
      <c r="D1611" s="0" t="s">
        <v>42</v>
      </c>
      <c r="E1611" s="10" t="n">
        <v>45789.39375</v>
      </c>
      <c r="F1611" s="10" t="n">
        <v>45789.8909722222</v>
      </c>
      <c r="G1611" s="0" t="n">
        <v>290.78</v>
      </c>
      <c r="H1611" s="0" t="n">
        <v>280.15</v>
      </c>
      <c r="I1611" s="11" t="n">
        <f aca="false">H1611-G1611</f>
        <v>-10.63</v>
      </c>
      <c r="J1611" s="5" t="n">
        <f aca="false">IF(G1611=0,"",I1611/G1611)</f>
        <v>-0.036556847100901</v>
      </c>
      <c r="K1611" s="0" t="n">
        <v>40</v>
      </c>
      <c r="L1611" s="0" t="n">
        <v>11.93</v>
      </c>
      <c r="M1611" s="11" t="s">
        <v>2769</v>
      </c>
      <c r="N1611" s="12" t="n">
        <f aca="false">INT(E1611)</f>
        <v>45789</v>
      </c>
      <c r="O1611" s="12" t="n">
        <f aca="false">IF(F1611="","",INT(F1611))</f>
        <v>45789</v>
      </c>
    </row>
    <row r="1612" customFormat="false" ht="15" hidden="false" customHeight="false" outlineLevel="0" collapsed="false">
      <c r="A1612" s="0" t="s">
        <v>3266</v>
      </c>
      <c r="B1612" s="0" t="s">
        <v>3267</v>
      </c>
      <c r="C1612" s="0" t="s">
        <v>19</v>
      </c>
      <c r="D1612" s="0" t="s">
        <v>42</v>
      </c>
      <c r="E1612" s="10" t="n">
        <v>45789.4055555556</v>
      </c>
      <c r="F1612" s="10" t="n">
        <v>45789.9544907407</v>
      </c>
      <c r="G1612" s="0" t="n">
        <v>225.32</v>
      </c>
      <c r="H1612" s="0" t="n">
        <v>233.99</v>
      </c>
      <c r="I1612" s="11" t="n">
        <f aca="false">H1612-G1612</f>
        <v>8.67000000000002</v>
      </c>
      <c r="J1612" s="5" t="n">
        <f aca="false">IF(G1612=0,"",I1612/G1612)</f>
        <v>0.0384786082016688</v>
      </c>
      <c r="K1612" s="0" t="n">
        <v>37.6</v>
      </c>
      <c r="L1612" s="0" t="n">
        <v>13.17</v>
      </c>
      <c r="M1612" s="11" t="s">
        <v>2769</v>
      </c>
      <c r="N1612" s="12" t="n">
        <f aca="false">INT(E1612)</f>
        <v>45789</v>
      </c>
      <c r="O1612" s="12" t="n">
        <f aca="false">IF(F1612="","",INT(F1612))</f>
        <v>45789</v>
      </c>
    </row>
    <row r="1613" customFormat="false" ht="15" hidden="false" customHeight="false" outlineLevel="0" collapsed="false">
      <c r="A1613" s="0" t="s">
        <v>3268</v>
      </c>
      <c r="B1613" s="0" t="s">
        <v>3269</v>
      </c>
      <c r="C1613" s="0" t="s">
        <v>20</v>
      </c>
      <c r="D1613" s="0" t="s">
        <v>42</v>
      </c>
      <c r="E1613" s="10" t="n">
        <v>45789.41875</v>
      </c>
      <c r="F1613" s="10" t="n">
        <v>45790.494849537</v>
      </c>
      <c r="G1613" s="0" t="n">
        <v>534.67</v>
      </c>
      <c r="H1613" s="0" t="n">
        <v>530.79</v>
      </c>
      <c r="I1613" s="11" t="n">
        <f aca="false">H1613-G1613</f>
        <v>-3.88</v>
      </c>
      <c r="J1613" s="5" t="n">
        <f aca="false">IF(G1613=0,"",I1613/G1613)</f>
        <v>-0.00725681261338769</v>
      </c>
      <c r="K1613" s="0" t="n">
        <v>78.8</v>
      </c>
      <c r="L1613" s="0" t="n">
        <v>25.83</v>
      </c>
      <c r="M1613" s="11" t="s">
        <v>2769</v>
      </c>
      <c r="N1613" s="12" t="n">
        <f aca="false">INT(E1613)</f>
        <v>45789</v>
      </c>
      <c r="O1613" s="12" t="n">
        <f aca="false">IF(F1613="","",INT(F1613))</f>
        <v>45790</v>
      </c>
    </row>
    <row r="1614" customFormat="false" ht="15" hidden="false" customHeight="false" outlineLevel="0" collapsed="false">
      <c r="A1614" s="0" t="s">
        <v>3270</v>
      </c>
      <c r="B1614" s="0" t="s">
        <v>3271</v>
      </c>
      <c r="C1614" s="0" t="s">
        <v>23</v>
      </c>
      <c r="D1614" s="0" t="s">
        <v>42</v>
      </c>
      <c r="E1614" s="10" t="n">
        <v>45789.4229166667</v>
      </c>
      <c r="F1614" s="10" t="n">
        <v>45790.1931134259</v>
      </c>
      <c r="G1614" s="0" t="n">
        <v>245.57</v>
      </c>
      <c r="H1614" s="0" t="n">
        <v>237.97</v>
      </c>
      <c r="I1614" s="11" t="n">
        <f aca="false">H1614-G1614</f>
        <v>-7.59999999999999</v>
      </c>
      <c r="J1614" s="5" t="n">
        <f aca="false">IF(G1614=0,"",I1614/G1614)</f>
        <v>-0.030948405749888</v>
      </c>
      <c r="K1614" s="0" t="n">
        <v>98.8</v>
      </c>
      <c r="L1614" s="0" t="n">
        <v>18.48</v>
      </c>
      <c r="M1614" s="11" t="s">
        <v>2769</v>
      </c>
      <c r="N1614" s="12" t="n">
        <f aca="false">INT(E1614)</f>
        <v>45789</v>
      </c>
      <c r="O1614" s="12" t="n">
        <f aca="false">IF(F1614="","",INT(F1614))</f>
        <v>45790</v>
      </c>
    </row>
    <row r="1615" customFormat="false" ht="15" hidden="false" customHeight="false" outlineLevel="0" collapsed="false">
      <c r="A1615" s="0" t="s">
        <v>3272</v>
      </c>
      <c r="B1615" s="0" t="s">
        <v>3273</v>
      </c>
      <c r="C1615" s="0" t="s">
        <v>24</v>
      </c>
      <c r="D1615" s="0" t="s">
        <v>42</v>
      </c>
      <c r="E1615" s="10" t="n">
        <v>45789.4402777778</v>
      </c>
      <c r="F1615" s="10" t="n">
        <v>45792.3715277778</v>
      </c>
      <c r="G1615" s="0" t="n">
        <v>237.13</v>
      </c>
      <c r="H1615" s="0" t="n">
        <v>238.66</v>
      </c>
      <c r="I1615" s="11" t="n">
        <f aca="false">H1615-G1615</f>
        <v>1.53</v>
      </c>
      <c r="J1615" s="5" t="n">
        <f aca="false">IF(G1615=0,"",I1615/G1615)</f>
        <v>0.00645215704465905</v>
      </c>
      <c r="K1615" s="0" t="n">
        <v>78.3</v>
      </c>
      <c r="L1615" s="0" t="n">
        <v>70.35</v>
      </c>
      <c r="M1615" s="11" t="s">
        <v>2769</v>
      </c>
      <c r="N1615" s="12" t="n">
        <f aca="false">INT(E1615)</f>
        <v>45789</v>
      </c>
      <c r="O1615" s="12" t="n">
        <f aca="false">IF(F1615="","",INT(F1615))</f>
        <v>45792</v>
      </c>
    </row>
    <row r="1616" customFormat="false" ht="15" hidden="false" customHeight="false" outlineLevel="0" collapsed="false">
      <c r="A1616" s="0" t="s">
        <v>3274</v>
      </c>
      <c r="B1616" s="0" t="s">
        <v>3275</v>
      </c>
      <c r="C1616" s="0" t="s">
        <v>20</v>
      </c>
      <c r="D1616" s="0" t="s">
        <v>42</v>
      </c>
      <c r="E1616" s="10" t="n">
        <v>45789.4729166667</v>
      </c>
      <c r="F1616" s="10" t="n">
        <v>45790.8063425926</v>
      </c>
      <c r="G1616" s="0" t="n">
        <v>1111.99</v>
      </c>
      <c r="H1616" s="0" t="n">
        <v>1141.03</v>
      </c>
      <c r="I1616" s="11" t="n">
        <f aca="false">H1616-G1616</f>
        <v>29.04</v>
      </c>
      <c r="J1616" s="5" t="n">
        <f aca="false">IF(G1616=0,"",I1616/G1616)</f>
        <v>0.0261153427638737</v>
      </c>
      <c r="K1616" s="0" t="n">
        <v>177.9</v>
      </c>
      <c r="L1616" s="0" t="n">
        <v>32</v>
      </c>
      <c r="M1616" s="11" t="s">
        <v>2769</v>
      </c>
      <c r="N1616" s="12" t="n">
        <f aca="false">INT(E1616)</f>
        <v>45789</v>
      </c>
      <c r="O1616" s="12" t="n">
        <f aca="false">IF(F1616="","",INT(F1616))</f>
        <v>45790</v>
      </c>
    </row>
    <row r="1617" customFormat="false" ht="15" hidden="false" customHeight="false" outlineLevel="0" collapsed="false">
      <c r="A1617" s="0" t="s">
        <v>3276</v>
      </c>
      <c r="B1617" s="0" t="s">
        <v>3277</v>
      </c>
      <c r="C1617" s="0" t="s">
        <v>21</v>
      </c>
      <c r="D1617" s="0" t="s">
        <v>42</v>
      </c>
      <c r="E1617" s="10" t="n">
        <v>45789.4805555556</v>
      </c>
      <c r="F1617" s="10" t="n">
        <v>45791.3020833333</v>
      </c>
      <c r="G1617" s="0" t="n">
        <v>2824.32</v>
      </c>
      <c r="H1617" s="0" t="n">
        <v>2755.51</v>
      </c>
      <c r="I1617" s="11" t="n">
        <f aca="false">H1617-G1617</f>
        <v>-68.81</v>
      </c>
      <c r="J1617" s="5" t="n">
        <f aca="false">IF(G1617=0,"",I1617/G1617)</f>
        <v>-0.0243633865850895</v>
      </c>
      <c r="K1617" s="0" t="n">
        <v>531.3</v>
      </c>
      <c r="L1617" s="0" t="n">
        <v>43.72</v>
      </c>
      <c r="M1617" s="11" t="s">
        <v>2769</v>
      </c>
      <c r="N1617" s="12" t="n">
        <f aca="false">INT(E1617)</f>
        <v>45789</v>
      </c>
      <c r="O1617" s="12" t="n">
        <f aca="false">IF(F1617="","",INT(F1617))</f>
        <v>45791</v>
      </c>
    </row>
    <row r="1618" customFormat="false" ht="15" hidden="false" customHeight="false" outlineLevel="0" collapsed="false">
      <c r="A1618" s="0" t="s">
        <v>3278</v>
      </c>
      <c r="B1618" s="0" t="s">
        <v>3279</v>
      </c>
      <c r="C1618" s="0" t="s">
        <v>23</v>
      </c>
      <c r="D1618" s="0" t="s">
        <v>42</v>
      </c>
      <c r="E1618" s="10" t="n">
        <v>45789.4923611111</v>
      </c>
      <c r="F1618" s="10" t="n">
        <v>45790.7480439815</v>
      </c>
      <c r="G1618" s="0" t="n">
        <v>475.96</v>
      </c>
      <c r="H1618" s="0" t="n">
        <v>477.41</v>
      </c>
      <c r="I1618" s="11" t="n">
        <f aca="false">H1618-G1618</f>
        <v>1.45000000000005</v>
      </c>
      <c r="J1618" s="5" t="n">
        <f aca="false">IF(G1618=0,"",I1618/G1618)</f>
        <v>0.00304647449365503</v>
      </c>
      <c r="K1618" s="0" t="n">
        <v>99.5</v>
      </c>
      <c r="L1618" s="0" t="n">
        <v>30.14</v>
      </c>
      <c r="M1618" s="11" t="s">
        <v>2769</v>
      </c>
      <c r="N1618" s="12" t="n">
        <f aca="false">INT(E1618)</f>
        <v>45789</v>
      </c>
      <c r="O1618" s="12" t="n">
        <f aca="false">IF(F1618="","",INT(F1618))</f>
        <v>45790</v>
      </c>
    </row>
    <row r="1619" customFormat="false" ht="15" hidden="false" customHeight="false" outlineLevel="0" collapsed="false">
      <c r="A1619" s="0" t="s">
        <v>3280</v>
      </c>
      <c r="B1619" s="0" t="s">
        <v>3281</v>
      </c>
      <c r="C1619" s="0" t="s">
        <v>21</v>
      </c>
      <c r="D1619" s="0" t="s">
        <v>42</v>
      </c>
      <c r="E1619" s="10" t="n">
        <v>45789.5076388889</v>
      </c>
      <c r="F1619" s="10" t="n">
        <v>45789.7715277778</v>
      </c>
      <c r="G1619" s="0" t="n">
        <v>961.85</v>
      </c>
      <c r="H1619" s="0" t="n">
        <v>949.03</v>
      </c>
      <c r="I1619" s="11" t="n">
        <f aca="false">H1619-G1619</f>
        <v>-12.8200000000001</v>
      </c>
      <c r="J1619" s="5" t="n">
        <f aca="false">IF(G1619=0,"",I1619/G1619)</f>
        <v>-0.0133284815719707</v>
      </c>
      <c r="K1619" s="0" t="n">
        <v>178.4</v>
      </c>
      <c r="L1619" s="0" t="n">
        <v>6.33</v>
      </c>
      <c r="M1619" s="11" t="s">
        <v>2769</v>
      </c>
      <c r="N1619" s="12" t="n">
        <f aca="false">INT(E1619)</f>
        <v>45789</v>
      </c>
      <c r="O1619" s="12" t="n">
        <f aca="false">IF(F1619="","",INT(F1619))</f>
        <v>45789</v>
      </c>
    </row>
    <row r="1620" customFormat="false" ht="15" hidden="false" customHeight="false" outlineLevel="0" collapsed="false">
      <c r="A1620" s="0" t="s">
        <v>3282</v>
      </c>
      <c r="B1620" s="0" t="s">
        <v>3283</v>
      </c>
      <c r="C1620" s="0" t="s">
        <v>20</v>
      </c>
      <c r="D1620" s="0" t="s">
        <v>42</v>
      </c>
      <c r="E1620" s="10" t="n">
        <v>45789.5097222222</v>
      </c>
      <c r="F1620" s="10" t="n">
        <v>45790.2770023148</v>
      </c>
      <c r="G1620" s="0" t="n">
        <v>163.78</v>
      </c>
      <c r="H1620" s="0" t="n">
        <v>164.44</v>
      </c>
      <c r="I1620" s="11" t="n">
        <f aca="false">H1620-G1620</f>
        <v>0.659999999999997</v>
      </c>
      <c r="J1620" s="5" t="n">
        <f aca="false">IF(G1620=0,"",I1620/G1620)</f>
        <v>0.00402979606789594</v>
      </c>
      <c r="K1620" s="0" t="n">
        <v>24.3</v>
      </c>
      <c r="L1620" s="0" t="n">
        <v>18.41</v>
      </c>
      <c r="M1620" s="11" t="s">
        <v>2769</v>
      </c>
      <c r="N1620" s="12" t="n">
        <f aca="false">INT(E1620)</f>
        <v>45789</v>
      </c>
      <c r="O1620" s="12" t="n">
        <f aca="false">IF(F1620="","",INT(F1620))</f>
        <v>45790</v>
      </c>
    </row>
    <row r="1621" customFormat="false" ht="15" hidden="false" customHeight="false" outlineLevel="0" collapsed="false">
      <c r="A1621" s="0" t="s">
        <v>3284</v>
      </c>
      <c r="B1621" s="0" t="s">
        <v>3285</v>
      </c>
      <c r="C1621" s="0" t="s">
        <v>23</v>
      </c>
      <c r="D1621" s="0" t="s">
        <v>42</v>
      </c>
      <c r="E1621" s="10" t="n">
        <v>45789.5104166667</v>
      </c>
      <c r="F1621" s="10" t="n">
        <v>45790.7785763889</v>
      </c>
      <c r="G1621" s="0" t="n">
        <v>572.69</v>
      </c>
      <c r="H1621" s="0" t="n">
        <v>571.87</v>
      </c>
      <c r="I1621" s="11" t="n">
        <f aca="false">H1621-G1621</f>
        <v>-0.82000000000005</v>
      </c>
      <c r="J1621" s="5" t="n">
        <f aca="false">IF(G1621=0,"",I1621/G1621)</f>
        <v>-0.00143183921493312</v>
      </c>
      <c r="K1621" s="0" t="n">
        <v>140.3</v>
      </c>
      <c r="L1621" s="0" t="n">
        <v>30.44</v>
      </c>
      <c r="M1621" s="11" t="s">
        <v>2769</v>
      </c>
      <c r="N1621" s="12" t="n">
        <f aca="false">INT(E1621)</f>
        <v>45789</v>
      </c>
      <c r="O1621" s="12" t="n">
        <f aca="false">IF(F1621="","",INT(F1621))</f>
        <v>45790</v>
      </c>
    </row>
    <row r="1622" customFormat="false" ht="15" hidden="false" customHeight="false" outlineLevel="0" collapsed="false">
      <c r="A1622" s="0" t="s">
        <v>3286</v>
      </c>
      <c r="B1622" s="0" t="s">
        <v>3287</v>
      </c>
      <c r="C1622" s="0" t="s">
        <v>21</v>
      </c>
      <c r="D1622" s="0" t="s">
        <v>42</v>
      </c>
      <c r="E1622" s="10" t="n">
        <v>45789.5201388889</v>
      </c>
      <c r="F1622" s="10" t="n">
        <v>45790.3319444444</v>
      </c>
      <c r="G1622" s="0" t="n">
        <v>219.6</v>
      </c>
      <c r="H1622" s="0" t="n">
        <v>217.25</v>
      </c>
      <c r="I1622" s="11" t="n">
        <f aca="false">H1622-G1622</f>
        <v>-2.34999999999999</v>
      </c>
      <c r="J1622" s="5" t="n">
        <f aca="false">IF(G1622=0,"",I1622/G1622)</f>
        <v>-0.0107012750455373</v>
      </c>
      <c r="K1622" s="0" t="n">
        <v>35.9</v>
      </c>
      <c r="L1622" s="0" t="n">
        <v>19.48</v>
      </c>
      <c r="M1622" s="11" t="s">
        <v>2769</v>
      </c>
      <c r="N1622" s="12" t="n">
        <f aca="false">INT(E1622)</f>
        <v>45789</v>
      </c>
      <c r="O1622" s="12" t="n">
        <f aca="false">IF(F1622="","",INT(F1622))</f>
        <v>45790</v>
      </c>
    </row>
    <row r="1623" customFormat="false" ht="15" hidden="false" customHeight="false" outlineLevel="0" collapsed="false">
      <c r="A1623" s="0" t="s">
        <v>3288</v>
      </c>
      <c r="B1623" s="0" t="s">
        <v>3289</v>
      </c>
      <c r="C1623" s="0" t="s">
        <v>20</v>
      </c>
      <c r="D1623" s="0" t="s">
        <v>42</v>
      </c>
      <c r="E1623" s="10" t="n">
        <v>45789.5298611111</v>
      </c>
      <c r="F1623" s="10" t="n">
        <v>45790.7527777778</v>
      </c>
      <c r="G1623" s="0" t="n">
        <v>748.44</v>
      </c>
      <c r="H1623" s="0" t="n">
        <v>749.92</v>
      </c>
      <c r="I1623" s="11" t="n">
        <f aca="false">H1623-G1623</f>
        <v>1.4799999999999</v>
      </c>
      <c r="J1623" s="5" t="n">
        <f aca="false">IF(G1623=0,"",I1623/G1623)</f>
        <v>0.00197744642189074</v>
      </c>
      <c r="K1623" s="0" t="n">
        <v>127.2</v>
      </c>
      <c r="L1623" s="0" t="n">
        <v>29.35</v>
      </c>
      <c r="M1623" s="11" t="s">
        <v>2769</v>
      </c>
      <c r="N1623" s="12" t="n">
        <f aca="false">INT(E1623)</f>
        <v>45789</v>
      </c>
      <c r="O1623" s="12" t="n">
        <f aca="false">IF(F1623="","",INT(F1623))</f>
        <v>45790</v>
      </c>
    </row>
    <row r="1624" customFormat="false" ht="15" hidden="false" customHeight="false" outlineLevel="0" collapsed="false">
      <c r="A1624" s="0" t="s">
        <v>3290</v>
      </c>
      <c r="B1624" s="0" t="s">
        <v>3291</v>
      </c>
      <c r="C1624" s="0" t="s">
        <v>21</v>
      </c>
      <c r="D1624" s="0" t="s">
        <v>42</v>
      </c>
      <c r="E1624" s="10" t="n">
        <v>45789.5354166667</v>
      </c>
      <c r="F1624" s="10" t="n">
        <v>45790.0243055556</v>
      </c>
      <c r="G1624" s="0" t="n">
        <v>192.73</v>
      </c>
      <c r="H1624" s="0" t="n">
        <v>195.24</v>
      </c>
      <c r="I1624" s="11" t="n">
        <f aca="false">H1624-G1624</f>
        <v>2.51000000000002</v>
      </c>
      <c r="J1624" s="5" t="n">
        <f aca="false">IF(G1624=0,"",I1624/G1624)</f>
        <v>0.0130234006122556</v>
      </c>
      <c r="K1624" s="0" t="n">
        <v>49.4</v>
      </c>
      <c r="L1624" s="0" t="n">
        <v>11.73</v>
      </c>
      <c r="M1624" s="11" t="s">
        <v>2769</v>
      </c>
      <c r="N1624" s="12" t="n">
        <f aca="false">INT(E1624)</f>
        <v>45789</v>
      </c>
      <c r="O1624" s="12" t="n">
        <f aca="false">IF(F1624="","",INT(F1624))</f>
        <v>45790</v>
      </c>
    </row>
    <row r="1625" customFormat="false" ht="15" hidden="false" customHeight="false" outlineLevel="0" collapsed="false">
      <c r="A1625" s="0" t="s">
        <v>3292</v>
      </c>
      <c r="B1625" s="0" t="s">
        <v>3293</v>
      </c>
      <c r="C1625" s="0" t="s">
        <v>22</v>
      </c>
      <c r="D1625" s="0" t="s">
        <v>48</v>
      </c>
      <c r="E1625" s="10" t="n">
        <v>45789.5430555556</v>
      </c>
      <c r="F1625" s="10"/>
      <c r="G1625" s="0" t="n">
        <v>447.66</v>
      </c>
      <c r="H1625" s="0" t="n">
        <v>581.81</v>
      </c>
      <c r="I1625" s="11" t="n">
        <f aca="false">H1625-G1625</f>
        <v>134.15</v>
      </c>
      <c r="J1625" s="5" t="n">
        <f aca="false">IF(G1625=0,"",I1625/G1625)</f>
        <v>0.299669391949247</v>
      </c>
      <c r="K1625" s="0" t="n">
        <v>53.9</v>
      </c>
      <c r="M1625" s="11" t="s">
        <v>2769</v>
      </c>
      <c r="N1625" s="12" t="n">
        <f aca="false">INT(E1625)</f>
        <v>45789</v>
      </c>
      <c r="O1625" s="12" t="str">
        <f aca="false">IF(F1625="","",INT(F1625))</f>
        <v/>
      </c>
    </row>
    <row r="1626" customFormat="false" ht="15" hidden="false" customHeight="false" outlineLevel="0" collapsed="false">
      <c r="A1626" s="0" t="s">
        <v>3294</v>
      </c>
      <c r="B1626" s="0" t="s">
        <v>3295</v>
      </c>
      <c r="C1626" s="0" t="s">
        <v>24</v>
      </c>
      <c r="D1626" s="0" t="s">
        <v>42</v>
      </c>
      <c r="E1626" s="10" t="n">
        <v>45789.5451388889</v>
      </c>
      <c r="F1626" s="10" t="n">
        <v>45790.9355671296</v>
      </c>
      <c r="G1626" s="0" t="n">
        <v>951.56</v>
      </c>
      <c r="H1626" s="0" t="n">
        <v>946.6</v>
      </c>
      <c r="I1626" s="11" t="n">
        <f aca="false">H1626-G1626</f>
        <v>-4.95999999999992</v>
      </c>
      <c r="J1626" s="5" t="n">
        <f aca="false">IF(G1626=0,"",I1626/G1626)</f>
        <v>-0.00521249316911169</v>
      </c>
      <c r="K1626" s="0" t="n">
        <v>358.8</v>
      </c>
      <c r="L1626" s="0" t="n">
        <v>33.37</v>
      </c>
      <c r="M1626" s="11" t="s">
        <v>2769</v>
      </c>
      <c r="N1626" s="12" t="n">
        <f aca="false">INT(E1626)</f>
        <v>45789</v>
      </c>
      <c r="O1626" s="12" t="n">
        <f aca="false">IF(F1626="","",INT(F1626))</f>
        <v>45790</v>
      </c>
    </row>
    <row r="1627" customFormat="false" ht="15" hidden="false" customHeight="false" outlineLevel="0" collapsed="false">
      <c r="A1627" s="0" t="s">
        <v>3296</v>
      </c>
      <c r="B1627" s="0" t="s">
        <v>3297</v>
      </c>
      <c r="C1627" s="0" t="s">
        <v>21</v>
      </c>
      <c r="D1627" s="0" t="s">
        <v>42</v>
      </c>
      <c r="E1627" s="10" t="n">
        <v>45789.5784722222</v>
      </c>
      <c r="F1627" s="10" t="n">
        <v>45790.7479166667</v>
      </c>
      <c r="G1627" s="0" t="n">
        <v>228.23</v>
      </c>
      <c r="H1627" s="0" t="n">
        <v>224.99</v>
      </c>
      <c r="I1627" s="11" t="n">
        <f aca="false">H1627-G1627</f>
        <v>-3.23999999999998</v>
      </c>
      <c r="J1627" s="5" t="n">
        <f aca="false">IF(G1627=0,"",I1627/G1627)</f>
        <v>-0.0141962055820882</v>
      </c>
      <c r="K1627" s="0" t="n">
        <v>28.4</v>
      </c>
      <c r="L1627" s="0" t="n">
        <v>28.07</v>
      </c>
      <c r="M1627" s="11" t="s">
        <v>2769</v>
      </c>
      <c r="N1627" s="12" t="n">
        <f aca="false">INT(E1627)</f>
        <v>45789</v>
      </c>
      <c r="O1627" s="12" t="n">
        <f aca="false">IF(F1627="","",INT(F1627))</f>
        <v>45790</v>
      </c>
    </row>
    <row r="1628" customFormat="false" ht="15" hidden="false" customHeight="false" outlineLevel="0" collapsed="false">
      <c r="A1628" s="0" t="s">
        <v>3298</v>
      </c>
      <c r="B1628" s="0" t="s">
        <v>3299</v>
      </c>
      <c r="C1628" s="0" t="s">
        <v>23</v>
      </c>
      <c r="D1628" s="0" t="s">
        <v>42</v>
      </c>
      <c r="E1628" s="10" t="n">
        <v>45789.5944444445</v>
      </c>
      <c r="F1628" s="10" t="n">
        <v>45794.1490625</v>
      </c>
      <c r="G1628" s="0" t="n">
        <v>207.84</v>
      </c>
      <c r="H1628" s="0" t="n">
        <v>210.74</v>
      </c>
      <c r="I1628" s="11" t="n">
        <f aca="false">H1628-G1628</f>
        <v>2.90000000000001</v>
      </c>
      <c r="J1628" s="5" t="n">
        <f aca="false">IF(G1628=0,"",I1628/G1628)</f>
        <v>0.0139530408006159</v>
      </c>
      <c r="K1628" s="0" t="n">
        <v>86.2</v>
      </c>
      <c r="L1628" s="0" t="n">
        <v>105.73</v>
      </c>
      <c r="M1628" s="11" t="s">
        <v>2769</v>
      </c>
      <c r="N1628" s="12" t="n">
        <f aca="false">INT(E1628)</f>
        <v>45789</v>
      </c>
      <c r="O1628" s="12" t="n">
        <f aca="false">IF(F1628="","",INT(F1628))</f>
        <v>45794</v>
      </c>
    </row>
    <row r="1629" customFormat="false" ht="15" hidden="false" customHeight="false" outlineLevel="0" collapsed="false">
      <c r="A1629" s="0" t="s">
        <v>3300</v>
      </c>
      <c r="B1629" s="0" t="s">
        <v>3301</v>
      </c>
      <c r="C1629" s="0" t="s">
        <v>22</v>
      </c>
      <c r="D1629" s="0" t="s">
        <v>42</v>
      </c>
      <c r="E1629" s="10" t="n">
        <v>45789.5972222222</v>
      </c>
      <c r="F1629" s="10" t="n">
        <v>45790.2291666667</v>
      </c>
      <c r="G1629" s="0" t="n">
        <v>592.14</v>
      </c>
      <c r="H1629" s="0" t="n">
        <v>608.43</v>
      </c>
      <c r="I1629" s="11" t="n">
        <f aca="false">H1629-G1629</f>
        <v>16.29</v>
      </c>
      <c r="J1629" s="5" t="n">
        <f aca="false">IF(G1629=0,"",I1629/G1629)</f>
        <v>0.0275103860573512</v>
      </c>
      <c r="K1629" s="0" t="n">
        <v>80.9</v>
      </c>
      <c r="L1629" s="0" t="n">
        <v>15.17</v>
      </c>
      <c r="M1629" s="11" t="s">
        <v>2769</v>
      </c>
      <c r="N1629" s="12" t="n">
        <f aca="false">INT(E1629)</f>
        <v>45789</v>
      </c>
      <c r="O1629" s="12" t="n">
        <f aca="false">IF(F1629="","",INT(F1629))</f>
        <v>45790</v>
      </c>
    </row>
    <row r="1630" customFormat="false" ht="15" hidden="false" customHeight="false" outlineLevel="0" collapsed="false">
      <c r="A1630" s="0" t="s">
        <v>3302</v>
      </c>
      <c r="B1630" s="0" t="s">
        <v>3303</v>
      </c>
      <c r="C1630" s="0" t="s">
        <v>24</v>
      </c>
      <c r="D1630" s="0" t="s">
        <v>42</v>
      </c>
      <c r="E1630" s="10" t="n">
        <v>45789.6006944445</v>
      </c>
      <c r="F1630" s="10" t="n">
        <v>45790.2017476852</v>
      </c>
      <c r="G1630" s="0" t="n">
        <v>268.54</v>
      </c>
      <c r="H1630" s="0" t="n">
        <v>266.11</v>
      </c>
      <c r="I1630" s="11" t="n">
        <f aca="false">H1630-G1630</f>
        <v>-2.43000000000001</v>
      </c>
      <c r="J1630" s="5" t="n">
        <f aca="false">IF(G1630=0,"",I1630/G1630)</f>
        <v>-0.00904893125791319</v>
      </c>
      <c r="K1630" s="0" t="n">
        <v>100.1</v>
      </c>
      <c r="L1630" s="0" t="n">
        <v>14.43</v>
      </c>
      <c r="M1630" s="11" t="s">
        <v>2769</v>
      </c>
      <c r="N1630" s="12" t="n">
        <f aca="false">INT(E1630)</f>
        <v>45789</v>
      </c>
      <c r="O1630" s="12" t="n">
        <f aca="false">IF(F1630="","",INT(F1630))</f>
        <v>45790</v>
      </c>
    </row>
    <row r="1631" customFormat="false" ht="15" hidden="false" customHeight="false" outlineLevel="0" collapsed="false">
      <c r="A1631" s="0" t="s">
        <v>3304</v>
      </c>
      <c r="B1631" s="0" t="s">
        <v>3305</v>
      </c>
      <c r="C1631" s="0" t="s">
        <v>20</v>
      </c>
      <c r="D1631" s="0" t="s">
        <v>42</v>
      </c>
      <c r="E1631" s="10" t="n">
        <v>45789.6423611111</v>
      </c>
      <c r="F1631" s="10" t="n">
        <v>45792.0798611111</v>
      </c>
      <c r="G1631" s="0" t="n">
        <v>113.85</v>
      </c>
      <c r="H1631" s="0" t="n">
        <v>110.66</v>
      </c>
      <c r="I1631" s="11" t="n">
        <f aca="false">H1631-G1631</f>
        <v>-3.19</v>
      </c>
      <c r="J1631" s="5" t="n">
        <f aca="false">IF(G1631=0,"",I1631/G1631)</f>
        <v>-0.0280193236714976</v>
      </c>
      <c r="K1631" s="0" t="n">
        <v>19.4</v>
      </c>
      <c r="L1631" s="0" t="n">
        <v>58.5</v>
      </c>
      <c r="M1631" s="11" t="s">
        <v>2769</v>
      </c>
      <c r="N1631" s="12" t="n">
        <f aca="false">INT(E1631)</f>
        <v>45789</v>
      </c>
      <c r="O1631" s="12" t="n">
        <f aca="false">IF(F1631="","",INT(F1631))</f>
        <v>45792</v>
      </c>
    </row>
    <row r="1632" customFormat="false" ht="15" hidden="false" customHeight="false" outlineLevel="0" collapsed="false">
      <c r="A1632" s="0" t="s">
        <v>3306</v>
      </c>
      <c r="B1632" s="0" t="s">
        <v>3307</v>
      </c>
      <c r="C1632" s="0" t="s">
        <v>21</v>
      </c>
      <c r="D1632" s="0" t="s">
        <v>42</v>
      </c>
      <c r="E1632" s="10" t="n">
        <v>45789.6506944444</v>
      </c>
      <c r="F1632" s="10" t="n">
        <v>45790.1763888889</v>
      </c>
      <c r="G1632" s="0" t="n">
        <v>174.33</v>
      </c>
      <c r="H1632" s="0" t="n">
        <v>173.77</v>
      </c>
      <c r="I1632" s="11" t="n">
        <f aca="false">H1632-G1632</f>
        <v>-0.560000000000002</v>
      </c>
      <c r="J1632" s="5" t="n">
        <f aca="false">IF(G1632=0,"",I1632/G1632)</f>
        <v>-0.00321229851431195</v>
      </c>
      <c r="K1632" s="0" t="n">
        <v>23.1</v>
      </c>
      <c r="L1632" s="0" t="n">
        <v>12.62</v>
      </c>
      <c r="M1632" s="11" t="s">
        <v>2769</v>
      </c>
      <c r="N1632" s="12" t="n">
        <f aca="false">INT(E1632)</f>
        <v>45789</v>
      </c>
      <c r="O1632" s="12" t="n">
        <f aca="false">IF(F1632="","",INT(F1632))</f>
        <v>45790</v>
      </c>
    </row>
    <row r="1633" customFormat="false" ht="15" hidden="false" customHeight="false" outlineLevel="0" collapsed="false">
      <c r="A1633" s="0" t="s">
        <v>3308</v>
      </c>
      <c r="B1633" s="0" t="s">
        <v>3309</v>
      </c>
      <c r="C1633" s="0" t="s">
        <v>20</v>
      </c>
      <c r="D1633" s="0" t="s">
        <v>42</v>
      </c>
      <c r="E1633" s="10" t="n">
        <v>45789.6548611111</v>
      </c>
      <c r="F1633" s="10" t="n">
        <v>45791.1597222222</v>
      </c>
      <c r="G1633" s="0" t="n">
        <v>485.15</v>
      </c>
      <c r="H1633" s="0" t="n">
        <v>474.57</v>
      </c>
      <c r="I1633" s="11" t="n">
        <f aca="false">H1633-G1633</f>
        <v>-10.58</v>
      </c>
      <c r="J1633" s="5" t="n">
        <f aca="false">IF(G1633=0,"",I1633/G1633)</f>
        <v>-0.0218076883438112</v>
      </c>
      <c r="K1633" s="0" t="n">
        <v>54.4</v>
      </c>
      <c r="L1633" s="0" t="n">
        <v>36.12</v>
      </c>
      <c r="M1633" s="11" t="s">
        <v>2769</v>
      </c>
      <c r="N1633" s="12" t="n">
        <f aca="false">INT(E1633)</f>
        <v>45789</v>
      </c>
      <c r="O1633" s="12" t="n">
        <f aca="false">IF(F1633="","",INT(F1633))</f>
        <v>45791</v>
      </c>
    </row>
    <row r="1634" customFormat="false" ht="15" hidden="false" customHeight="false" outlineLevel="0" collapsed="false">
      <c r="A1634" s="0" t="s">
        <v>3310</v>
      </c>
      <c r="B1634" s="0" t="s">
        <v>3311</v>
      </c>
      <c r="C1634" s="0" t="s">
        <v>23</v>
      </c>
      <c r="D1634" s="0" t="s">
        <v>42</v>
      </c>
      <c r="E1634" s="10" t="n">
        <v>45789.6743055556</v>
      </c>
      <c r="F1634" s="10" t="n">
        <v>45790.2986111111</v>
      </c>
      <c r="G1634" s="0" t="n">
        <v>1350.96</v>
      </c>
      <c r="H1634" s="0" t="n">
        <v>1352.27</v>
      </c>
      <c r="I1634" s="11" t="n">
        <f aca="false">H1634-G1634</f>
        <v>1.30999999999995</v>
      </c>
      <c r="J1634" s="5" t="n">
        <f aca="false">IF(G1634=0,"",I1634/G1634)</f>
        <v>0.000969680819565306</v>
      </c>
      <c r="K1634" s="0" t="n">
        <v>453.3</v>
      </c>
      <c r="L1634" s="0" t="n">
        <v>14.98</v>
      </c>
      <c r="M1634" s="11" t="s">
        <v>2769</v>
      </c>
      <c r="N1634" s="12" t="n">
        <f aca="false">INT(E1634)</f>
        <v>45789</v>
      </c>
      <c r="O1634" s="12" t="n">
        <f aca="false">IF(F1634="","",INT(F1634))</f>
        <v>45790</v>
      </c>
    </row>
    <row r="1635" customFormat="false" ht="15" hidden="false" customHeight="false" outlineLevel="0" collapsed="false">
      <c r="A1635" s="0" t="s">
        <v>3312</v>
      </c>
      <c r="B1635" s="0" t="s">
        <v>3313</v>
      </c>
      <c r="C1635" s="0" t="s">
        <v>21</v>
      </c>
      <c r="D1635" s="0" t="s">
        <v>42</v>
      </c>
      <c r="E1635" s="10" t="n">
        <v>45789.7006944444</v>
      </c>
      <c r="F1635" s="10" t="n">
        <v>45791.1222222222</v>
      </c>
      <c r="G1635" s="0" t="n">
        <v>75.42</v>
      </c>
      <c r="H1635" s="0" t="n">
        <v>75.03</v>
      </c>
      <c r="I1635" s="11" t="n">
        <f aca="false">H1635-G1635</f>
        <v>-0.390000000000001</v>
      </c>
      <c r="J1635" s="5" t="n">
        <f aca="false">IF(G1635=0,"",I1635/G1635)</f>
        <v>-0.00517104216388227</v>
      </c>
      <c r="K1635" s="0" t="n">
        <v>19.5</v>
      </c>
      <c r="L1635" s="0" t="n">
        <v>34.12</v>
      </c>
      <c r="M1635" s="11" t="s">
        <v>2769</v>
      </c>
      <c r="N1635" s="12" t="n">
        <f aca="false">INT(E1635)</f>
        <v>45789</v>
      </c>
      <c r="O1635" s="12" t="n">
        <f aca="false">IF(F1635="","",INT(F1635))</f>
        <v>45791</v>
      </c>
    </row>
    <row r="1636" customFormat="false" ht="15" hidden="false" customHeight="false" outlineLevel="0" collapsed="false">
      <c r="A1636" s="0" t="s">
        <v>3314</v>
      </c>
      <c r="B1636" s="0" t="s">
        <v>3315</v>
      </c>
      <c r="C1636" s="0" t="s">
        <v>24</v>
      </c>
      <c r="D1636" s="0" t="s">
        <v>42</v>
      </c>
      <c r="E1636" s="10" t="n">
        <v>45789.7048611111</v>
      </c>
      <c r="F1636" s="10" t="n">
        <v>45791.1270833333</v>
      </c>
      <c r="G1636" s="0" t="n">
        <v>1189.99</v>
      </c>
      <c r="H1636" s="0" t="n">
        <v>1197.31</v>
      </c>
      <c r="I1636" s="11" t="n">
        <f aca="false">H1636-G1636</f>
        <v>7.31999999999994</v>
      </c>
      <c r="J1636" s="5" t="n">
        <f aca="false">IF(G1636=0,"",I1636/G1636)</f>
        <v>0.00615131219590075</v>
      </c>
      <c r="K1636" s="0" t="n">
        <v>457.9</v>
      </c>
      <c r="L1636" s="0" t="n">
        <v>34.13</v>
      </c>
      <c r="M1636" s="11" t="s">
        <v>2769</v>
      </c>
      <c r="N1636" s="12" t="n">
        <f aca="false">INT(E1636)</f>
        <v>45789</v>
      </c>
      <c r="O1636" s="12" t="n">
        <f aca="false">IF(F1636="","",INT(F1636))</f>
        <v>45791</v>
      </c>
    </row>
    <row r="1637" customFormat="false" ht="15" hidden="false" customHeight="false" outlineLevel="0" collapsed="false">
      <c r="A1637" s="0" t="s">
        <v>3316</v>
      </c>
      <c r="B1637" s="0" t="s">
        <v>3317</v>
      </c>
      <c r="C1637" s="0" t="s">
        <v>23</v>
      </c>
      <c r="D1637" s="0" t="s">
        <v>42</v>
      </c>
      <c r="E1637" s="10" t="n">
        <v>45789.7159722222</v>
      </c>
      <c r="F1637" s="10" t="n">
        <v>45791.8194097222</v>
      </c>
      <c r="G1637" s="0" t="n">
        <v>349.85</v>
      </c>
      <c r="H1637" s="0" t="n">
        <v>362</v>
      </c>
      <c r="I1637" s="11" t="n">
        <f aca="false">H1637-G1637</f>
        <v>12.15</v>
      </c>
      <c r="J1637" s="5" t="n">
        <f aca="false">IF(G1637=0,"",I1637/G1637)</f>
        <v>0.0347291696441331</v>
      </c>
      <c r="K1637" s="0" t="n">
        <v>91.6</v>
      </c>
      <c r="L1637" s="0" t="n">
        <v>50.48</v>
      </c>
      <c r="M1637" s="11" t="s">
        <v>2769</v>
      </c>
      <c r="N1637" s="12" t="n">
        <f aca="false">INT(E1637)</f>
        <v>45789</v>
      </c>
      <c r="O1637" s="12" t="n">
        <f aca="false">IF(F1637="","",INT(F1637))</f>
        <v>45791</v>
      </c>
    </row>
    <row r="1638" customFormat="false" ht="15" hidden="false" customHeight="false" outlineLevel="0" collapsed="false">
      <c r="A1638" s="0" t="s">
        <v>3318</v>
      </c>
      <c r="B1638" s="0" t="s">
        <v>3319</v>
      </c>
      <c r="C1638" s="0" t="s">
        <v>21</v>
      </c>
      <c r="D1638" s="0" t="s">
        <v>42</v>
      </c>
      <c r="E1638" s="10" t="n">
        <v>45789.7166666667</v>
      </c>
      <c r="F1638" s="10" t="n">
        <v>45791.1784722222</v>
      </c>
      <c r="G1638" s="0" t="n">
        <v>99.43</v>
      </c>
      <c r="H1638" s="0" t="n">
        <v>101.17</v>
      </c>
      <c r="I1638" s="11" t="n">
        <f aca="false">H1638-G1638</f>
        <v>1.73999999999999</v>
      </c>
      <c r="J1638" s="5" t="n">
        <f aca="false">IF(G1638=0,"",I1638/G1638)</f>
        <v>0.0174997485668309</v>
      </c>
      <c r="K1638" s="0" t="n">
        <v>27.4</v>
      </c>
      <c r="L1638" s="0" t="n">
        <v>35.08</v>
      </c>
      <c r="M1638" s="11" t="s">
        <v>2769</v>
      </c>
      <c r="N1638" s="12" t="n">
        <f aca="false">INT(E1638)</f>
        <v>45789</v>
      </c>
      <c r="O1638" s="12" t="n">
        <f aca="false">IF(F1638="","",INT(F1638))</f>
        <v>45791</v>
      </c>
    </row>
    <row r="1639" customFormat="false" ht="15" hidden="false" customHeight="false" outlineLevel="0" collapsed="false">
      <c r="A1639" s="0" t="s">
        <v>3320</v>
      </c>
      <c r="B1639" s="0" t="s">
        <v>3321</v>
      </c>
      <c r="C1639" s="0" t="s">
        <v>20</v>
      </c>
      <c r="D1639" s="0" t="s">
        <v>42</v>
      </c>
      <c r="E1639" s="10" t="n">
        <v>45789.7194444445</v>
      </c>
      <c r="F1639" s="10" t="n">
        <v>45791.4951388889</v>
      </c>
      <c r="G1639" s="0" t="n">
        <v>46.6</v>
      </c>
      <c r="H1639" s="0" t="n">
        <v>46.75</v>
      </c>
      <c r="I1639" s="11" t="n">
        <f aca="false">H1639-G1639</f>
        <v>0.149999999999999</v>
      </c>
      <c r="J1639" s="5" t="n">
        <f aca="false">IF(G1639=0,"",I1639/G1639)</f>
        <v>0.00321888412017164</v>
      </c>
      <c r="K1639" s="0" t="n">
        <v>8.8</v>
      </c>
      <c r="L1639" s="0" t="n">
        <v>42.62</v>
      </c>
      <c r="M1639" s="11" t="s">
        <v>2769</v>
      </c>
      <c r="N1639" s="12" t="n">
        <f aca="false">INT(E1639)</f>
        <v>45789</v>
      </c>
      <c r="O1639" s="12" t="n">
        <f aca="false">IF(F1639="","",INT(F1639))</f>
        <v>45791</v>
      </c>
    </row>
    <row r="1640" customFormat="false" ht="15" hidden="false" customHeight="false" outlineLevel="0" collapsed="false">
      <c r="A1640" s="0" t="s">
        <v>3322</v>
      </c>
      <c r="B1640" s="0" t="s">
        <v>3323</v>
      </c>
      <c r="C1640" s="0" t="s">
        <v>19</v>
      </c>
      <c r="D1640" s="0" t="s">
        <v>42</v>
      </c>
      <c r="E1640" s="10" t="n">
        <v>45789.7430555556</v>
      </c>
      <c r="F1640" s="10" t="n">
        <v>45792.8492592593</v>
      </c>
      <c r="G1640" s="0" t="n">
        <v>247.76</v>
      </c>
      <c r="H1640" s="0" t="n">
        <v>248.04</v>
      </c>
      <c r="I1640" s="11" t="n">
        <f aca="false">H1640-G1640</f>
        <v>0.280000000000001</v>
      </c>
      <c r="J1640" s="5" t="n">
        <f aca="false">IF(G1640=0,"",I1640/G1640)</f>
        <v>0.00113012592831773</v>
      </c>
      <c r="K1640" s="0" t="n">
        <v>39.5</v>
      </c>
      <c r="L1640" s="0" t="n">
        <v>74.55</v>
      </c>
      <c r="M1640" s="11" t="s">
        <v>2769</v>
      </c>
      <c r="N1640" s="12" t="n">
        <f aca="false">INT(E1640)</f>
        <v>45789</v>
      </c>
      <c r="O1640" s="12" t="n">
        <f aca="false">IF(F1640="","",INT(F1640))</f>
        <v>45792</v>
      </c>
    </row>
    <row r="1641" customFormat="false" ht="15" hidden="false" customHeight="false" outlineLevel="0" collapsed="false">
      <c r="A1641" s="0" t="s">
        <v>3324</v>
      </c>
      <c r="B1641" s="0" t="s">
        <v>3325</v>
      </c>
      <c r="C1641" s="0" t="s">
        <v>22</v>
      </c>
      <c r="D1641" s="0" t="s">
        <v>42</v>
      </c>
      <c r="E1641" s="10" t="n">
        <v>45789.7444444444</v>
      </c>
      <c r="F1641" s="10" t="n">
        <v>45790.4361111111</v>
      </c>
      <c r="G1641" s="0" t="n">
        <v>292.61</v>
      </c>
      <c r="H1641" s="0" t="n">
        <v>294.9</v>
      </c>
      <c r="I1641" s="11" t="n">
        <f aca="false">H1641-G1641</f>
        <v>2.28999999999996</v>
      </c>
      <c r="J1641" s="5" t="n">
        <f aca="false">IF(G1641=0,"",I1641/G1641)</f>
        <v>0.00782611667407116</v>
      </c>
      <c r="K1641" s="0" t="n">
        <v>31.5</v>
      </c>
      <c r="L1641" s="0" t="n">
        <v>16.6</v>
      </c>
      <c r="M1641" s="11" t="s">
        <v>2769</v>
      </c>
      <c r="N1641" s="12" t="n">
        <f aca="false">INT(E1641)</f>
        <v>45789</v>
      </c>
      <c r="O1641" s="12" t="n">
        <f aca="false">IF(F1641="","",INT(F1641))</f>
        <v>45790</v>
      </c>
    </row>
    <row r="1642" customFormat="false" ht="15" hidden="false" customHeight="false" outlineLevel="0" collapsed="false">
      <c r="A1642" s="0" t="s">
        <v>3326</v>
      </c>
      <c r="B1642" s="0" t="s">
        <v>3327</v>
      </c>
      <c r="C1642" s="0" t="s">
        <v>21</v>
      </c>
      <c r="D1642" s="0" t="s">
        <v>42</v>
      </c>
      <c r="E1642" s="10" t="n">
        <v>45789.78125</v>
      </c>
      <c r="F1642" s="10" t="n">
        <v>45790.3633912037</v>
      </c>
      <c r="G1642" s="0" t="n">
        <v>748</v>
      </c>
      <c r="H1642" s="0" t="n">
        <v>742.25</v>
      </c>
      <c r="I1642" s="11" t="n">
        <f aca="false">H1642-G1642</f>
        <v>-5.75</v>
      </c>
      <c r="J1642" s="5" t="n">
        <f aca="false">IF(G1642=0,"",I1642/G1642)</f>
        <v>-0.00768716577540107</v>
      </c>
      <c r="K1642" s="0" t="n">
        <v>207.8</v>
      </c>
      <c r="L1642" s="0" t="n">
        <v>13.97</v>
      </c>
      <c r="M1642" s="11" t="s">
        <v>2769</v>
      </c>
      <c r="N1642" s="12" t="n">
        <f aca="false">INT(E1642)</f>
        <v>45789</v>
      </c>
      <c r="O1642" s="12" t="n">
        <f aca="false">IF(F1642="","",INT(F1642))</f>
        <v>45790</v>
      </c>
    </row>
    <row r="1643" customFormat="false" ht="15" hidden="false" customHeight="false" outlineLevel="0" collapsed="false">
      <c r="A1643" s="0" t="s">
        <v>3328</v>
      </c>
      <c r="B1643" s="0" t="s">
        <v>3329</v>
      </c>
      <c r="C1643" s="0" t="s">
        <v>19</v>
      </c>
      <c r="D1643" s="0" t="s">
        <v>42</v>
      </c>
      <c r="E1643" s="10" t="n">
        <v>45790.3138888889</v>
      </c>
      <c r="F1643" s="10" t="n">
        <v>45790.5722222222</v>
      </c>
      <c r="G1643" s="0" t="n">
        <v>909.64</v>
      </c>
      <c r="H1643" s="0" t="n">
        <v>904.37</v>
      </c>
      <c r="I1643" s="11" t="n">
        <f aca="false">H1643-G1643</f>
        <v>-5.26999999999998</v>
      </c>
      <c r="J1643" s="5" t="n">
        <f aca="false">IF(G1643=0,"",I1643/G1643)</f>
        <v>-0.00579350072556174</v>
      </c>
      <c r="K1643" s="0" t="n">
        <v>153</v>
      </c>
      <c r="L1643" s="0" t="n">
        <v>6.2</v>
      </c>
      <c r="M1643" s="11" t="s">
        <v>2769</v>
      </c>
      <c r="N1643" s="12" t="n">
        <f aca="false">INT(E1643)</f>
        <v>45790</v>
      </c>
      <c r="O1643" s="12" t="n">
        <f aca="false">IF(F1643="","",INT(F1643))</f>
        <v>45790</v>
      </c>
    </row>
    <row r="1644" customFormat="false" ht="15" hidden="false" customHeight="false" outlineLevel="0" collapsed="false">
      <c r="A1644" s="0" t="s">
        <v>3330</v>
      </c>
      <c r="B1644" s="0" t="s">
        <v>3331</v>
      </c>
      <c r="C1644" s="0" t="s">
        <v>21</v>
      </c>
      <c r="D1644" s="0" t="s">
        <v>42</v>
      </c>
      <c r="E1644" s="10" t="n">
        <v>45790.3333333333</v>
      </c>
      <c r="F1644" s="10" t="n">
        <v>45790.7721759259</v>
      </c>
      <c r="G1644" s="0" t="n">
        <v>572.35</v>
      </c>
      <c r="H1644" s="0" t="n">
        <v>549.67</v>
      </c>
      <c r="I1644" s="11" t="n">
        <f aca="false">H1644-G1644</f>
        <v>-22.6800000000001</v>
      </c>
      <c r="J1644" s="5" t="n">
        <f aca="false">IF(G1644=0,"",I1644/G1644)</f>
        <v>-0.0396261029090593</v>
      </c>
      <c r="K1644" s="0" t="n">
        <v>117.5</v>
      </c>
      <c r="L1644" s="0" t="n">
        <v>10.53</v>
      </c>
      <c r="M1644" s="11" t="s">
        <v>2769</v>
      </c>
      <c r="N1644" s="12" t="n">
        <f aca="false">INT(E1644)</f>
        <v>45790</v>
      </c>
      <c r="O1644" s="12" t="n">
        <f aca="false">IF(F1644="","",INT(F1644))</f>
        <v>45790</v>
      </c>
    </row>
    <row r="1645" customFormat="false" ht="15" hidden="false" customHeight="false" outlineLevel="0" collapsed="false">
      <c r="A1645" s="0" t="s">
        <v>3332</v>
      </c>
      <c r="B1645" s="0" t="s">
        <v>3333</v>
      </c>
      <c r="C1645" s="0" t="s">
        <v>20</v>
      </c>
      <c r="D1645" s="0" t="s">
        <v>42</v>
      </c>
      <c r="E1645" s="10" t="n">
        <v>45790.3763888889</v>
      </c>
      <c r="F1645" s="10" t="n">
        <v>45790.9985763889</v>
      </c>
      <c r="G1645" s="0" t="n">
        <v>274.79</v>
      </c>
      <c r="H1645" s="0" t="n">
        <v>273.14</v>
      </c>
      <c r="I1645" s="11" t="n">
        <f aca="false">H1645-G1645</f>
        <v>-1.65000000000003</v>
      </c>
      <c r="J1645" s="5" t="n">
        <f aca="false">IF(G1645=0,"",I1645/G1645)</f>
        <v>-0.0060045853196988</v>
      </c>
      <c r="K1645" s="0" t="n">
        <v>58.3</v>
      </c>
      <c r="L1645" s="0" t="n">
        <v>14.93</v>
      </c>
      <c r="M1645" s="11" t="s">
        <v>2769</v>
      </c>
      <c r="N1645" s="12" t="n">
        <f aca="false">INT(E1645)</f>
        <v>45790</v>
      </c>
      <c r="O1645" s="12" t="n">
        <f aca="false">IF(F1645="","",INT(F1645))</f>
        <v>45790</v>
      </c>
    </row>
    <row r="1646" customFormat="false" ht="15" hidden="false" customHeight="false" outlineLevel="0" collapsed="false">
      <c r="A1646" s="0" t="s">
        <v>3334</v>
      </c>
      <c r="B1646" s="0" t="s">
        <v>3335</v>
      </c>
      <c r="C1646" s="0" t="s">
        <v>21</v>
      </c>
      <c r="D1646" s="0" t="s">
        <v>42</v>
      </c>
      <c r="E1646" s="10" t="n">
        <v>45790.3895833333</v>
      </c>
      <c r="F1646" s="10" t="n">
        <v>45791.0385185185</v>
      </c>
      <c r="G1646" s="0" t="n">
        <v>1206.1</v>
      </c>
      <c r="H1646" s="0" t="n">
        <v>1195.85</v>
      </c>
      <c r="I1646" s="11" t="n">
        <f aca="false">H1646-G1646</f>
        <v>-10.25</v>
      </c>
      <c r="J1646" s="5" t="n">
        <f aca="false">IF(G1646=0,"",I1646/G1646)</f>
        <v>-0.00849846613050328</v>
      </c>
      <c r="K1646" s="0" t="n">
        <v>156.4</v>
      </c>
      <c r="L1646" s="0" t="n">
        <v>15.57</v>
      </c>
      <c r="M1646" s="11" t="s">
        <v>2769</v>
      </c>
      <c r="N1646" s="12" t="n">
        <f aca="false">INT(E1646)</f>
        <v>45790</v>
      </c>
      <c r="O1646" s="12" t="n">
        <f aca="false">IF(F1646="","",INT(F1646))</f>
        <v>45791</v>
      </c>
    </row>
    <row r="1647" customFormat="false" ht="15" hidden="false" customHeight="false" outlineLevel="0" collapsed="false">
      <c r="A1647" s="0" t="s">
        <v>3336</v>
      </c>
      <c r="B1647" s="0" t="s">
        <v>3337</v>
      </c>
      <c r="C1647" s="0" t="s">
        <v>19</v>
      </c>
      <c r="D1647" s="0" t="s">
        <v>42</v>
      </c>
      <c r="E1647" s="10" t="n">
        <v>45790.4013888889</v>
      </c>
      <c r="F1647" s="10" t="n">
        <v>45791.8548611111</v>
      </c>
      <c r="G1647" s="0" t="n">
        <v>447.1</v>
      </c>
      <c r="H1647" s="0" t="n">
        <v>453.52</v>
      </c>
      <c r="I1647" s="11" t="n">
        <f aca="false">H1647-G1647</f>
        <v>6.41999999999996</v>
      </c>
      <c r="J1647" s="5" t="n">
        <f aca="false">IF(G1647=0,"",I1647/G1647)</f>
        <v>0.0143592037575486</v>
      </c>
      <c r="K1647" s="0" t="n">
        <v>44.6</v>
      </c>
      <c r="L1647" s="0" t="n">
        <v>34.88</v>
      </c>
      <c r="M1647" s="11" t="s">
        <v>2769</v>
      </c>
      <c r="N1647" s="12" t="n">
        <f aca="false">INT(E1647)</f>
        <v>45790</v>
      </c>
      <c r="O1647" s="12" t="n">
        <f aca="false">IF(F1647="","",INT(F1647))</f>
        <v>45791</v>
      </c>
    </row>
    <row r="1648" customFormat="false" ht="15" hidden="false" customHeight="false" outlineLevel="0" collapsed="false">
      <c r="A1648" s="0" t="s">
        <v>3338</v>
      </c>
      <c r="B1648" s="0" t="s">
        <v>3339</v>
      </c>
      <c r="C1648" s="0" t="s">
        <v>20</v>
      </c>
      <c r="D1648" s="0" t="s">
        <v>42</v>
      </c>
      <c r="E1648" s="10" t="n">
        <v>45790.4159722222</v>
      </c>
      <c r="F1648" s="10" t="n">
        <v>45792.96875</v>
      </c>
      <c r="G1648" s="0" t="n">
        <v>776.5</v>
      </c>
      <c r="H1648" s="0" t="n">
        <v>774.39</v>
      </c>
      <c r="I1648" s="11" t="n">
        <f aca="false">H1648-G1648</f>
        <v>-2.11000000000001</v>
      </c>
      <c r="J1648" s="5" t="n">
        <f aca="false">IF(G1648=0,"",I1648/G1648)</f>
        <v>-0.00271732131358662</v>
      </c>
      <c r="K1648" s="0" t="n">
        <v>164.3</v>
      </c>
      <c r="L1648" s="0" t="n">
        <v>61.27</v>
      </c>
      <c r="M1648" s="11" t="s">
        <v>2769</v>
      </c>
      <c r="N1648" s="12" t="n">
        <f aca="false">INT(E1648)</f>
        <v>45790</v>
      </c>
      <c r="O1648" s="12" t="n">
        <f aca="false">IF(F1648="","",INT(F1648))</f>
        <v>45792</v>
      </c>
    </row>
    <row r="1649" customFormat="false" ht="15" hidden="false" customHeight="false" outlineLevel="0" collapsed="false">
      <c r="A1649" s="0" t="s">
        <v>3340</v>
      </c>
      <c r="B1649" s="0" t="s">
        <v>3341</v>
      </c>
      <c r="C1649" s="0" t="s">
        <v>21</v>
      </c>
      <c r="D1649" s="0" t="s">
        <v>42</v>
      </c>
      <c r="E1649" s="10" t="n">
        <v>45790.4243055556</v>
      </c>
      <c r="F1649" s="10" t="n">
        <v>45790.6768865741</v>
      </c>
      <c r="G1649" s="0" t="n">
        <v>654.53</v>
      </c>
      <c r="H1649" s="0" t="n">
        <v>645.81</v>
      </c>
      <c r="I1649" s="11" t="n">
        <f aca="false">H1649-G1649</f>
        <v>-8.72000000000003</v>
      </c>
      <c r="J1649" s="5" t="n">
        <f aca="false">IF(G1649=0,"",I1649/G1649)</f>
        <v>-0.0133225367821185</v>
      </c>
      <c r="K1649" s="0" t="n">
        <v>162.5</v>
      </c>
      <c r="L1649" s="0" t="n">
        <v>6.06</v>
      </c>
      <c r="M1649" s="11" t="s">
        <v>2769</v>
      </c>
      <c r="N1649" s="12" t="n">
        <f aca="false">INT(E1649)</f>
        <v>45790</v>
      </c>
      <c r="O1649" s="12" t="n">
        <f aca="false">IF(F1649="","",INT(F1649))</f>
        <v>45790</v>
      </c>
    </row>
    <row r="1650" customFormat="false" ht="15" hidden="false" customHeight="false" outlineLevel="0" collapsed="false">
      <c r="A1650" s="0" t="s">
        <v>3342</v>
      </c>
      <c r="B1650" s="0" t="s">
        <v>3343</v>
      </c>
      <c r="C1650" s="0" t="s">
        <v>24</v>
      </c>
      <c r="D1650" s="0" t="s">
        <v>42</v>
      </c>
      <c r="E1650" s="10" t="n">
        <v>45790.4416666667</v>
      </c>
      <c r="F1650" s="10" t="n">
        <v>45792.4888888889</v>
      </c>
      <c r="G1650" s="0" t="n">
        <v>235.56</v>
      </c>
      <c r="H1650" s="0" t="n">
        <v>239.87</v>
      </c>
      <c r="I1650" s="11" t="n">
        <f aca="false">H1650-G1650</f>
        <v>4.31</v>
      </c>
      <c r="J1650" s="5" t="n">
        <f aca="false">IF(G1650=0,"",I1650/G1650)</f>
        <v>0.0182968245882153</v>
      </c>
      <c r="K1650" s="0" t="n">
        <v>45.9</v>
      </c>
      <c r="L1650" s="0" t="n">
        <v>49.13</v>
      </c>
      <c r="M1650" s="11" t="s">
        <v>2769</v>
      </c>
      <c r="N1650" s="12" t="n">
        <f aca="false">INT(E1650)</f>
        <v>45790</v>
      </c>
      <c r="O1650" s="12" t="n">
        <f aca="false">IF(F1650="","",INT(F1650))</f>
        <v>45792</v>
      </c>
    </row>
    <row r="1651" customFormat="false" ht="15" hidden="false" customHeight="false" outlineLevel="0" collapsed="false">
      <c r="A1651" s="0" t="s">
        <v>3344</v>
      </c>
      <c r="B1651" s="0" t="s">
        <v>3345</v>
      </c>
      <c r="C1651" s="0" t="s">
        <v>21</v>
      </c>
      <c r="D1651" s="0" t="s">
        <v>42</v>
      </c>
      <c r="E1651" s="10" t="n">
        <v>45790.4548611111</v>
      </c>
      <c r="F1651" s="10" t="n">
        <v>45790.8284722222</v>
      </c>
      <c r="G1651" s="0" t="n">
        <v>255.21</v>
      </c>
      <c r="H1651" s="0" t="n">
        <v>253.54</v>
      </c>
      <c r="I1651" s="11" t="n">
        <f aca="false">H1651-G1651</f>
        <v>-1.67000000000002</v>
      </c>
      <c r="J1651" s="5" t="n">
        <f aca="false">IF(G1651=0,"",I1651/G1651)</f>
        <v>-0.00654363073547281</v>
      </c>
      <c r="K1651" s="0" t="n">
        <v>43.3</v>
      </c>
      <c r="L1651" s="0" t="n">
        <v>8.97</v>
      </c>
      <c r="M1651" s="11" t="s">
        <v>2769</v>
      </c>
      <c r="N1651" s="12" t="n">
        <f aca="false">INT(E1651)</f>
        <v>45790</v>
      </c>
      <c r="O1651" s="12" t="n">
        <f aca="false">IF(F1651="","",INT(F1651))</f>
        <v>45790</v>
      </c>
    </row>
    <row r="1652" customFormat="false" ht="15" hidden="false" customHeight="false" outlineLevel="0" collapsed="false">
      <c r="A1652" s="0" t="s">
        <v>3346</v>
      </c>
      <c r="B1652" s="0" t="s">
        <v>3347</v>
      </c>
      <c r="C1652" s="0" t="s">
        <v>20</v>
      </c>
      <c r="D1652" s="0" t="s">
        <v>42</v>
      </c>
      <c r="E1652" s="10" t="n">
        <v>45790.4590277778</v>
      </c>
      <c r="F1652" s="10" t="n">
        <v>45792.9162037037</v>
      </c>
      <c r="G1652" s="0" t="n">
        <v>245.18</v>
      </c>
      <c r="H1652" s="0" t="n">
        <v>260.85</v>
      </c>
      <c r="I1652" s="11" t="n">
        <f aca="false">H1652-G1652</f>
        <v>15.67</v>
      </c>
      <c r="J1652" s="5" t="n">
        <f aca="false">IF(G1652=0,"",I1652/G1652)</f>
        <v>0.0639122277510401</v>
      </c>
      <c r="K1652" s="0" t="n">
        <v>47</v>
      </c>
      <c r="L1652" s="0" t="n">
        <v>58.97</v>
      </c>
      <c r="M1652" s="11" t="s">
        <v>2769</v>
      </c>
      <c r="N1652" s="12" t="n">
        <f aca="false">INT(E1652)</f>
        <v>45790</v>
      </c>
      <c r="O1652" s="12" t="n">
        <f aca="false">IF(F1652="","",INT(F1652))</f>
        <v>45792</v>
      </c>
    </row>
    <row r="1653" customFormat="false" ht="15" hidden="false" customHeight="false" outlineLevel="0" collapsed="false">
      <c r="A1653" s="0" t="s">
        <v>3348</v>
      </c>
      <c r="B1653" s="0" t="s">
        <v>3349</v>
      </c>
      <c r="C1653" s="0" t="s">
        <v>22</v>
      </c>
      <c r="D1653" s="0" t="s">
        <v>42</v>
      </c>
      <c r="E1653" s="10" t="n">
        <v>45790.4861111111</v>
      </c>
      <c r="F1653" s="10" t="n">
        <v>45791.1703703704</v>
      </c>
      <c r="G1653" s="0" t="n">
        <v>1055.88</v>
      </c>
      <c r="H1653" s="0" t="n">
        <v>1093.59</v>
      </c>
      <c r="I1653" s="11" t="n">
        <f aca="false">H1653-G1653</f>
        <v>37.7099999999998</v>
      </c>
      <c r="J1653" s="5" t="n">
        <f aca="false">IF(G1653=0,"",I1653/G1653)</f>
        <v>0.0357142857142855</v>
      </c>
      <c r="K1653" s="0" t="n">
        <v>206.3</v>
      </c>
      <c r="L1653" s="0" t="n">
        <v>16.42</v>
      </c>
      <c r="M1653" s="11" t="s">
        <v>2769</v>
      </c>
      <c r="N1653" s="12" t="n">
        <f aca="false">INT(E1653)</f>
        <v>45790</v>
      </c>
      <c r="O1653" s="12" t="n">
        <f aca="false">IF(F1653="","",INT(F1653))</f>
        <v>45791</v>
      </c>
    </row>
    <row r="1654" customFormat="false" ht="15" hidden="false" customHeight="false" outlineLevel="0" collapsed="false">
      <c r="A1654" s="0" t="s">
        <v>3350</v>
      </c>
      <c r="B1654" s="0" t="s">
        <v>3351</v>
      </c>
      <c r="C1654" s="0" t="s">
        <v>23</v>
      </c>
      <c r="D1654" s="0" t="s">
        <v>42</v>
      </c>
      <c r="E1654" s="10" t="n">
        <v>45790.4972222222</v>
      </c>
      <c r="F1654" s="10" t="n">
        <v>45791.8645833333</v>
      </c>
      <c r="G1654" s="0" t="n">
        <v>799.89</v>
      </c>
      <c r="H1654" s="0" t="n">
        <v>779.8</v>
      </c>
      <c r="I1654" s="11" t="n">
        <f aca="false">H1654-G1654</f>
        <v>-20.09</v>
      </c>
      <c r="J1654" s="5" t="n">
        <f aca="false">IF(G1654=0,"",I1654/G1654)</f>
        <v>-0.0251159534435985</v>
      </c>
      <c r="K1654" s="0" t="n">
        <v>207.1</v>
      </c>
      <c r="L1654" s="0" t="n">
        <v>32.82</v>
      </c>
      <c r="M1654" s="11" t="s">
        <v>2769</v>
      </c>
      <c r="N1654" s="12" t="n">
        <f aca="false">INT(E1654)</f>
        <v>45790</v>
      </c>
      <c r="O1654" s="12" t="n">
        <f aca="false">IF(F1654="","",INT(F1654))</f>
        <v>45791</v>
      </c>
    </row>
    <row r="1655" customFormat="false" ht="15" hidden="false" customHeight="false" outlineLevel="0" collapsed="false">
      <c r="A1655" s="0" t="s">
        <v>3352</v>
      </c>
      <c r="B1655" s="0" t="s">
        <v>3353</v>
      </c>
      <c r="C1655" s="0" t="s">
        <v>23</v>
      </c>
      <c r="D1655" s="0" t="s">
        <v>42</v>
      </c>
      <c r="E1655" s="10" t="n">
        <v>45790.5381944445</v>
      </c>
      <c r="F1655" s="10" t="n">
        <v>45791.3097222222</v>
      </c>
      <c r="G1655" s="0" t="n">
        <v>204.85</v>
      </c>
      <c r="H1655" s="0" t="n">
        <v>206.89</v>
      </c>
      <c r="I1655" s="11" t="n">
        <f aca="false">H1655-G1655</f>
        <v>2.03999999999999</v>
      </c>
      <c r="J1655" s="5" t="n">
        <f aca="false">IF(G1655=0,"",I1655/G1655)</f>
        <v>0.00995850622406635</v>
      </c>
      <c r="K1655" s="0" t="n">
        <v>47.9</v>
      </c>
      <c r="L1655" s="0" t="n">
        <v>18.52</v>
      </c>
      <c r="M1655" s="11" t="s">
        <v>2769</v>
      </c>
      <c r="N1655" s="12" t="n">
        <f aca="false">INT(E1655)</f>
        <v>45790</v>
      </c>
      <c r="O1655" s="12" t="n">
        <f aca="false">IF(F1655="","",INT(F1655))</f>
        <v>45791</v>
      </c>
    </row>
    <row r="1656" customFormat="false" ht="15" hidden="false" customHeight="false" outlineLevel="0" collapsed="false">
      <c r="A1656" s="0" t="s">
        <v>3354</v>
      </c>
      <c r="B1656" s="0" t="s">
        <v>3355</v>
      </c>
      <c r="C1656" s="0" t="s">
        <v>20</v>
      </c>
      <c r="D1656" s="0" t="s">
        <v>42</v>
      </c>
      <c r="E1656" s="10" t="n">
        <v>45790.54375</v>
      </c>
      <c r="F1656" s="10" t="n">
        <v>45791.64375</v>
      </c>
      <c r="G1656" s="0" t="n">
        <v>1641.38</v>
      </c>
      <c r="H1656" s="0" t="n">
        <v>1632.44</v>
      </c>
      <c r="I1656" s="11" t="n">
        <f aca="false">H1656-G1656</f>
        <v>-8.94000000000006</v>
      </c>
      <c r="J1656" s="5" t="n">
        <f aca="false">IF(G1656=0,"",I1656/G1656)</f>
        <v>-0.00544663636695954</v>
      </c>
      <c r="K1656" s="0" t="n">
        <v>328.2</v>
      </c>
      <c r="L1656" s="0" t="n">
        <v>26.4</v>
      </c>
      <c r="M1656" s="11" t="s">
        <v>2769</v>
      </c>
      <c r="N1656" s="12" t="n">
        <f aca="false">INT(E1656)</f>
        <v>45790</v>
      </c>
      <c r="O1656" s="12" t="n">
        <f aca="false">IF(F1656="","",INT(F1656))</f>
        <v>45791</v>
      </c>
    </row>
    <row r="1657" customFormat="false" ht="15" hidden="false" customHeight="false" outlineLevel="0" collapsed="false">
      <c r="A1657" s="0" t="s">
        <v>3356</v>
      </c>
      <c r="B1657" s="0" t="s">
        <v>3357</v>
      </c>
      <c r="C1657" s="0" t="s">
        <v>20</v>
      </c>
      <c r="D1657" s="0" t="s">
        <v>42</v>
      </c>
      <c r="E1657" s="10" t="n">
        <v>45790.5819444444</v>
      </c>
      <c r="F1657" s="10" t="n">
        <v>45794.4178935185</v>
      </c>
      <c r="G1657" s="0" t="n">
        <v>337.3</v>
      </c>
      <c r="H1657" s="0" t="n">
        <v>339.56</v>
      </c>
      <c r="I1657" s="11" t="n">
        <f aca="false">H1657-G1657</f>
        <v>2.25999999999999</v>
      </c>
      <c r="J1657" s="5" t="n">
        <f aca="false">IF(G1657=0,"",I1657/G1657)</f>
        <v>0.00670026682478503</v>
      </c>
      <c r="K1657" s="0" t="n">
        <v>73.2</v>
      </c>
      <c r="L1657" s="0" t="n">
        <v>82.03</v>
      </c>
      <c r="M1657" s="11" t="s">
        <v>2769</v>
      </c>
      <c r="N1657" s="12" t="n">
        <f aca="false">INT(E1657)</f>
        <v>45790</v>
      </c>
      <c r="O1657" s="12" t="n">
        <f aca="false">IF(F1657="","",INT(F1657))</f>
        <v>45794</v>
      </c>
    </row>
    <row r="1658" customFormat="false" ht="15" hidden="false" customHeight="false" outlineLevel="0" collapsed="false">
      <c r="A1658" s="0" t="s">
        <v>3358</v>
      </c>
      <c r="B1658" s="0" t="s">
        <v>3359</v>
      </c>
      <c r="C1658" s="0" t="s">
        <v>20</v>
      </c>
      <c r="D1658" s="0" t="s">
        <v>42</v>
      </c>
      <c r="E1658" s="10" t="n">
        <v>45790.5916666667</v>
      </c>
      <c r="F1658" s="10" t="n">
        <v>45791.6930555556</v>
      </c>
      <c r="G1658" s="0" t="n">
        <v>830.53</v>
      </c>
      <c r="H1658" s="0" t="n">
        <v>853.69</v>
      </c>
      <c r="I1658" s="11" t="n">
        <f aca="false">H1658-G1658</f>
        <v>23.1600000000001</v>
      </c>
      <c r="J1658" s="5" t="n">
        <f aca="false">IF(G1658=0,"",I1658/G1658)</f>
        <v>0.0278858078576332</v>
      </c>
      <c r="K1658" s="0" t="n">
        <v>142.1</v>
      </c>
      <c r="L1658" s="0" t="n">
        <v>26.43</v>
      </c>
      <c r="M1658" s="11" t="s">
        <v>2769</v>
      </c>
      <c r="N1658" s="12" t="n">
        <f aca="false">INT(E1658)</f>
        <v>45790</v>
      </c>
      <c r="O1658" s="12" t="n">
        <f aca="false">IF(F1658="","",INT(F1658))</f>
        <v>45791</v>
      </c>
    </row>
    <row r="1659" customFormat="false" ht="15" hidden="false" customHeight="false" outlineLevel="0" collapsed="false">
      <c r="A1659" s="0" t="s">
        <v>3360</v>
      </c>
      <c r="B1659" s="0" t="s">
        <v>3361</v>
      </c>
      <c r="C1659" s="0" t="s">
        <v>22</v>
      </c>
      <c r="D1659" s="0" t="s">
        <v>42</v>
      </c>
      <c r="E1659" s="10" t="n">
        <v>45790.6048611111</v>
      </c>
      <c r="F1659" s="10" t="n">
        <v>45791.8083333333</v>
      </c>
      <c r="G1659" s="0" t="n">
        <v>536.52</v>
      </c>
      <c r="H1659" s="0" t="n">
        <v>522.16</v>
      </c>
      <c r="I1659" s="11" t="n">
        <f aca="false">H1659-G1659</f>
        <v>-14.36</v>
      </c>
      <c r="J1659" s="5" t="n">
        <f aca="false">IF(G1659=0,"",I1659/G1659)</f>
        <v>-0.0267650786550362</v>
      </c>
      <c r="K1659" s="0" t="n">
        <v>106.3</v>
      </c>
      <c r="L1659" s="0" t="n">
        <v>28.88</v>
      </c>
      <c r="M1659" s="11" t="s">
        <v>2769</v>
      </c>
      <c r="N1659" s="12" t="n">
        <f aca="false">INT(E1659)</f>
        <v>45790</v>
      </c>
      <c r="O1659" s="12" t="n">
        <f aca="false">IF(F1659="","",INT(F1659))</f>
        <v>45791</v>
      </c>
    </row>
    <row r="1660" customFormat="false" ht="15" hidden="false" customHeight="false" outlineLevel="0" collapsed="false">
      <c r="A1660" s="0" t="s">
        <v>3362</v>
      </c>
      <c r="B1660" s="0" t="s">
        <v>3363</v>
      </c>
      <c r="C1660" s="0" t="s">
        <v>19</v>
      </c>
      <c r="D1660" s="0" t="s">
        <v>42</v>
      </c>
      <c r="E1660" s="10" t="n">
        <v>45790.6090277778</v>
      </c>
      <c r="F1660" s="10" t="n">
        <v>45791.7970833333</v>
      </c>
      <c r="G1660" s="0" t="n">
        <v>119.98</v>
      </c>
      <c r="H1660" s="0" t="n">
        <v>120.66</v>
      </c>
      <c r="I1660" s="11" t="n">
        <f aca="false">H1660-G1660</f>
        <v>0.679999999999993</v>
      </c>
      <c r="J1660" s="5" t="n">
        <f aca="false">IF(G1660=0,"",I1660/G1660)</f>
        <v>0.0056676112685447</v>
      </c>
      <c r="K1660" s="0" t="n">
        <v>15.4</v>
      </c>
      <c r="L1660" s="0" t="n">
        <v>28.51</v>
      </c>
      <c r="M1660" s="11" t="s">
        <v>2769</v>
      </c>
      <c r="N1660" s="12" t="n">
        <f aca="false">INT(E1660)</f>
        <v>45790</v>
      </c>
      <c r="O1660" s="12" t="n">
        <f aca="false">IF(F1660="","",INT(F1660))</f>
        <v>45791</v>
      </c>
    </row>
    <row r="1661" customFormat="false" ht="15" hidden="false" customHeight="false" outlineLevel="0" collapsed="false">
      <c r="A1661" s="0" t="s">
        <v>3364</v>
      </c>
      <c r="B1661" s="0" t="s">
        <v>3365</v>
      </c>
      <c r="C1661" s="0" t="s">
        <v>19</v>
      </c>
      <c r="D1661" s="0" t="s">
        <v>42</v>
      </c>
      <c r="E1661" s="10" t="n">
        <v>45790.6222222222</v>
      </c>
      <c r="F1661" s="10" t="n">
        <v>45791.8104166667</v>
      </c>
      <c r="G1661" s="0" t="n">
        <v>103.42</v>
      </c>
      <c r="H1661" s="0" t="n">
        <v>102.46</v>
      </c>
      <c r="I1661" s="11" t="n">
        <f aca="false">H1661-G1661</f>
        <v>-0.960000000000008</v>
      </c>
      <c r="J1661" s="5" t="n">
        <f aca="false">IF(G1661=0,"",I1661/G1661)</f>
        <v>-0.00928253722684208</v>
      </c>
      <c r="K1661" s="0" t="n">
        <v>9</v>
      </c>
      <c r="L1661" s="0" t="n">
        <v>28.52</v>
      </c>
      <c r="M1661" s="11" t="s">
        <v>2769</v>
      </c>
      <c r="N1661" s="12" t="n">
        <f aca="false">INT(E1661)</f>
        <v>45790</v>
      </c>
      <c r="O1661" s="12" t="n">
        <f aca="false">IF(F1661="","",INT(F1661))</f>
        <v>45791</v>
      </c>
    </row>
    <row r="1662" customFormat="false" ht="15" hidden="false" customHeight="false" outlineLevel="0" collapsed="false">
      <c r="A1662" s="0" t="s">
        <v>3366</v>
      </c>
      <c r="B1662" s="0" t="s">
        <v>3367</v>
      </c>
      <c r="C1662" s="0" t="s">
        <v>20</v>
      </c>
      <c r="D1662" s="0" t="s">
        <v>48</v>
      </c>
      <c r="E1662" s="10" t="n">
        <v>45790.6319444445</v>
      </c>
      <c r="F1662" s="10"/>
      <c r="G1662" s="0" t="n">
        <v>1099.45</v>
      </c>
      <c r="H1662" s="0" t="n">
        <v>1071.11</v>
      </c>
      <c r="I1662" s="11" t="n">
        <f aca="false">H1662-G1662</f>
        <v>-28.3400000000001</v>
      </c>
      <c r="J1662" s="5" t="n">
        <f aca="false">IF(G1662=0,"",I1662/G1662)</f>
        <v>-0.0257765246259495</v>
      </c>
      <c r="K1662" s="0" t="n">
        <v>177.2</v>
      </c>
      <c r="M1662" s="11" t="s">
        <v>2769</v>
      </c>
      <c r="N1662" s="12" t="n">
        <f aca="false">INT(E1662)</f>
        <v>45790</v>
      </c>
      <c r="O1662" s="12" t="str">
        <f aca="false">IF(F1662="","",INT(F1662))</f>
        <v/>
      </c>
    </row>
    <row r="1663" customFormat="false" ht="15" hidden="false" customHeight="false" outlineLevel="0" collapsed="false">
      <c r="A1663" s="0" t="s">
        <v>3368</v>
      </c>
      <c r="B1663" s="0" t="s">
        <v>3369</v>
      </c>
      <c r="C1663" s="0" t="s">
        <v>21</v>
      </c>
      <c r="D1663" s="0" t="s">
        <v>42</v>
      </c>
      <c r="E1663" s="10" t="n">
        <v>45790.6319444445</v>
      </c>
      <c r="F1663" s="10" t="n">
        <v>45791.7604166667</v>
      </c>
      <c r="G1663" s="0" t="n">
        <v>1113.2</v>
      </c>
      <c r="H1663" s="0" t="n">
        <v>1155.08</v>
      </c>
      <c r="I1663" s="11" t="n">
        <f aca="false">H1663-G1663</f>
        <v>41.8799999999999</v>
      </c>
      <c r="J1663" s="5" t="n">
        <f aca="false">IF(G1663=0,"",I1663/G1663)</f>
        <v>0.0376212720086237</v>
      </c>
      <c r="K1663" s="0" t="n">
        <v>260.1</v>
      </c>
      <c r="L1663" s="0" t="n">
        <v>27.08</v>
      </c>
      <c r="M1663" s="11" t="s">
        <v>2769</v>
      </c>
      <c r="N1663" s="12" t="n">
        <f aca="false">INT(E1663)</f>
        <v>45790</v>
      </c>
      <c r="O1663" s="12" t="n">
        <f aca="false">IF(F1663="","",INT(F1663))</f>
        <v>45791</v>
      </c>
    </row>
    <row r="1664" customFormat="false" ht="15" hidden="false" customHeight="false" outlineLevel="0" collapsed="false">
      <c r="A1664" s="0" t="s">
        <v>3370</v>
      </c>
      <c r="B1664" s="0" t="s">
        <v>3371</v>
      </c>
      <c r="C1664" s="0" t="s">
        <v>23</v>
      </c>
      <c r="D1664" s="0" t="s">
        <v>42</v>
      </c>
      <c r="E1664" s="10" t="n">
        <v>45790.6479166667</v>
      </c>
      <c r="F1664" s="10" t="n">
        <v>45792.2569444445</v>
      </c>
      <c r="G1664" s="0" t="n">
        <v>111.59</v>
      </c>
      <c r="H1664" s="0" t="n">
        <v>111.67</v>
      </c>
      <c r="I1664" s="11" t="n">
        <f aca="false">H1664-G1664</f>
        <v>0.0799999999999983</v>
      </c>
      <c r="J1664" s="5" t="n">
        <f aca="false">IF(G1664=0,"",I1664/G1664)</f>
        <v>0.000716910117394017</v>
      </c>
      <c r="K1664" s="0" t="n">
        <v>29</v>
      </c>
      <c r="L1664" s="0" t="n">
        <v>38.62</v>
      </c>
      <c r="M1664" s="11" t="s">
        <v>2769</v>
      </c>
      <c r="N1664" s="12" t="n">
        <f aca="false">INT(E1664)</f>
        <v>45790</v>
      </c>
      <c r="O1664" s="12" t="n">
        <f aca="false">IF(F1664="","",INT(F1664))</f>
        <v>45792</v>
      </c>
    </row>
    <row r="1665" customFormat="false" ht="15" hidden="false" customHeight="false" outlineLevel="0" collapsed="false">
      <c r="A1665" s="0" t="s">
        <v>3372</v>
      </c>
      <c r="B1665" s="0" t="s">
        <v>3373</v>
      </c>
      <c r="C1665" s="0" t="s">
        <v>23</v>
      </c>
      <c r="D1665" s="0" t="s">
        <v>42</v>
      </c>
      <c r="E1665" s="10" t="n">
        <v>45790.6798611111</v>
      </c>
      <c r="F1665" s="10" t="n">
        <v>45792.4201388889</v>
      </c>
      <c r="G1665" s="0" t="n">
        <v>187.8</v>
      </c>
      <c r="H1665" s="0" t="n">
        <v>191.48</v>
      </c>
      <c r="I1665" s="11" t="n">
        <f aca="false">H1665-G1665</f>
        <v>3.67999999999998</v>
      </c>
      <c r="J1665" s="5" t="n">
        <f aca="false">IF(G1665=0,"",I1665/G1665)</f>
        <v>0.0195953141640041</v>
      </c>
      <c r="K1665" s="0" t="n">
        <v>57.4</v>
      </c>
      <c r="L1665" s="0" t="n">
        <v>41.77</v>
      </c>
      <c r="M1665" s="11" t="s">
        <v>2769</v>
      </c>
      <c r="N1665" s="12" t="n">
        <f aca="false">INT(E1665)</f>
        <v>45790</v>
      </c>
      <c r="O1665" s="12" t="n">
        <f aca="false">IF(F1665="","",INT(F1665))</f>
        <v>45792</v>
      </c>
    </row>
    <row r="1666" customFormat="false" ht="15" hidden="false" customHeight="false" outlineLevel="0" collapsed="false">
      <c r="A1666" s="0" t="s">
        <v>3374</v>
      </c>
      <c r="B1666" s="0" t="s">
        <v>3375</v>
      </c>
      <c r="C1666" s="0" t="s">
        <v>22</v>
      </c>
      <c r="D1666" s="0" t="s">
        <v>42</v>
      </c>
      <c r="E1666" s="10" t="n">
        <v>45790.7180555556</v>
      </c>
      <c r="F1666" s="10" t="n">
        <v>45791.6923611111</v>
      </c>
      <c r="G1666" s="0" t="n">
        <v>433.39</v>
      </c>
      <c r="H1666" s="0" t="n">
        <v>439.84</v>
      </c>
      <c r="I1666" s="11" t="n">
        <f aca="false">H1666-G1666</f>
        <v>6.44999999999999</v>
      </c>
      <c r="J1666" s="5" t="n">
        <f aca="false">IF(G1666=0,"",I1666/G1666)</f>
        <v>0.0148826691894137</v>
      </c>
      <c r="K1666" s="0" t="n">
        <v>65.9</v>
      </c>
      <c r="L1666" s="0" t="n">
        <v>23.38</v>
      </c>
      <c r="M1666" s="11" t="s">
        <v>2769</v>
      </c>
      <c r="N1666" s="12" t="n">
        <f aca="false">INT(E1666)</f>
        <v>45790</v>
      </c>
      <c r="O1666" s="12" t="n">
        <f aca="false">IF(F1666="","",INT(F1666))</f>
        <v>45791</v>
      </c>
    </row>
    <row r="1667" customFormat="false" ht="15" hidden="false" customHeight="false" outlineLevel="0" collapsed="false">
      <c r="A1667" s="0" t="s">
        <v>3376</v>
      </c>
      <c r="B1667" s="0" t="s">
        <v>3377</v>
      </c>
      <c r="C1667" s="0" t="s">
        <v>24</v>
      </c>
      <c r="D1667" s="0" t="s">
        <v>42</v>
      </c>
      <c r="E1667" s="10" t="n">
        <v>45790.7333333333</v>
      </c>
      <c r="F1667" s="10" t="n">
        <v>45791.6284490741</v>
      </c>
      <c r="G1667" s="0" t="n">
        <v>571.54</v>
      </c>
      <c r="H1667" s="0" t="n">
        <v>580.33</v>
      </c>
      <c r="I1667" s="11" t="n">
        <f aca="false">H1667-G1667</f>
        <v>8.79000000000008</v>
      </c>
      <c r="J1667" s="5" t="n">
        <f aca="false">IF(G1667=0,"",I1667/G1667)</f>
        <v>0.0153795009973057</v>
      </c>
      <c r="K1667" s="0" t="n">
        <v>238.9</v>
      </c>
      <c r="L1667" s="0" t="n">
        <v>21.48</v>
      </c>
      <c r="M1667" s="11" t="s">
        <v>2769</v>
      </c>
      <c r="N1667" s="12" t="n">
        <f aca="false">INT(E1667)</f>
        <v>45790</v>
      </c>
      <c r="O1667" s="12" t="n">
        <f aca="false">IF(F1667="","",INT(F1667))</f>
        <v>45791</v>
      </c>
    </row>
    <row r="1668" customFormat="false" ht="15" hidden="false" customHeight="false" outlineLevel="0" collapsed="false">
      <c r="A1668" s="0" t="s">
        <v>3378</v>
      </c>
      <c r="B1668" s="0" t="s">
        <v>3379</v>
      </c>
      <c r="C1668" s="0" t="s">
        <v>23</v>
      </c>
      <c r="D1668" s="0" t="s">
        <v>42</v>
      </c>
      <c r="E1668" s="10" t="n">
        <v>45790.7409722222</v>
      </c>
      <c r="F1668" s="10" t="n">
        <v>45793.5571412037</v>
      </c>
      <c r="G1668" s="0" t="n">
        <v>315.16</v>
      </c>
      <c r="H1668" s="0" t="n">
        <v>308.92</v>
      </c>
      <c r="I1668" s="11" t="n">
        <f aca="false">H1668-G1668</f>
        <v>-6.24000000000001</v>
      </c>
      <c r="J1668" s="5" t="n">
        <f aca="false">IF(G1668=0,"",I1668/G1668)</f>
        <v>-0.0197994669374286</v>
      </c>
      <c r="K1668" s="0" t="n">
        <v>109.6</v>
      </c>
      <c r="L1668" s="0" t="n">
        <v>67.59</v>
      </c>
      <c r="M1668" s="11" t="s">
        <v>2769</v>
      </c>
      <c r="N1668" s="12" t="n">
        <f aca="false">INT(E1668)</f>
        <v>45790</v>
      </c>
      <c r="O1668" s="12" t="n">
        <f aca="false">IF(F1668="","",INT(F1668))</f>
        <v>45793</v>
      </c>
    </row>
    <row r="1669" customFormat="false" ht="15" hidden="false" customHeight="false" outlineLevel="0" collapsed="false">
      <c r="A1669" s="0" t="s">
        <v>3380</v>
      </c>
      <c r="B1669" s="0" t="s">
        <v>3381</v>
      </c>
      <c r="C1669" s="0" t="s">
        <v>22</v>
      </c>
      <c r="D1669" s="0" t="s">
        <v>42</v>
      </c>
      <c r="E1669" s="10" t="n">
        <v>45790.7611111111</v>
      </c>
      <c r="F1669" s="10" t="n">
        <v>45791.5784722222</v>
      </c>
      <c r="G1669" s="0" t="n">
        <v>1010.63</v>
      </c>
      <c r="H1669" s="0" t="n">
        <v>994.13</v>
      </c>
      <c r="I1669" s="11" t="n">
        <f aca="false">H1669-G1669</f>
        <v>-16.5</v>
      </c>
      <c r="J1669" s="5" t="n">
        <f aca="false">IF(G1669=0,"",I1669/G1669)</f>
        <v>-0.0163264498382197</v>
      </c>
      <c r="K1669" s="0" t="n">
        <v>200.3</v>
      </c>
      <c r="L1669" s="0" t="n">
        <v>19.62</v>
      </c>
      <c r="M1669" s="11" t="s">
        <v>2769</v>
      </c>
      <c r="N1669" s="12" t="n">
        <f aca="false">INT(E1669)</f>
        <v>45790</v>
      </c>
      <c r="O1669" s="12" t="n">
        <f aca="false">IF(F1669="","",INT(F1669))</f>
        <v>45791</v>
      </c>
    </row>
    <row r="1670" customFormat="false" ht="15" hidden="false" customHeight="false" outlineLevel="0" collapsed="false">
      <c r="A1670" s="0" t="s">
        <v>3382</v>
      </c>
      <c r="B1670" s="0" t="s">
        <v>3383</v>
      </c>
      <c r="C1670" s="0" t="s">
        <v>21</v>
      </c>
      <c r="D1670" s="0" t="s">
        <v>42</v>
      </c>
      <c r="E1670" s="10" t="n">
        <v>45790.76875</v>
      </c>
      <c r="F1670" s="10" t="n">
        <v>45791.2344328704</v>
      </c>
      <c r="G1670" s="0" t="n">
        <v>228.08</v>
      </c>
      <c r="H1670" s="0" t="n">
        <v>232.66</v>
      </c>
      <c r="I1670" s="11" t="n">
        <f aca="false">H1670-G1670</f>
        <v>4.57999999999998</v>
      </c>
      <c r="J1670" s="5" t="n">
        <f aca="false">IF(G1670=0,"",I1670/G1670)</f>
        <v>0.0200806734479129</v>
      </c>
      <c r="K1670" s="0" t="n">
        <v>56.1</v>
      </c>
      <c r="L1670" s="0" t="n">
        <v>11.18</v>
      </c>
      <c r="M1670" s="11" t="s">
        <v>2769</v>
      </c>
      <c r="N1670" s="12" t="n">
        <f aca="false">INT(E1670)</f>
        <v>45790</v>
      </c>
      <c r="O1670" s="12" t="n">
        <f aca="false">IF(F1670="","",INT(F1670))</f>
        <v>45791</v>
      </c>
    </row>
    <row r="1671" customFormat="false" ht="15" hidden="false" customHeight="false" outlineLevel="0" collapsed="false">
      <c r="A1671" s="0" t="s">
        <v>3384</v>
      </c>
      <c r="B1671" s="0" t="s">
        <v>3385</v>
      </c>
      <c r="C1671" s="0" t="s">
        <v>19</v>
      </c>
      <c r="D1671" s="0" t="s">
        <v>42</v>
      </c>
      <c r="E1671" s="10" t="n">
        <v>45790.7770833333</v>
      </c>
      <c r="F1671" s="10" t="n">
        <v>45791.6493055556</v>
      </c>
      <c r="G1671" s="0" t="n">
        <v>1361.35</v>
      </c>
      <c r="H1671" s="0" t="n">
        <v>1352.74</v>
      </c>
      <c r="I1671" s="11" t="n">
        <f aca="false">H1671-G1671</f>
        <v>-8.6099999999999</v>
      </c>
      <c r="J1671" s="5" t="n">
        <f aca="false">IF(G1671=0,"",I1671/G1671)</f>
        <v>-0.00632460425313101</v>
      </c>
      <c r="K1671" s="0" t="n">
        <v>164.6</v>
      </c>
      <c r="L1671" s="0" t="n">
        <v>20.93</v>
      </c>
      <c r="M1671" s="11" t="s">
        <v>2769</v>
      </c>
      <c r="N1671" s="12" t="n">
        <f aca="false">INT(E1671)</f>
        <v>45790</v>
      </c>
      <c r="O1671" s="12" t="n">
        <f aca="false">IF(F1671="","",INT(F1671))</f>
        <v>45791</v>
      </c>
    </row>
    <row r="1672" customFormat="false" ht="15" hidden="false" customHeight="false" outlineLevel="0" collapsed="false">
      <c r="A1672" s="0" t="s">
        <v>3386</v>
      </c>
      <c r="B1672" s="0" t="s">
        <v>3387</v>
      </c>
      <c r="C1672" s="0" t="s">
        <v>23</v>
      </c>
      <c r="D1672" s="0" t="s">
        <v>42</v>
      </c>
      <c r="E1672" s="10" t="n">
        <v>45790.7868055556</v>
      </c>
      <c r="F1672" s="10" t="n">
        <v>45792.9183449074</v>
      </c>
      <c r="G1672" s="0" t="n">
        <v>415.01</v>
      </c>
      <c r="H1672" s="0" t="n">
        <v>421.54</v>
      </c>
      <c r="I1672" s="11" t="n">
        <f aca="false">H1672-G1672</f>
        <v>6.53000000000003</v>
      </c>
      <c r="J1672" s="5" t="n">
        <f aca="false">IF(G1672=0,"",I1672/G1672)</f>
        <v>0.0157345606129974</v>
      </c>
      <c r="K1672" s="0" t="n">
        <v>103.6</v>
      </c>
      <c r="L1672" s="0" t="n">
        <v>51.16</v>
      </c>
      <c r="M1672" s="11" t="s">
        <v>2769</v>
      </c>
      <c r="N1672" s="12" t="n">
        <f aca="false">INT(E1672)</f>
        <v>45790</v>
      </c>
      <c r="O1672" s="12" t="n">
        <f aca="false">IF(F1672="","",INT(F1672))</f>
        <v>45792</v>
      </c>
    </row>
    <row r="1673" customFormat="false" ht="15" hidden="false" customHeight="false" outlineLevel="0" collapsed="false">
      <c r="A1673" s="0" t="s">
        <v>3388</v>
      </c>
      <c r="B1673" s="0" t="s">
        <v>3389</v>
      </c>
      <c r="C1673" s="0" t="s">
        <v>21</v>
      </c>
      <c r="D1673" s="0" t="s">
        <v>42</v>
      </c>
      <c r="E1673" s="10" t="n">
        <v>45791.3194444445</v>
      </c>
      <c r="F1673" s="10" t="n">
        <v>45791.9114236111</v>
      </c>
      <c r="G1673" s="0" t="n">
        <v>403.98</v>
      </c>
      <c r="H1673" s="0" t="n">
        <v>402.79</v>
      </c>
      <c r="I1673" s="11" t="n">
        <f aca="false">H1673-G1673</f>
        <v>-1.19</v>
      </c>
      <c r="J1673" s="5" t="n">
        <f aca="false">IF(G1673=0,"",I1673/G1673)</f>
        <v>-0.00294569038071191</v>
      </c>
      <c r="K1673" s="0" t="n">
        <v>87.3</v>
      </c>
      <c r="L1673" s="0" t="n">
        <v>14.21</v>
      </c>
      <c r="M1673" s="11" t="s">
        <v>2769</v>
      </c>
      <c r="N1673" s="12" t="n">
        <f aca="false">INT(E1673)</f>
        <v>45791</v>
      </c>
      <c r="O1673" s="12" t="n">
        <f aca="false">IF(F1673="","",INT(F1673))</f>
        <v>45791</v>
      </c>
    </row>
    <row r="1674" customFormat="false" ht="15" hidden="false" customHeight="false" outlineLevel="0" collapsed="false">
      <c r="A1674" s="0" t="s">
        <v>3390</v>
      </c>
      <c r="B1674" s="0" t="s">
        <v>3391</v>
      </c>
      <c r="C1674" s="0" t="s">
        <v>21</v>
      </c>
      <c r="D1674" s="0" t="s">
        <v>42</v>
      </c>
      <c r="E1674" s="10" t="n">
        <v>45791.3326388889</v>
      </c>
      <c r="F1674" s="10" t="n">
        <v>45791.7200462963</v>
      </c>
      <c r="G1674" s="0" t="n">
        <v>616.36</v>
      </c>
      <c r="H1674" s="0" t="n">
        <v>622.67</v>
      </c>
      <c r="I1674" s="11" t="n">
        <f aca="false">H1674-G1674</f>
        <v>6.30999999999995</v>
      </c>
      <c r="J1674" s="5" t="n">
        <f aca="false">IF(G1674=0,"",I1674/G1674)</f>
        <v>0.0102375235252125</v>
      </c>
      <c r="K1674" s="0" t="n">
        <v>103.1</v>
      </c>
      <c r="L1674" s="0" t="n">
        <v>9.3</v>
      </c>
      <c r="M1674" s="11" t="s">
        <v>2769</v>
      </c>
      <c r="N1674" s="12" t="n">
        <f aca="false">INT(E1674)</f>
        <v>45791</v>
      </c>
      <c r="O1674" s="12" t="n">
        <f aca="false">IF(F1674="","",INT(F1674))</f>
        <v>45791</v>
      </c>
    </row>
    <row r="1675" customFormat="false" ht="15" hidden="false" customHeight="false" outlineLevel="0" collapsed="false">
      <c r="A1675" s="0" t="s">
        <v>3392</v>
      </c>
      <c r="B1675" s="0" t="s">
        <v>3393</v>
      </c>
      <c r="C1675" s="0" t="s">
        <v>22</v>
      </c>
      <c r="D1675" s="0" t="s">
        <v>42</v>
      </c>
      <c r="E1675" s="10" t="n">
        <v>45791.3416666667</v>
      </c>
      <c r="F1675" s="10" t="n">
        <v>45792.0319444445</v>
      </c>
      <c r="G1675" s="0" t="n">
        <v>415.65</v>
      </c>
      <c r="H1675" s="0" t="n">
        <v>423.72</v>
      </c>
      <c r="I1675" s="11" t="n">
        <f aca="false">H1675-G1675</f>
        <v>8.07000000000005</v>
      </c>
      <c r="J1675" s="5" t="n">
        <f aca="false">IF(G1675=0,"",I1675/G1675)</f>
        <v>0.0194153735113679</v>
      </c>
      <c r="K1675" s="0" t="n">
        <v>74.8</v>
      </c>
      <c r="L1675" s="0" t="n">
        <v>16.57</v>
      </c>
      <c r="M1675" s="11" t="s">
        <v>2769</v>
      </c>
      <c r="N1675" s="12" t="n">
        <f aca="false">INT(E1675)</f>
        <v>45791</v>
      </c>
      <c r="O1675" s="12" t="n">
        <f aca="false">IF(F1675="","",INT(F1675))</f>
        <v>45792</v>
      </c>
    </row>
    <row r="1676" customFormat="false" ht="15" hidden="false" customHeight="false" outlineLevel="0" collapsed="false">
      <c r="A1676" s="0" t="s">
        <v>3394</v>
      </c>
      <c r="B1676" s="0" t="s">
        <v>3395</v>
      </c>
      <c r="C1676" s="0" t="s">
        <v>19</v>
      </c>
      <c r="D1676" s="0" t="s">
        <v>42</v>
      </c>
      <c r="E1676" s="10" t="n">
        <v>45791.3486111111</v>
      </c>
      <c r="F1676" s="10" t="n">
        <v>45792.1145833333</v>
      </c>
      <c r="G1676" s="0" t="n">
        <v>512.5</v>
      </c>
      <c r="H1676" s="0" t="n">
        <v>517.95</v>
      </c>
      <c r="I1676" s="11" t="n">
        <f aca="false">H1676-G1676</f>
        <v>5.45000000000005</v>
      </c>
      <c r="J1676" s="5" t="n">
        <f aca="false">IF(G1676=0,"",I1676/G1676)</f>
        <v>0.0106341463414635</v>
      </c>
      <c r="K1676" s="0" t="n">
        <v>57.5</v>
      </c>
      <c r="L1676" s="0" t="n">
        <v>18.38</v>
      </c>
      <c r="M1676" s="11" t="s">
        <v>2769</v>
      </c>
      <c r="N1676" s="12" t="n">
        <f aca="false">INT(E1676)</f>
        <v>45791</v>
      </c>
      <c r="O1676" s="12" t="n">
        <f aca="false">IF(F1676="","",INT(F1676))</f>
        <v>45792</v>
      </c>
    </row>
    <row r="1677" customFormat="false" ht="15" hidden="false" customHeight="false" outlineLevel="0" collapsed="false">
      <c r="A1677" s="0" t="s">
        <v>3396</v>
      </c>
      <c r="B1677" s="0" t="s">
        <v>3397</v>
      </c>
      <c r="C1677" s="0" t="s">
        <v>20</v>
      </c>
      <c r="D1677" s="0" t="s">
        <v>42</v>
      </c>
      <c r="E1677" s="10" t="n">
        <v>45791.3604166667</v>
      </c>
      <c r="F1677" s="10" t="n">
        <v>45791.9020833333</v>
      </c>
      <c r="G1677" s="0" t="n">
        <v>158.5</v>
      </c>
      <c r="H1677" s="0" t="n">
        <v>164.15</v>
      </c>
      <c r="I1677" s="11" t="n">
        <f aca="false">H1677-G1677</f>
        <v>5.65000000000001</v>
      </c>
      <c r="J1677" s="5" t="n">
        <f aca="false">IF(G1677=0,"",I1677/G1677)</f>
        <v>0.0356466876971609</v>
      </c>
      <c r="K1677" s="0" t="n">
        <v>16.6</v>
      </c>
      <c r="L1677" s="0" t="n">
        <v>13</v>
      </c>
      <c r="M1677" s="11" t="s">
        <v>2769</v>
      </c>
      <c r="N1677" s="12" t="n">
        <f aca="false">INT(E1677)</f>
        <v>45791</v>
      </c>
      <c r="O1677" s="12" t="n">
        <f aca="false">IF(F1677="","",INT(F1677))</f>
        <v>45791</v>
      </c>
    </row>
    <row r="1678" customFormat="false" ht="15" hidden="false" customHeight="false" outlineLevel="0" collapsed="false">
      <c r="A1678" s="0" t="s">
        <v>3398</v>
      </c>
      <c r="B1678" s="0" t="s">
        <v>3399</v>
      </c>
      <c r="C1678" s="0" t="s">
        <v>22</v>
      </c>
      <c r="D1678" s="0" t="s">
        <v>42</v>
      </c>
      <c r="E1678" s="10" t="n">
        <v>45791.3895833333</v>
      </c>
      <c r="F1678" s="10" t="n">
        <v>45792.1178819445</v>
      </c>
      <c r="G1678" s="0" t="n">
        <v>234.06</v>
      </c>
      <c r="H1678" s="0" t="n">
        <v>229.13</v>
      </c>
      <c r="I1678" s="11" t="n">
        <f aca="false">H1678-G1678</f>
        <v>-4.93000000000001</v>
      </c>
      <c r="J1678" s="5" t="n">
        <f aca="false">IF(G1678=0,"",I1678/G1678)</f>
        <v>-0.0210629753054773</v>
      </c>
      <c r="K1678" s="0" t="n">
        <v>31.1</v>
      </c>
      <c r="L1678" s="0" t="n">
        <v>17.48</v>
      </c>
      <c r="M1678" s="11" t="s">
        <v>2769</v>
      </c>
      <c r="N1678" s="12" t="n">
        <f aca="false">INT(E1678)</f>
        <v>45791</v>
      </c>
      <c r="O1678" s="12" t="n">
        <f aca="false">IF(F1678="","",INT(F1678))</f>
        <v>45792</v>
      </c>
    </row>
    <row r="1679" customFormat="false" ht="15" hidden="false" customHeight="false" outlineLevel="0" collapsed="false">
      <c r="A1679" s="0" t="s">
        <v>3400</v>
      </c>
      <c r="B1679" s="0" t="s">
        <v>3401</v>
      </c>
      <c r="C1679" s="0" t="s">
        <v>23</v>
      </c>
      <c r="D1679" s="0" t="s">
        <v>42</v>
      </c>
      <c r="E1679" s="10" t="n">
        <v>45791.3909722222</v>
      </c>
      <c r="F1679" s="10" t="n">
        <v>45793.26875</v>
      </c>
      <c r="G1679" s="0" t="n">
        <v>541.47</v>
      </c>
      <c r="H1679" s="0" t="n">
        <v>535.86</v>
      </c>
      <c r="I1679" s="11" t="n">
        <f aca="false">H1679-G1679</f>
        <v>-5.61000000000001</v>
      </c>
      <c r="J1679" s="5" t="n">
        <f aca="false">IF(G1679=0,"",I1679/G1679)</f>
        <v>-0.0103606848024822</v>
      </c>
      <c r="K1679" s="0" t="n">
        <v>140.1</v>
      </c>
      <c r="L1679" s="0" t="n">
        <v>45.07</v>
      </c>
      <c r="M1679" s="11" t="s">
        <v>2769</v>
      </c>
      <c r="N1679" s="12" t="n">
        <f aca="false">INT(E1679)</f>
        <v>45791</v>
      </c>
      <c r="O1679" s="12" t="n">
        <f aca="false">IF(F1679="","",INT(F1679))</f>
        <v>45793</v>
      </c>
    </row>
    <row r="1680" customFormat="false" ht="15" hidden="false" customHeight="false" outlineLevel="0" collapsed="false">
      <c r="A1680" s="0" t="s">
        <v>3402</v>
      </c>
      <c r="B1680" s="0" t="s">
        <v>3403</v>
      </c>
      <c r="C1680" s="0" t="s">
        <v>23</v>
      </c>
      <c r="D1680" s="0" t="s">
        <v>42</v>
      </c>
      <c r="E1680" s="10" t="n">
        <v>45791.4055555556</v>
      </c>
      <c r="F1680" s="10" t="n">
        <v>45791.9186111111</v>
      </c>
      <c r="G1680" s="0" t="n">
        <v>259.56</v>
      </c>
      <c r="H1680" s="0" t="n">
        <v>266.89</v>
      </c>
      <c r="I1680" s="11" t="n">
        <f aca="false">H1680-G1680</f>
        <v>7.32999999999998</v>
      </c>
      <c r="J1680" s="5" t="n">
        <f aca="false">IF(G1680=0,"",I1680/G1680)</f>
        <v>0.0282400986284481</v>
      </c>
      <c r="K1680" s="0" t="n">
        <v>59</v>
      </c>
      <c r="L1680" s="0" t="n">
        <v>12.31</v>
      </c>
      <c r="M1680" s="11" t="s">
        <v>2769</v>
      </c>
      <c r="N1680" s="12" t="n">
        <f aca="false">INT(E1680)</f>
        <v>45791</v>
      </c>
      <c r="O1680" s="12" t="n">
        <f aca="false">IF(F1680="","",INT(F1680))</f>
        <v>45791</v>
      </c>
    </row>
    <row r="1681" customFormat="false" ht="15" hidden="false" customHeight="false" outlineLevel="0" collapsed="false">
      <c r="A1681" s="0" t="s">
        <v>3404</v>
      </c>
      <c r="B1681" s="0" t="s">
        <v>3405</v>
      </c>
      <c r="C1681" s="0" t="s">
        <v>19</v>
      </c>
      <c r="D1681" s="0" t="s">
        <v>42</v>
      </c>
      <c r="E1681" s="10" t="n">
        <v>45791.4069444445</v>
      </c>
      <c r="F1681" s="10" t="n">
        <v>45792.4192361111</v>
      </c>
      <c r="G1681" s="0" t="n">
        <v>213.94</v>
      </c>
      <c r="H1681" s="0" t="n">
        <v>212.6</v>
      </c>
      <c r="I1681" s="11" t="n">
        <f aca="false">H1681-G1681</f>
        <v>-1.34</v>
      </c>
      <c r="J1681" s="5" t="n">
        <f aca="false">IF(G1681=0,"",I1681/G1681)</f>
        <v>-0.00626343834720017</v>
      </c>
      <c r="K1681" s="0" t="n">
        <v>36.6</v>
      </c>
      <c r="L1681" s="0" t="n">
        <v>24.3</v>
      </c>
      <c r="M1681" s="11" t="s">
        <v>2769</v>
      </c>
      <c r="N1681" s="12" t="n">
        <f aca="false">INT(E1681)</f>
        <v>45791</v>
      </c>
      <c r="O1681" s="12" t="n">
        <f aca="false">IF(F1681="","",INT(F1681))</f>
        <v>45792</v>
      </c>
    </row>
    <row r="1682" customFormat="false" ht="15" hidden="false" customHeight="false" outlineLevel="0" collapsed="false">
      <c r="A1682" s="0" t="s">
        <v>3406</v>
      </c>
      <c r="B1682" s="0" t="s">
        <v>3407</v>
      </c>
      <c r="C1682" s="0" t="s">
        <v>21</v>
      </c>
      <c r="D1682" s="0" t="s">
        <v>42</v>
      </c>
      <c r="E1682" s="10" t="n">
        <v>45791.4256944444</v>
      </c>
      <c r="F1682" s="10" t="n">
        <v>45791.8771064815</v>
      </c>
      <c r="G1682" s="0" t="n">
        <v>388.64</v>
      </c>
      <c r="H1682" s="0" t="n">
        <v>463.66</v>
      </c>
      <c r="I1682" s="11" t="n">
        <f aca="false">H1682-G1682</f>
        <v>75.02</v>
      </c>
      <c r="J1682" s="5" t="n">
        <f aca="false">IF(G1682=0,"",I1682/G1682)</f>
        <v>0.193032111980239</v>
      </c>
      <c r="K1682" s="0" t="n">
        <v>67.2</v>
      </c>
      <c r="L1682" s="0" t="n">
        <v>10.83</v>
      </c>
      <c r="M1682" s="11" t="s">
        <v>2769</v>
      </c>
      <c r="N1682" s="12" t="n">
        <f aca="false">INT(E1682)</f>
        <v>45791</v>
      </c>
      <c r="O1682" s="12" t="n">
        <f aca="false">IF(F1682="","",INT(F1682))</f>
        <v>45791</v>
      </c>
    </row>
    <row r="1683" customFormat="false" ht="15" hidden="false" customHeight="false" outlineLevel="0" collapsed="false">
      <c r="A1683" s="0" t="s">
        <v>3408</v>
      </c>
      <c r="B1683" s="0" t="s">
        <v>3409</v>
      </c>
      <c r="C1683" s="0" t="s">
        <v>23</v>
      </c>
      <c r="D1683" s="0" t="s">
        <v>42</v>
      </c>
      <c r="E1683" s="10" t="n">
        <v>45791.4354166667</v>
      </c>
      <c r="F1683" s="10" t="n">
        <v>45791.9949884259</v>
      </c>
      <c r="G1683" s="0" t="n">
        <v>340.57</v>
      </c>
      <c r="H1683" s="0" t="n">
        <v>344.67</v>
      </c>
      <c r="I1683" s="11" t="n">
        <f aca="false">H1683-G1683</f>
        <v>4.10000000000002</v>
      </c>
      <c r="J1683" s="5" t="n">
        <f aca="false">IF(G1683=0,"",I1683/G1683)</f>
        <v>0.0120386411016825</v>
      </c>
      <c r="K1683" s="0" t="n">
        <v>119.6</v>
      </c>
      <c r="L1683" s="0" t="n">
        <v>13.43</v>
      </c>
      <c r="M1683" s="11" t="s">
        <v>2769</v>
      </c>
      <c r="N1683" s="12" t="n">
        <f aca="false">INT(E1683)</f>
        <v>45791</v>
      </c>
      <c r="O1683" s="12" t="n">
        <f aca="false">IF(F1683="","",INT(F1683))</f>
        <v>45791</v>
      </c>
    </row>
    <row r="1684" customFormat="false" ht="15" hidden="false" customHeight="false" outlineLevel="0" collapsed="false">
      <c r="A1684" s="0" t="s">
        <v>3410</v>
      </c>
      <c r="B1684" s="0" t="s">
        <v>3411</v>
      </c>
      <c r="C1684" s="0" t="s">
        <v>19</v>
      </c>
      <c r="D1684" s="0" t="s">
        <v>42</v>
      </c>
      <c r="E1684" s="10" t="n">
        <v>45791.4402777778</v>
      </c>
      <c r="F1684" s="10" t="n">
        <v>45792.1055555556</v>
      </c>
      <c r="G1684" s="0" t="n">
        <v>425.58</v>
      </c>
      <c r="H1684" s="0" t="n">
        <v>433.3</v>
      </c>
      <c r="I1684" s="11" t="n">
        <f aca="false">H1684-G1684</f>
        <v>7.72000000000003</v>
      </c>
      <c r="J1684" s="5" t="n">
        <f aca="false">IF(G1684=0,"",I1684/G1684)</f>
        <v>0.0181399501856291</v>
      </c>
      <c r="K1684" s="0" t="n">
        <v>49.8</v>
      </c>
      <c r="L1684" s="0" t="n">
        <v>15.97</v>
      </c>
      <c r="M1684" s="11" t="s">
        <v>2769</v>
      </c>
      <c r="N1684" s="12" t="n">
        <f aca="false">INT(E1684)</f>
        <v>45791</v>
      </c>
      <c r="O1684" s="12" t="n">
        <f aca="false">IF(F1684="","",INT(F1684))</f>
        <v>45792</v>
      </c>
    </row>
    <row r="1685" customFormat="false" ht="15" hidden="false" customHeight="false" outlineLevel="0" collapsed="false">
      <c r="A1685" s="0" t="s">
        <v>3412</v>
      </c>
      <c r="B1685" s="0" t="s">
        <v>3413</v>
      </c>
      <c r="C1685" s="0" t="s">
        <v>20</v>
      </c>
      <c r="D1685" s="0" t="s">
        <v>42</v>
      </c>
      <c r="E1685" s="10" t="n">
        <v>45791.4694444445</v>
      </c>
      <c r="F1685" s="10" t="n">
        <v>45791.7402199074</v>
      </c>
      <c r="G1685" s="0" t="n">
        <v>261.7</v>
      </c>
      <c r="H1685" s="0" t="n">
        <v>239.41</v>
      </c>
      <c r="I1685" s="11" t="n">
        <f aca="false">H1685-G1685</f>
        <v>-22.29</v>
      </c>
      <c r="J1685" s="5" t="n">
        <f aca="false">IF(G1685=0,"",I1685/G1685)</f>
        <v>-0.0851738632021398</v>
      </c>
      <c r="K1685" s="0" t="n">
        <v>38.6</v>
      </c>
      <c r="L1685" s="0" t="n">
        <v>6.5</v>
      </c>
      <c r="M1685" s="11" t="s">
        <v>2769</v>
      </c>
      <c r="N1685" s="12" t="n">
        <f aca="false">INT(E1685)</f>
        <v>45791</v>
      </c>
      <c r="O1685" s="12" t="n">
        <f aca="false">IF(F1685="","",INT(F1685))</f>
        <v>45791</v>
      </c>
    </row>
    <row r="1686" customFormat="false" ht="15" hidden="false" customHeight="false" outlineLevel="0" collapsed="false">
      <c r="A1686" s="0" t="s">
        <v>3414</v>
      </c>
      <c r="B1686" s="0" t="s">
        <v>3415</v>
      </c>
      <c r="C1686" s="0" t="s">
        <v>22</v>
      </c>
      <c r="D1686" s="0" t="s">
        <v>42</v>
      </c>
      <c r="E1686" s="10" t="n">
        <v>45791.4930555556</v>
      </c>
      <c r="F1686" s="10" t="n">
        <v>45792.0843634259</v>
      </c>
      <c r="G1686" s="0" t="n">
        <v>1008.12</v>
      </c>
      <c r="H1686" s="0" t="n">
        <v>1007.54</v>
      </c>
      <c r="I1686" s="11" t="n">
        <f aca="false">H1686-G1686</f>
        <v>-0.580000000000041</v>
      </c>
      <c r="J1686" s="5" t="n">
        <f aca="false">IF(G1686=0,"",I1686/G1686)</f>
        <v>-0.000575328333928541</v>
      </c>
      <c r="K1686" s="0" t="n">
        <v>194.6</v>
      </c>
      <c r="L1686" s="0" t="n">
        <v>14.19</v>
      </c>
      <c r="M1686" s="11" t="s">
        <v>2769</v>
      </c>
      <c r="N1686" s="12" t="n">
        <f aca="false">INT(E1686)</f>
        <v>45791</v>
      </c>
      <c r="O1686" s="12" t="n">
        <f aca="false">IF(F1686="","",INT(F1686))</f>
        <v>45792</v>
      </c>
    </row>
    <row r="1687" customFormat="false" ht="15" hidden="false" customHeight="false" outlineLevel="0" collapsed="false">
      <c r="A1687" s="0" t="s">
        <v>3416</v>
      </c>
      <c r="B1687" s="0" t="s">
        <v>3417</v>
      </c>
      <c r="C1687" s="0" t="s">
        <v>20</v>
      </c>
      <c r="D1687" s="0" t="s">
        <v>48</v>
      </c>
      <c r="E1687" s="10" t="n">
        <v>45791.525</v>
      </c>
      <c r="F1687" s="10"/>
      <c r="G1687" s="0" t="n">
        <v>349.42</v>
      </c>
      <c r="H1687" s="0" t="n">
        <v>351.12</v>
      </c>
      <c r="I1687" s="11" t="n">
        <f aca="false">H1687-G1687</f>
        <v>1.69999999999999</v>
      </c>
      <c r="J1687" s="5" t="n">
        <f aca="false">IF(G1687=0,"",I1687/G1687)</f>
        <v>0.00486520519718387</v>
      </c>
      <c r="K1687" s="0" t="n">
        <v>43.3</v>
      </c>
      <c r="M1687" s="11" t="s">
        <v>2769</v>
      </c>
      <c r="N1687" s="12" t="n">
        <f aca="false">INT(E1687)</f>
        <v>45791</v>
      </c>
      <c r="O1687" s="12" t="str">
        <f aca="false">IF(F1687="","",INT(F1687))</f>
        <v/>
      </c>
    </row>
    <row r="1688" customFormat="false" ht="15" hidden="false" customHeight="false" outlineLevel="0" collapsed="false">
      <c r="A1688" s="0" t="s">
        <v>3418</v>
      </c>
      <c r="B1688" s="0" t="s">
        <v>3419</v>
      </c>
      <c r="C1688" s="0" t="s">
        <v>21</v>
      </c>
      <c r="D1688" s="0" t="s">
        <v>303</v>
      </c>
      <c r="E1688" s="10" t="n">
        <v>45791.5541666667</v>
      </c>
      <c r="F1688" s="10"/>
      <c r="G1688" s="0" t="n">
        <v>330.23</v>
      </c>
      <c r="H1688" s="0" t="n">
        <v>318.72</v>
      </c>
      <c r="I1688" s="11" t="n">
        <f aca="false">H1688-G1688</f>
        <v>-11.51</v>
      </c>
      <c r="J1688" s="5" t="n">
        <f aca="false">IF(G1688=0,"",I1688/G1688)</f>
        <v>-0.0348544953517245</v>
      </c>
      <c r="K1688" s="0" t="n">
        <v>70</v>
      </c>
      <c r="M1688" s="11" t="s">
        <v>2769</v>
      </c>
      <c r="N1688" s="12" t="n">
        <f aca="false">INT(E1688)</f>
        <v>45791</v>
      </c>
      <c r="O1688" s="12" t="str">
        <f aca="false">IF(F1688="","",INT(F1688))</f>
        <v/>
      </c>
    </row>
    <row r="1689" customFormat="false" ht="15" hidden="false" customHeight="false" outlineLevel="0" collapsed="false">
      <c r="A1689" s="0" t="s">
        <v>3420</v>
      </c>
      <c r="B1689" s="0" t="s">
        <v>3421</v>
      </c>
      <c r="C1689" s="0" t="s">
        <v>23</v>
      </c>
      <c r="D1689" s="0" t="s">
        <v>42</v>
      </c>
      <c r="E1689" s="10" t="n">
        <v>45791.6048611111</v>
      </c>
      <c r="F1689" s="10" t="n">
        <v>45793.7888888889</v>
      </c>
      <c r="G1689" s="0" t="n">
        <v>384.68</v>
      </c>
      <c r="H1689" s="0" t="n">
        <v>339.48</v>
      </c>
      <c r="I1689" s="11" t="n">
        <f aca="false">H1689-G1689</f>
        <v>-45.2</v>
      </c>
      <c r="J1689" s="5" t="n">
        <f aca="false">IF(G1689=0,"",I1689/G1689)</f>
        <v>-0.117500259956327</v>
      </c>
      <c r="K1689" s="0" t="n">
        <v>108.1</v>
      </c>
      <c r="L1689" s="0" t="n">
        <v>52.42</v>
      </c>
      <c r="M1689" s="11" t="s">
        <v>2769</v>
      </c>
      <c r="N1689" s="12" t="n">
        <f aca="false">INT(E1689)</f>
        <v>45791</v>
      </c>
      <c r="O1689" s="12" t="n">
        <f aca="false">IF(F1689="","",INT(F1689))</f>
        <v>45793</v>
      </c>
    </row>
    <row r="1690" customFormat="false" ht="15" hidden="false" customHeight="false" outlineLevel="0" collapsed="false">
      <c r="A1690" s="0" t="s">
        <v>3422</v>
      </c>
      <c r="B1690" s="0" t="s">
        <v>3423</v>
      </c>
      <c r="C1690" s="0" t="s">
        <v>20</v>
      </c>
      <c r="D1690" s="0" t="s">
        <v>42</v>
      </c>
      <c r="E1690" s="10" t="n">
        <v>45791.6048611111</v>
      </c>
      <c r="F1690" s="10" t="n">
        <v>45793.7972222222</v>
      </c>
      <c r="G1690" s="0" t="n">
        <v>884.52</v>
      </c>
      <c r="H1690" s="0" t="n">
        <v>875.79</v>
      </c>
      <c r="I1690" s="11" t="n">
        <f aca="false">H1690-G1690</f>
        <v>-8.73000000000002</v>
      </c>
      <c r="J1690" s="5" t="n">
        <f aca="false">IF(G1690=0,"",I1690/G1690)</f>
        <v>-0.00986975986975989</v>
      </c>
      <c r="K1690" s="0" t="n">
        <v>141.3</v>
      </c>
      <c r="L1690" s="0" t="n">
        <v>52.62</v>
      </c>
      <c r="M1690" s="11" t="s">
        <v>2769</v>
      </c>
      <c r="N1690" s="12" t="n">
        <f aca="false">INT(E1690)</f>
        <v>45791</v>
      </c>
      <c r="O1690" s="12" t="n">
        <f aca="false">IF(F1690="","",INT(F1690))</f>
        <v>45793</v>
      </c>
    </row>
    <row r="1691" customFormat="false" ht="15" hidden="false" customHeight="false" outlineLevel="0" collapsed="false">
      <c r="A1691" s="0" t="s">
        <v>3424</v>
      </c>
      <c r="B1691" s="0" t="s">
        <v>3425</v>
      </c>
      <c r="C1691" s="0" t="s">
        <v>20</v>
      </c>
      <c r="D1691" s="0" t="s">
        <v>42</v>
      </c>
      <c r="E1691" s="10" t="n">
        <v>45791.6090277778</v>
      </c>
      <c r="F1691" s="10" t="n">
        <v>45793.277037037</v>
      </c>
      <c r="G1691" s="0" t="n">
        <v>362.94</v>
      </c>
      <c r="H1691" s="0" t="n">
        <v>373.78</v>
      </c>
      <c r="I1691" s="11" t="n">
        <f aca="false">H1691-G1691</f>
        <v>10.84</v>
      </c>
      <c r="J1691" s="5" t="n">
        <f aca="false">IF(G1691=0,"",I1691/G1691)</f>
        <v>0.0298671956797266</v>
      </c>
      <c r="K1691" s="0" t="n">
        <v>41.8</v>
      </c>
      <c r="L1691" s="0" t="n">
        <v>40.03</v>
      </c>
      <c r="M1691" s="11" t="s">
        <v>2769</v>
      </c>
      <c r="N1691" s="12" t="n">
        <f aca="false">INT(E1691)</f>
        <v>45791</v>
      </c>
      <c r="O1691" s="12" t="n">
        <f aca="false">IF(F1691="","",INT(F1691))</f>
        <v>45793</v>
      </c>
    </row>
    <row r="1692" customFormat="false" ht="15" hidden="false" customHeight="false" outlineLevel="0" collapsed="false">
      <c r="A1692" s="0" t="s">
        <v>3426</v>
      </c>
      <c r="B1692" s="0" t="s">
        <v>3427</v>
      </c>
      <c r="C1692" s="0" t="s">
        <v>24</v>
      </c>
      <c r="D1692" s="0" t="s">
        <v>42</v>
      </c>
      <c r="E1692" s="10" t="n">
        <v>45791.6097222222</v>
      </c>
      <c r="F1692" s="10" t="n">
        <v>45793.4861111111</v>
      </c>
      <c r="G1692" s="0" t="n">
        <v>84.81</v>
      </c>
      <c r="H1692" s="0" t="n">
        <v>82.62</v>
      </c>
      <c r="I1692" s="11" t="n">
        <f aca="false">H1692-G1692</f>
        <v>-2.19</v>
      </c>
      <c r="J1692" s="5" t="n">
        <f aca="false">IF(G1692=0,"",I1692/G1692)</f>
        <v>-0.0258224266006367</v>
      </c>
      <c r="K1692" s="0" t="n">
        <v>26.5</v>
      </c>
      <c r="L1692" s="0" t="n">
        <v>45.03</v>
      </c>
      <c r="M1692" s="11" t="s">
        <v>2769</v>
      </c>
      <c r="N1692" s="12" t="n">
        <f aca="false">INT(E1692)</f>
        <v>45791</v>
      </c>
      <c r="O1692" s="12" t="n">
        <f aca="false">IF(F1692="","",INT(F1692))</f>
        <v>45793</v>
      </c>
    </row>
    <row r="1693" customFormat="false" ht="15" hidden="false" customHeight="false" outlineLevel="0" collapsed="false">
      <c r="A1693" s="0" t="s">
        <v>3428</v>
      </c>
      <c r="B1693" s="0" t="s">
        <v>3429</v>
      </c>
      <c r="C1693" s="0" t="s">
        <v>21</v>
      </c>
      <c r="D1693" s="0" t="s">
        <v>42</v>
      </c>
      <c r="E1693" s="10" t="n">
        <v>45791.6222222222</v>
      </c>
      <c r="F1693" s="10" t="n">
        <v>45792.5037037037</v>
      </c>
      <c r="G1693" s="0" t="n">
        <v>563.62</v>
      </c>
      <c r="H1693" s="0" t="n">
        <v>567.56</v>
      </c>
      <c r="I1693" s="11" t="n">
        <f aca="false">H1693-G1693</f>
        <v>3.93999999999994</v>
      </c>
      <c r="J1693" s="5" t="n">
        <f aca="false">IF(G1693=0,"",I1693/G1693)</f>
        <v>0.00699052553138629</v>
      </c>
      <c r="K1693" s="0" t="n">
        <v>155.6</v>
      </c>
      <c r="L1693" s="0" t="n">
        <v>21.16</v>
      </c>
      <c r="M1693" s="11" t="s">
        <v>2769</v>
      </c>
      <c r="N1693" s="12" t="n">
        <f aca="false">INT(E1693)</f>
        <v>45791</v>
      </c>
      <c r="O1693" s="12" t="n">
        <f aca="false">IF(F1693="","",INT(F1693))</f>
        <v>45792</v>
      </c>
    </row>
    <row r="1694" customFormat="false" ht="15" hidden="false" customHeight="false" outlineLevel="0" collapsed="false">
      <c r="A1694" s="0" t="s">
        <v>3430</v>
      </c>
      <c r="B1694" s="0" t="s">
        <v>3431</v>
      </c>
      <c r="C1694" s="0" t="s">
        <v>20</v>
      </c>
      <c r="D1694" s="0" t="s">
        <v>42</v>
      </c>
      <c r="E1694" s="10" t="n">
        <v>45791.6486111111</v>
      </c>
      <c r="F1694" s="10" t="n">
        <v>45794.3347222222</v>
      </c>
      <c r="G1694" s="0" t="n">
        <v>266.11</v>
      </c>
      <c r="H1694" s="0" t="n">
        <v>272.95</v>
      </c>
      <c r="I1694" s="11" t="n">
        <f aca="false">H1694-G1694</f>
        <v>6.83999999999998</v>
      </c>
      <c r="J1694" s="5" t="n">
        <f aca="false">IF(G1694=0,"",I1694/G1694)</f>
        <v>0.0257036563826988</v>
      </c>
      <c r="K1694" s="0" t="n">
        <v>58.6</v>
      </c>
      <c r="L1694" s="0" t="n">
        <v>56.43</v>
      </c>
      <c r="M1694" s="11" t="s">
        <v>2769</v>
      </c>
      <c r="N1694" s="12" t="n">
        <f aca="false">INT(E1694)</f>
        <v>45791</v>
      </c>
      <c r="O1694" s="12" t="n">
        <f aca="false">IF(F1694="","",INT(F1694))</f>
        <v>45794</v>
      </c>
    </row>
    <row r="1695" customFormat="false" ht="15" hidden="false" customHeight="false" outlineLevel="0" collapsed="false">
      <c r="A1695" s="0" t="s">
        <v>3432</v>
      </c>
      <c r="B1695" s="0" t="s">
        <v>3433</v>
      </c>
      <c r="C1695" s="0" t="s">
        <v>24</v>
      </c>
      <c r="D1695" s="0" t="s">
        <v>42</v>
      </c>
      <c r="E1695" s="10" t="n">
        <v>45791.6923611111</v>
      </c>
      <c r="F1695" s="10" t="n">
        <v>45793.0319444445</v>
      </c>
      <c r="G1695" s="0" t="n">
        <v>867.85</v>
      </c>
      <c r="H1695" s="0" t="n">
        <v>833.79</v>
      </c>
      <c r="I1695" s="11" t="n">
        <f aca="false">H1695-G1695</f>
        <v>-34.0600000000001</v>
      </c>
      <c r="J1695" s="5" t="n">
        <f aca="false">IF(G1695=0,"",I1695/G1695)</f>
        <v>-0.0392464135507289</v>
      </c>
      <c r="K1695" s="0" t="n">
        <v>202</v>
      </c>
      <c r="L1695" s="0" t="n">
        <v>32.15</v>
      </c>
      <c r="M1695" s="11" t="s">
        <v>2769</v>
      </c>
      <c r="N1695" s="12" t="n">
        <f aca="false">INT(E1695)</f>
        <v>45791</v>
      </c>
      <c r="O1695" s="12" t="n">
        <f aca="false">IF(F1695="","",INT(F1695))</f>
        <v>45793</v>
      </c>
    </row>
    <row r="1696" customFormat="false" ht="15" hidden="false" customHeight="false" outlineLevel="0" collapsed="false">
      <c r="A1696" s="0" t="s">
        <v>3434</v>
      </c>
      <c r="B1696" s="0" t="s">
        <v>3435</v>
      </c>
      <c r="C1696" s="0" t="s">
        <v>23</v>
      </c>
      <c r="D1696" s="0" t="s">
        <v>42</v>
      </c>
      <c r="E1696" s="10" t="n">
        <v>45791.7284722222</v>
      </c>
      <c r="F1696" s="10" t="n">
        <v>45792.9117013889</v>
      </c>
      <c r="G1696" s="0" t="n">
        <v>310.56</v>
      </c>
      <c r="H1696" s="0" t="n">
        <v>313.68</v>
      </c>
      <c r="I1696" s="11" t="n">
        <f aca="false">H1696-G1696</f>
        <v>3.12</v>
      </c>
      <c r="J1696" s="5" t="n">
        <f aca="false">IF(G1696=0,"",I1696/G1696)</f>
        <v>0.0100463678516229</v>
      </c>
      <c r="K1696" s="0" t="n">
        <v>61.5</v>
      </c>
      <c r="L1696" s="0" t="n">
        <v>28.4</v>
      </c>
      <c r="M1696" s="11" t="s">
        <v>2769</v>
      </c>
      <c r="N1696" s="12" t="n">
        <f aca="false">INT(E1696)</f>
        <v>45791</v>
      </c>
      <c r="O1696" s="12" t="n">
        <f aca="false">IF(F1696="","",INT(F1696))</f>
        <v>45792</v>
      </c>
    </row>
    <row r="1697" customFormat="false" ht="15" hidden="false" customHeight="false" outlineLevel="0" collapsed="false">
      <c r="A1697" s="0" t="s">
        <v>3436</v>
      </c>
      <c r="B1697" s="0" t="s">
        <v>3437</v>
      </c>
      <c r="C1697" s="0" t="s">
        <v>21</v>
      </c>
      <c r="D1697" s="0" t="s">
        <v>42</v>
      </c>
      <c r="E1697" s="10" t="n">
        <v>45791.7361111111</v>
      </c>
      <c r="F1697" s="10" t="n">
        <v>45792.2256944445</v>
      </c>
      <c r="G1697" s="0" t="n">
        <v>506.33</v>
      </c>
      <c r="H1697" s="0" t="n">
        <v>492.05</v>
      </c>
      <c r="I1697" s="11" t="n">
        <f aca="false">H1697-G1697</f>
        <v>-14.28</v>
      </c>
      <c r="J1697" s="5" t="n">
        <f aca="false">IF(G1697=0,"",I1697/G1697)</f>
        <v>-0.0282029506448363</v>
      </c>
      <c r="K1697" s="0" t="n">
        <v>97.5</v>
      </c>
      <c r="L1697" s="0" t="n">
        <v>11.75</v>
      </c>
      <c r="M1697" s="11" t="s">
        <v>2769</v>
      </c>
      <c r="N1697" s="12" t="n">
        <f aca="false">INT(E1697)</f>
        <v>45791</v>
      </c>
      <c r="O1697" s="12" t="n">
        <f aca="false">IF(F1697="","",INT(F1697))</f>
        <v>45792</v>
      </c>
    </row>
    <row r="1698" customFormat="false" ht="15" hidden="false" customHeight="false" outlineLevel="0" collapsed="false">
      <c r="A1698" s="0" t="s">
        <v>3438</v>
      </c>
      <c r="B1698" s="0" t="s">
        <v>3439</v>
      </c>
      <c r="C1698" s="0" t="s">
        <v>19</v>
      </c>
      <c r="D1698" s="0" t="s">
        <v>48</v>
      </c>
      <c r="E1698" s="10" t="n">
        <v>45791.7423611111</v>
      </c>
      <c r="F1698" s="10"/>
      <c r="G1698" s="0" t="n">
        <v>77.97</v>
      </c>
      <c r="H1698" s="0" t="n">
        <v>78.78</v>
      </c>
      <c r="I1698" s="11" t="n">
        <f aca="false">H1698-G1698</f>
        <v>0.810000000000002</v>
      </c>
      <c r="J1698" s="5" t="n">
        <f aca="false">IF(G1698=0,"",I1698/G1698)</f>
        <v>0.0103886110042324</v>
      </c>
      <c r="K1698" s="0" t="n">
        <v>12.1</v>
      </c>
      <c r="M1698" s="11" t="s">
        <v>2769</v>
      </c>
      <c r="N1698" s="12" t="n">
        <f aca="false">INT(E1698)</f>
        <v>45791</v>
      </c>
      <c r="O1698" s="12" t="str">
        <f aca="false">IF(F1698="","",INT(F1698))</f>
        <v/>
      </c>
    </row>
    <row r="1699" customFormat="false" ht="15" hidden="false" customHeight="false" outlineLevel="0" collapsed="false">
      <c r="A1699" s="0" t="s">
        <v>3440</v>
      </c>
      <c r="B1699" s="0" t="s">
        <v>3441</v>
      </c>
      <c r="C1699" s="0" t="s">
        <v>20</v>
      </c>
      <c r="D1699" s="0" t="s">
        <v>42</v>
      </c>
      <c r="E1699" s="10" t="n">
        <v>45791.74375</v>
      </c>
      <c r="F1699" s="10" t="n">
        <v>45792.5388888889</v>
      </c>
      <c r="G1699" s="0" t="n">
        <v>39.97</v>
      </c>
      <c r="H1699" s="0" t="n">
        <v>39.91</v>
      </c>
      <c r="I1699" s="11" t="n">
        <f aca="false">H1699-G1699</f>
        <v>-0.0600000000000023</v>
      </c>
      <c r="J1699" s="5" t="n">
        <f aca="false">IF(G1699=0,"",I1699/G1699)</f>
        <v>-0.00150112584438334</v>
      </c>
      <c r="K1699" s="0" t="n">
        <v>7.1</v>
      </c>
      <c r="L1699" s="0" t="n">
        <v>19.08</v>
      </c>
      <c r="M1699" s="11" t="s">
        <v>2769</v>
      </c>
      <c r="N1699" s="12" t="n">
        <f aca="false">INT(E1699)</f>
        <v>45791</v>
      </c>
      <c r="O1699" s="12" t="n">
        <f aca="false">IF(F1699="","",INT(F1699))</f>
        <v>45792</v>
      </c>
    </row>
    <row r="1700" customFormat="false" ht="15" hidden="false" customHeight="false" outlineLevel="0" collapsed="false">
      <c r="A1700" s="0" t="s">
        <v>3442</v>
      </c>
      <c r="B1700" s="0" t="s">
        <v>3443</v>
      </c>
      <c r="C1700" s="0" t="s">
        <v>20</v>
      </c>
      <c r="D1700" s="0" t="s">
        <v>42</v>
      </c>
      <c r="E1700" s="10" t="n">
        <v>45791.7763888889</v>
      </c>
      <c r="F1700" s="10" t="n">
        <v>45795.0763888889</v>
      </c>
      <c r="G1700" s="0" t="n">
        <v>1451.64</v>
      </c>
      <c r="H1700" s="0" t="n">
        <v>1440.91</v>
      </c>
      <c r="I1700" s="11" t="n">
        <f aca="false">H1700-G1700</f>
        <v>-10.73</v>
      </c>
      <c r="J1700" s="5" t="n">
        <f aca="false">IF(G1700=0,"",I1700/G1700)</f>
        <v>-0.00739163980050151</v>
      </c>
      <c r="K1700" s="0" t="n">
        <v>319.6</v>
      </c>
      <c r="L1700" s="0" t="n">
        <v>53.37</v>
      </c>
      <c r="M1700" s="11" t="s">
        <v>2769</v>
      </c>
      <c r="N1700" s="12" t="n">
        <f aca="false">INT(E1700)</f>
        <v>45791</v>
      </c>
      <c r="O1700" s="12" t="n">
        <f aca="false">IF(F1700="","",INT(F1700))</f>
        <v>45795</v>
      </c>
    </row>
    <row r="1701" customFormat="false" ht="15" hidden="false" customHeight="false" outlineLevel="0" collapsed="false">
      <c r="A1701" s="0" t="s">
        <v>3444</v>
      </c>
      <c r="B1701" s="0" t="s">
        <v>3445</v>
      </c>
      <c r="C1701" s="0" t="s">
        <v>19</v>
      </c>
      <c r="D1701" s="0" t="s">
        <v>48</v>
      </c>
      <c r="E1701" s="10" t="n">
        <v>45792.2930555556</v>
      </c>
      <c r="F1701" s="10"/>
      <c r="G1701" s="0" t="n">
        <v>635.37</v>
      </c>
      <c r="H1701" s="0" t="n">
        <v>650.5</v>
      </c>
      <c r="I1701" s="11" t="n">
        <f aca="false">H1701-G1701</f>
        <v>15.13</v>
      </c>
      <c r="J1701" s="5" t="n">
        <f aca="false">IF(G1701=0,"",I1701/G1701)</f>
        <v>0.0238128964225569</v>
      </c>
      <c r="K1701" s="0" t="n">
        <v>75.5</v>
      </c>
      <c r="M1701" s="11" t="s">
        <v>2769</v>
      </c>
      <c r="N1701" s="12" t="n">
        <f aca="false">INT(E1701)</f>
        <v>45792</v>
      </c>
      <c r="O1701" s="12" t="str">
        <f aca="false">IF(F1701="","",INT(F1701))</f>
        <v/>
      </c>
    </row>
    <row r="1702" customFormat="false" ht="15" hidden="false" customHeight="false" outlineLevel="0" collapsed="false">
      <c r="A1702" s="0" t="s">
        <v>3446</v>
      </c>
      <c r="B1702" s="0" t="s">
        <v>3447</v>
      </c>
      <c r="C1702" s="0" t="s">
        <v>21</v>
      </c>
      <c r="D1702" s="0" t="s">
        <v>42</v>
      </c>
      <c r="E1702" s="10" t="n">
        <v>45792.2986111111</v>
      </c>
      <c r="F1702" s="10" t="n">
        <v>45792.5076388889</v>
      </c>
      <c r="G1702" s="0" t="n">
        <v>848.38</v>
      </c>
      <c r="H1702" s="0" t="n">
        <v>847.44</v>
      </c>
      <c r="I1702" s="11" t="n">
        <f aca="false">H1702-G1702</f>
        <v>-0.939999999999941</v>
      </c>
      <c r="J1702" s="5" t="n">
        <f aca="false">IF(G1702=0,"",I1702/G1702)</f>
        <v>-0.00110799405926583</v>
      </c>
      <c r="K1702" s="0" t="n">
        <v>148.7</v>
      </c>
      <c r="L1702" s="0" t="n">
        <v>5.02</v>
      </c>
      <c r="M1702" s="11" t="s">
        <v>2769</v>
      </c>
      <c r="N1702" s="12" t="n">
        <f aca="false">INT(E1702)</f>
        <v>45792</v>
      </c>
      <c r="O1702" s="12" t="n">
        <f aca="false">IF(F1702="","",INT(F1702))</f>
        <v>45792</v>
      </c>
    </row>
    <row r="1703" customFormat="false" ht="15" hidden="false" customHeight="false" outlineLevel="0" collapsed="false">
      <c r="A1703" s="0" t="s">
        <v>3448</v>
      </c>
      <c r="B1703" s="0" t="s">
        <v>3449</v>
      </c>
      <c r="C1703" s="0" t="s">
        <v>20</v>
      </c>
      <c r="D1703" s="0" t="s">
        <v>42</v>
      </c>
      <c r="E1703" s="10" t="n">
        <v>45792.3048611111</v>
      </c>
      <c r="F1703" s="10" t="n">
        <v>45794.9631944444</v>
      </c>
      <c r="G1703" s="0" t="n">
        <v>249.97</v>
      </c>
      <c r="H1703" s="0" t="n">
        <v>249.91</v>
      </c>
      <c r="I1703" s="11" t="n">
        <f aca="false">H1703-G1703</f>
        <v>-0.0600000000000023</v>
      </c>
      <c r="J1703" s="5" t="n">
        <f aca="false">IF(G1703=0,"",I1703/G1703)</f>
        <v>-0.000240028803456424</v>
      </c>
      <c r="K1703" s="0" t="n">
        <v>35.9</v>
      </c>
      <c r="L1703" s="0" t="n">
        <v>40.68</v>
      </c>
      <c r="M1703" s="11" t="s">
        <v>2769</v>
      </c>
      <c r="N1703" s="12" t="n">
        <f aca="false">INT(E1703)</f>
        <v>45792</v>
      </c>
      <c r="O1703" s="12" t="n">
        <f aca="false">IF(F1703="","",INT(F1703))</f>
        <v>45794</v>
      </c>
    </row>
    <row r="1704" customFormat="false" ht="15" hidden="false" customHeight="false" outlineLevel="0" collapsed="false">
      <c r="A1704" s="0" t="s">
        <v>3450</v>
      </c>
      <c r="B1704" s="0" t="s">
        <v>3451</v>
      </c>
      <c r="C1704" s="0" t="s">
        <v>23</v>
      </c>
      <c r="D1704" s="0" t="s">
        <v>42</v>
      </c>
      <c r="E1704" s="10" t="n">
        <v>45792.3354166667</v>
      </c>
      <c r="F1704" s="10" t="n">
        <v>45793.82375</v>
      </c>
      <c r="G1704" s="0" t="n">
        <v>375.01</v>
      </c>
      <c r="H1704" s="0" t="n">
        <v>380.16</v>
      </c>
      <c r="I1704" s="11" t="n">
        <f aca="false">H1704-G1704</f>
        <v>5.15000000000003</v>
      </c>
      <c r="J1704" s="5" t="n">
        <f aca="false">IF(G1704=0,"",I1704/G1704)</f>
        <v>0.0137329671208769</v>
      </c>
      <c r="K1704" s="0" t="n">
        <v>102.8</v>
      </c>
      <c r="L1704" s="0" t="n">
        <v>35.72</v>
      </c>
      <c r="M1704" s="11" t="s">
        <v>2769</v>
      </c>
      <c r="N1704" s="12" t="n">
        <f aca="false">INT(E1704)</f>
        <v>45792</v>
      </c>
      <c r="O1704" s="12" t="n">
        <f aca="false">IF(F1704="","",INT(F1704))</f>
        <v>45793</v>
      </c>
    </row>
    <row r="1705" customFormat="false" ht="15" hidden="false" customHeight="false" outlineLevel="0" collapsed="false">
      <c r="A1705" s="0" t="s">
        <v>3452</v>
      </c>
      <c r="B1705" s="0" t="s">
        <v>3453</v>
      </c>
      <c r="C1705" s="0" t="s">
        <v>20</v>
      </c>
      <c r="D1705" s="0" t="s">
        <v>48</v>
      </c>
      <c r="E1705" s="10" t="n">
        <v>45792.3597222222</v>
      </c>
      <c r="F1705" s="10"/>
      <c r="G1705" s="0" t="n">
        <v>404.32</v>
      </c>
      <c r="H1705" s="0" t="n">
        <v>402.89</v>
      </c>
      <c r="I1705" s="11" t="n">
        <f aca="false">H1705-G1705</f>
        <v>-1.43000000000001</v>
      </c>
      <c r="J1705" s="5" t="n">
        <f aca="false">IF(G1705=0,"",I1705/G1705)</f>
        <v>-0.00353680253264742</v>
      </c>
      <c r="K1705" s="0" t="n">
        <v>49.5</v>
      </c>
      <c r="M1705" s="11" t="s">
        <v>2769</v>
      </c>
      <c r="N1705" s="12" t="n">
        <f aca="false">INT(E1705)</f>
        <v>45792</v>
      </c>
      <c r="O1705" s="12" t="str">
        <f aca="false">IF(F1705="","",INT(F1705))</f>
        <v/>
      </c>
    </row>
    <row r="1706" customFormat="false" ht="15" hidden="false" customHeight="false" outlineLevel="0" collapsed="false">
      <c r="A1706" s="0" t="s">
        <v>3454</v>
      </c>
      <c r="B1706" s="0" t="s">
        <v>3455</v>
      </c>
      <c r="C1706" s="0" t="s">
        <v>20</v>
      </c>
      <c r="D1706" s="0" t="s">
        <v>48</v>
      </c>
      <c r="E1706" s="10" t="n">
        <v>45792.3840277778</v>
      </c>
      <c r="F1706" s="10"/>
      <c r="G1706" s="0" t="n">
        <v>203.43</v>
      </c>
      <c r="H1706" s="0" t="n">
        <v>203.18</v>
      </c>
      <c r="I1706" s="11" t="n">
        <f aca="false">H1706-G1706</f>
        <v>-0.25</v>
      </c>
      <c r="J1706" s="5" t="n">
        <f aca="false">IF(G1706=0,"",I1706/G1706)</f>
        <v>-0.00122892395418571</v>
      </c>
      <c r="K1706" s="0" t="n">
        <v>39.1</v>
      </c>
      <c r="M1706" s="11" t="s">
        <v>2769</v>
      </c>
      <c r="N1706" s="12" t="n">
        <f aca="false">INT(E1706)</f>
        <v>45792</v>
      </c>
      <c r="O1706" s="12" t="str">
        <f aca="false">IF(F1706="","",INT(F1706))</f>
        <v/>
      </c>
    </row>
    <row r="1707" customFormat="false" ht="15" hidden="false" customHeight="false" outlineLevel="0" collapsed="false">
      <c r="A1707" s="0" t="s">
        <v>3456</v>
      </c>
      <c r="B1707" s="0" t="s">
        <v>3457</v>
      </c>
      <c r="C1707" s="0" t="s">
        <v>23</v>
      </c>
      <c r="D1707" s="0" t="s">
        <v>42</v>
      </c>
      <c r="E1707" s="10" t="n">
        <v>45792.3847222222</v>
      </c>
      <c r="F1707" s="10" t="n">
        <v>45793.7576388889</v>
      </c>
      <c r="G1707" s="0" t="n">
        <v>1042.75</v>
      </c>
      <c r="H1707" s="0" t="n">
        <v>1030.32</v>
      </c>
      <c r="I1707" s="11" t="n">
        <f aca="false">H1707-G1707</f>
        <v>-12.4300000000001</v>
      </c>
      <c r="J1707" s="5" t="n">
        <f aca="false">IF(G1707=0,"",I1707/G1707)</f>
        <v>-0.0119204027811077</v>
      </c>
      <c r="K1707" s="0" t="n">
        <v>362.8</v>
      </c>
      <c r="L1707" s="0" t="n">
        <v>32.95</v>
      </c>
      <c r="M1707" s="11" t="s">
        <v>2769</v>
      </c>
      <c r="N1707" s="12" t="n">
        <f aca="false">INT(E1707)</f>
        <v>45792</v>
      </c>
      <c r="O1707" s="12" t="n">
        <f aca="false">IF(F1707="","",INT(F1707))</f>
        <v>45793</v>
      </c>
    </row>
    <row r="1708" customFormat="false" ht="15" hidden="false" customHeight="false" outlineLevel="0" collapsed="false">
      <c r="A1708" s="0" t="s">
        <v>3458</v>
      </c>
      <c r="B1708" s="0" t="s">
        <v>3459</v>
      </c>
      <c r="C1708" s="0" t="s">
        <v>20</v>
      </c>
      <c r="D1708" s="0" t="s">
        <v>42</v>
      </c>
      <c r="E1708" s="10" t="n">
        <v>45792.3875</v>
      </c>
      <c r="F1708" s="10" t="n">
        <v>45793.7275694445</v>
      </c>
      <c r="G1708" s="0" t="n">
        <v>563.49</v>
      </c>
      <c r="H1708" s="0" t="n">
        <v>543.07</v>
      </c>
      <c r="I1708" s="11" t="n">
        <f aca="false">H1708-G1708</f>
        <v>-20.42</v>
      </c>
      <c r="J1708" s="5" t="n">
        <f aca="false">IF(G1708=0,"",I1708/G1708)</f>
        <v>-0.0362384425633107</v>
      </c>
      <c r="K1708" s="0" t="n">
        <v>117.5</v>
      </c>
      <c r="L1708" s="0" t="n">
        <v>32.16</v>
      </c>
      <c r="M1708" s="11" t="s">
        <v>2769</v>
      </c>
      <c r="N1708" s="12" t="n">
        <f aca="false">INT(E1708)</f>
        <v>45792</v>
      </c>
      <c r="O1708" s="12" t="n">
        <f aca="false">IF(F1708="","",INT(F1708))</f>
        <v>45793</v>
      </c>
    </row>
    <row r="1709" customFormat="false" ht="15" hidden="false" customHeight="false" outlineLevel="0" collapsed="false">
      <c r="A1709" s="0" t="s">
        <v>3460</v>
      </c>
      <c r="B1709" s="0" t="s">
        <v>3461</v>
      </c>
      <c r="C1709" s="0" t="s">
        <v>20</v>
      </c>
      <c r="D1709" s="0" t="s">
        <v>48</v>
      </c>
      <c r="E1709" s="10" t="n">
        <v>45792.3965277778</v>
      </c>
      <c r="F1709" s="10"/>
      <c r="G1709" s="0" t="n">
        <v>209.01</v>
      </c>
      <c r="H1709" s="0" t="n">
        <v>202.08</v>
      </c>
      <c r="I1709" s="11" t="n">
        <f aca="false">H1709-G1709</f>
        <v>-6.92999999999998</v>
      </c>
      <c r="J1709" s="5" t="n">
        <f aca="false">IF(G1709=0,"",I1709/G1709)</f>
        <v>-0.0331563083106071</v>
      </c>
      <c r="K1709" s="0" t="n">
        <v>40.8</v>
      </c>
      <c r="M1709" s="11" t="s">
        <v>2769</v>
      </c>
      <c r="N1709" s="12" t="n">
        <f aca="false">INT(E1709)</f>
        <v>45792</v>
      </c>
      <c r="O1709" s="12" t="str">
        <f aca="false">IF(F1709="","",INT(F1709))</f>
        <v/>
      </c>
    </row>
    <row r="1710" customFormat="false" ht="15" hidden="false" customHeight="false" outlineLevel="0" collapsed="false">
      <c r="A1710" s="0" t="s">
        <v>3462</v>
      </c>
      <c r="B1710" s="0" t="s">
        <v>3463</v>
      </c>
      <c r="C1710" s="0" t="s">
        <v>22</v>
      </c>
      <c r="D1710" s="0" t="s">
        <v>42</v>
      </c>
      <c r="E1710" s="10" t="n">
        <v>45792.4083333333</v>
      </c>
      <c r="F1710" s="10" t="n">
        <v>45792.7724421296</v>
      </c>
      <c r="G1710" s="0" t="n">
        <v>712.67</v>
      </c>
      <c r="H1710" s="0" t="n">
        <v>699.72</v>
      </c>
      <c r="I1710" s="11" t="n">
        <f aca="false">H1710-G1710</f>
        <v>-12.9499999999999</v>
      </c>
      <c r="J1710" s="5" t="n">
        <f aca="false">IF(G1710=0,"",I1710/G1710)</f>
        <v>-0.0181711030350652</v>
      </c>
      <c r="K1710" s="0" t="n">
        <v>108.4</v>
      </c>
      <c r="L1710" s="0" t="n">
        <v>8.74</v>
      </c>
      <c r="M1710" s="11" t="s">
        <v>2769</v>
      </c>
      <c r="N1710" s="12" t="n">
        <f aca="false">INT(E1710)</f>
        <v>45792</v>
      </c>
      <c r="O1710" s="12" t="n">
        <f aca="false">IF(F1710="","",INT(F1710))</f>
        <v>45792</v>
      </c>
    </row>
    <row r="1711" customFormat="false" ht="15" hidden="false" customHeight="false" outlineLevel="0" collapsed="false">
      <c r="A1711" s="0" t="s">
        <v>3464</v>
      </c>
      <c r="B1711" s="0" t="s">
        <v>3465</v>
      </c>
      <c r="C1711" s="0" t="s">
        <v>19</v>
      </c>
      <c r="D1711" s="0" t="s">
        <v>42</v>
      </c>
      <c r="E1711" s="10" t="n">
        <v>45792.4111111111</v>
      </c>
      <c r="F1711" s="10" t="n">
        <v>45792.6097222222</v>
      </c>
      <c r="G1711" s="0" t="n">
        <v>187.05</v>
      </c>
      <c r="H1711" s="0" t="n">
        <v>186.48</v>
      </c>
      <c r="I1711" s="11" t="n">
        <f aca="false">H1711-G1711</f>
        <v>-0.570000000000022</v>
      </c>
      <c r="J1711" s="5" t="n">
        <f aca="false">IF(G1711=0,"",I1711/G1711)</f>
        <v>-0.00304731355252618</v>
      </c>
      <c r="K1711" s="0" t="n">
        <v>15.9</v>
      </c>
      <c r="L1711" s="0" t="n">
        <v>4.77</v>
      </c>
      <c r="M1711" s="11" t="s">
        <v>2769</v>
      </c>
      <c r="N1711" s="12" t="n">
        <f aca="false">INT(E1711)</f>
        <v>45792</v>
      </c>
      <c r="O1711" s="12" t="n">
        <f aca="false">IF(F1711="","",INT(F1711))</f>
        <v>45792</v>
      </c>
    </row>
    <row r="1712" customFormat="false" ht="15" hidden="false" customHeight="false" outlineLevel="0" collapsed="false">
      <c r="A1712" s="0" t="s">
        <v>3466</v>
      </c>
      <c r="B1712" s="0" t="s">
        <v>3467</v>
      </c>
      <c r="C1712" s="0" t="s">
        <v>24</v>
      </c>
      <c r="D1712" s="0" t="s">
        <v>42</v>
      </c>
      <c r="E1712" s="10" t="n">
        <v>45792.4131944445</v>
      </c>
      <c r="F1712" s="10" t="n">
        <v>45794.0305555556</v>
      </c>
      <c r="G1712" s="0" t="n">
        <v>588.53</v>
      </c>
      <c r="H1712" s="0" t="n">
        <v>602.11</v>
      </c>
      <c r="I1712" s="11" t="n">
        <f aca="false">H1712-G1712</f>
        <v>13.58</v>
      </c>
      <c r="J1712" s="5" t="n">
        <f aca="false">IF(G1712=0,"",I1712/G1712)</f>
        <v>0.0230744397057075</v>
      </c>
      <c r="K1712" s="0" t="n">
        <v>111</v>
      </c>
      <c r="L1712" s="0" t="n">
        <v>38.08</v>
      </c>
      <c r="M1712" s="11" t="s">
        <v>2769</v>
      </c>
      <c r="N1712" s="12" t="n">
        <f aca="false">INT(E1712)</f>
        <v>45792</v>
      </c>
      <c r="O1712" s="12" t="n">
        <f aca="false">IF(F1712="","",INT(F1712))</f>
        <v>45794</v>
      </c>
    </row>
    <row r="1713" customFormat="false" ht="15" hidden="false" customHeight="false" outlineLevel="0" collapsed="false">
      <c r="A1713" s="0" t="s">
        <v>3468</v>
      </c>
      <c r="B1713" s="0" t="s">
        <v>3469</v>
      </c>
      <c r="C1713" s="0" t="s">
        <v>20</v>
      </c>
      <c r="D1713" s="0" t="s">
        <v>42</v>
      </c>
      <c r="E1713" s="10" t="n">
        <v>45792.4270833333</v>
      </c>
      <c r="F1713" s="10" t="n">
        <v>45794.4622685185</v>
      </c>
      <c r="G1713" s="0" t="n">
        <v>130.92</v>
      </c>
      <c r="H1713" s="0" t="n">
        <v>134.32</v>
      </c>
      <c r="I1713" s="11" t="n">
        <f aca="false">H1713-G1713</f>
        <v>3.40000000000001</v>
      </c>
      <c r="J1713" s="5" t="n">
        <f aca="false">IF(G1713=0,"",I1713/G1713)</f>
        <v>0.025970058050718</v>
      </c>
      <c r="K1713" s="0" t="n">
        <v>15.6</v>
      </c>
      <c r="L1713" s="0" t="n">
        <v>37.75</v>
      </c>
      <c r="M1713" s="11" t="s">
        <v>2769</v>
      </c>
      <c r="N1713" s="12" t="n">
        <f aca="false">INT(E1713)</f>
        <v>45792</v>
      </c>
      <c r="O1713" s="12" t="n">
        <f aca="false">IF(F1713="","",INT(F1713))</f>
        <v>45794</v>
      </c>
    </row>
    <row r="1714" customFormat="false" ht="15" hidden="false" customHeight="false" outlineLevel="0" collapsed="false">
      <c r="A1714" s="0" t="s">
        <v>3470</v>
      </c>
      <c r="B1714" s="0" t="s">
        <v>3471</v>
      </c>
      <c r="C1714" s="0" t="s">
        <v>21</v>
      </c>
      <c r="D1714" s="0" t="s">
        <v>42</v>
      </c>
      <c r="E1714" s="10" t="n">
        <v>45792.4347222222</v>
      </c>
      <c r="F1714" s="10" t="n">
        <v>45792.8316782407</v>
      </c>
      <c r="G1714" s="0" t="n">
        <v>236.21</v>
      </c>
      <c r="H1714" s="0" t="n">
        <v>245.74</v>
      </c>
      <c r="I1714" s="11" t="n">
        <f aca="false">H1714-G1714</f>
        <v>9.53</v>
      </c>
      <c r="J1714" s="5" t="n">
        <f aca="false">IF(G1714=0,"",I1714/G1714)</f>
        <v>0.0403454553151856</v>
      </c>
      <c r="K1714" s="0" t="n">
        <v>57.4</v>
      </c>
      <c r="L1714" s="0" t="n">
        <v>9.53</v>
      </c>
      <c r="M1714" s="11" t="s">
        <v>2769</v>
      </c>
      <c r="N1714" s="12" t="n">
        <f aca="false">INT(E1714)</f>
        <v>45792</v>
      </c>
      <c r="O1714" s="12" t="n">
        <f aca="false">IF(F1714="","",INT(F1714))</f>
        <v>45792</v>
      </c>
    </row>
    <row r="1715" customFormat="false" ht="15" hidden="false" customHeight="false" outlineLevel="0" collapsed="false">
      <c r="A1715" s="0" t="s">
        <v>3472</v>
      </c>
      <c r="B1715" s="0" t="s">
        <v>3473</v>
      </c>
      <c r="C1715" s="0" t="s">
        <v>19</v>
      </c>
      <c r="D1715" s="0" t="s">
        <v>42</v>
      </c>
      <c r="E1715" s="10" t="n">
        <v>45792.4611111111</v>
      </c>
      <c r="F1715" s="10" t="n">
        <v>45792.7339467593</v>
      </c>
      <c r="G1715" s="0" t="n">
        <v>156.95</v>
      </c>
      <c r="H1715" s="0" t="n">
        <v>159.77</v>
      </c>
      <c r="I1715" s="11" t="n">
        <f aca="false">H1715-G1715</f>
        <v>2.82000000000002</v>
      </c>
      <c r="J1715" s="5" t="n">
        <f aca="false">IF(G1715=0,"",I1715/G1715)</f>
        <v>0.017967505575024</v>
      </c>
      <c r="K1715" s="0" t="n">
        <v>28.7</v>
      </c>
      <c r="L1715" s="0" t="n">
        <v>6.55</v>
      </c>
      <c r="M1715" s="11" t="s">
        <v>2769</v>
      </c>
      <c r="N1715" s="12" t="n">
        <f aca="false">INT(E1715)</f>
        <v>45792</v>
      </c>
      <c r="O1715" s="12" t="n">
        <f aca="false">IF(F1715="","",INT(F1715))</f>
        <v>45792</v>
      </c>
    </row>
    <row r="1716" customFormat="false" ht="15" hidden="false" customHeight="false" outlineLevel="0" collapsed="false">
      <c r="A1716" s="0" t="s">
        <v>3474</v>
      </c>
      <c r="B1716" s="0" t="s">
        <v>3475</v>
      </c>
      <c r="C1716" s="0" t="s">
        <v>19</v>
      </c>
      <c r="D1716" s="0" t="s">
        <v>42</v>
      </c>
      <c r="E1716" s="10" t="n">
        <v>45792.4861111111</v>
      </c>
      <c r="F1716" s="10" t="n">
        <v>45792.8159722222</v>
      </c>
      <c r="G1716" s="0" t="n">
        <v>426.46</v>
      </c>
      <c r="H1716" s="0" t="n">
        <v>423.51</v>
      </c>
      <c r="I1716" s="11" t="n">
        <f aca="false">H1716-G1716</f>
        <v>-2.94999999999999</v>
      </c>
      <c r="J1716" s="5" t="n">
        <f aca="false">IF(G1716=0,"",I1716/G1716)</f>
        <v>-0.00691741312198093</v>
      </c>
      <c r="K1716" s="0" t="n">
        <v>55.8</v>
      </c>
      <c r="L1716" s="0" t="n">
        <v>7.92</v>
      </c>
      <c r="M1716" s="11" t="s">
        <v>2769</v>
      </c>
      <c r="N1716" s="12" t="n">
        <f aca="false">INT(E1716)</f>
        <v>45792</v>
      </c>
      <c r="O1716" s="12" t="n">
        <f aca="false">IF(F1716="","",INT(F1716))</f>
        <v>45792</v>
      </c>
    </row>
    <row r="1717" customFormat="false" ht="15" hidden="false" customHeight="false" outlineLevel="0" collapsed="false">
      <c r="A1717" s="0" t="s">
        <v>3476</v>
      </c>
      <c r="B1717" s="0" t="s">
        <v>3477</v>
      </c>
      <c r="C1717" s="0" t="s">
        <v>21</v>
      </c>
      <c r="D1717" s="0" t="s">
        <v>42</v>
      </c>
      <c r="E1717" s="10" t="n">
        <v>45792.4979166667</v>
      </c>
      <c r="F1717" s="10" t="n">
        <v>45793.0513888889</v>
      </c>
      <c r="G1717" s="0" t="n">
        <v>2107.14</v>
      </c>
      <c r="H1717" s="0" t="n">
        <v>2160.5</v>
      </c>
      <c r="I1717" s="11" t="n">
        <f aca="false">H1717-G1717</f>
        <v>53.3600000000001</v>
      </c>
      <c r="J1717" s="5" t="n">
        <f aca="false">IF(G1717=0,"",I1717/G1717)</f>
        <v>0.0253234241673549</v>
      </c>
      <c r="K1717" s="0" t="n">
        <v>472.4</v>
      </c>
      <c r="L1717" s="0" t="n">
        <v>13.28</v>
      </c>
      <c r="M1717" s="11" t="s">
        <v>2769</v>
      </c>
      <c r="N1717" s="12" t="n">
        <f aca="false">INT(E1717)</f>
        <v>45792</v>
      </c>
      <c r="O1717" s="12" t="n">
        <f aca="false">IF(F1717="","",INT(F1717))</f>
        <v>45793</v>
      </c>
    </row>
    <row r="1718" customFormat="false" ht="15" hidden="false" customHeight="false" outlineLevel="0" collapsed="false">
      <c r="A1718" s="0" t="s">
        <v>3478</v>
      </c>
      <c r="B1718" s="0" t="s">
        <v>3479</v>
      </c>
      <c r="C1718" s="0" t="s">
        <v>19</v>
      </c>
      <c r="D1718" s="0" t="s">
        <v>42</v>
      </c>
      <c r="E1718" s="10" t="n">
        <v>45792.5048611111</v>
      </c>
      <c r="F1718" s="10" t="n">
        <v>45792.7737268519</v>
      </c>
      <c r="G1718" s="0" t="n">
        <v>5674.93</v>
      </c>
      <c r="H1718" s="0" t="n">
        <v>5704.47</v>
      </c>
      <c r="I1718" s="11" t="n">
        <f aca="false">H1718-G1718</f>
        <v>29.54</v>
      </c>
      <c r="J1718" s="5" t="n">
        <f aca="false">IF(G1718=0,"",I1718/G1718)</f>
        <v>0.00520535055057947</v>
      </c>
      <c r="K1718" s="0" t="n">
        <v>761.8</v>
      </c>
      <c r="L1718" s="0" t="n">
        <v>6.45</v>
      </c>
      <c r="M1718" s="11" t="s">
        <v>2769</v>
      </c>
      <c r="N1718" s="12" t="n">
        <f aca="false">INT(E1718)</f>
        <v>45792</v>
      </c>
      <c r="O1718" s="12" t="n">
        <f aca="false">IF(F1718="","",INT(F1718))</f>
        <v>45792</v>
      </c>
    </row>
    <row r="1719" customFormat="false" ht="15" hidden="false" customHeight="false" outlineLevel="0" collapsed="false">
      <c r="A1719" s="0" t="s">
        <v>3480</v>
      </c>
      <c r="B1719" s="0" t="s">
        <v>3481</v>
      </c>
      <c r="C1719" s="0" t="s">
        <v>24</v>
      </c>
      <c r="D1719" s="0" t="s">
        <v>42</v>
      </c>
      <c r="E1719" s="10" t="n">
        <v>45792.5569444444</v>
      </c>
      <c r="F1719" s="10" t="n">
        <v>45795.1868055556</v>
      </c>
      <c r="G1719" s="0" t="n">
        <v>643.69</v>
      </c>
      <c r="H1719" s="0" t="n">
        <v>651.91</v>
      </c>
      <c r="I1719" s="11" t="n">
        <f aca="false">H1719-G1719</f>
        <v>8.21999999999991</v>
      </c>
      <c r="J1719" s="5" t="n">
        <f aca="false">IF(G1719=0,"",I1719/G1719)</f>
        <v>0.0127701222638225</v>
      </c>
      <c r="K1719" s="0" t="n">
        <v>177.9</v>
      </c>
      <c r="L1719" s="0" t="n">
        <v>34.63</v>
      </c>
      <c r="M1719" s="11" t="s">
        <v>2769</v>
      </c>
      <c r="N1719" s="12" t="n">
        <f aca="false">INT(E1719)</f>
        <v>45792</v>
      </c>
      <c r="O1719" s="12" t="n">
        <f aca="false">IF(F1719="","",INT(F1719))</f>
        <v>45795</v>
      </c>
    </row>
    <row r="1720" customFormat="false" ht="15" hidden="false" customHeight="false" outlineLevel="0" collapsed="false">
      <c r="A1720" s="0" t="s">
        <v>3482</v>
      </c>
      <c r="B1720" s="0" t="s">
        <v>3483</v>
      </c>
      <c r="C1720" s="0" t="s">
        <v>19</v>
      </c>
      <c r="D1720" s="0" t="s">
        <v>303</v>
      </c>
      <c r="E1720" s="10" t="n">
        <v>45792.5694444445</v>
      </c>
      <c r="F1720" s="10"/>
      <c r="G1720" s="0" t="n">
        <v>566.84</v>
      </c>
      <c r="H1720" s="0" t="n">
        <v>565.89</v>
      </c>
      <c r="I1720" s="11" t="n">
        <f aca="false">H1720-G1720</f>
        <v>-0.950000000000046</v>
      </c>
      <c r="J1720" s="5" t="n">
        <f aca="false">IF(G1720=0,"",I1720/G1720)</f>
        <v>-0.00167595794227656</v>
      </c>
      <c r="K1720" s="0" t="n">
        <v>62</v>
      </c>
      <c r="M1720" s="11" t="s">
        <v>2769</v>
      </c>
      <c r="N1720" s="12" t="n">
        <f aca="false">INT(E1720)</f>
        <v>45792</v>
      </c>
      <c r="O1720" s="12" t="str">
        <f aca="false">IF(F1720="","",INT(F1720))</f>
        <v/>
      </c>
    </row>
    <row r="1721" customFormat="false" ht="15" hidden="false" customHeight="false" outlineLevel="0" collapsed="false">
      <c r="A1721" s="0" t="s">
        <v>3484</v>
      </c>
      <c r="B1721" s="0" t="s">
        <v>3485</v>
      </c>
      <c r="C1721" s="0" t="s">
        <v>21</v>
      </c>
      <c r="D1721" s="0" t="s">
        <v>42</v>
      </c>
      <c r="E1721" s="10" t="n">
        <v>45792.5798611111</v>
      </c>
      <c r="F1721" s="10" t="n">
        <v>45793.0284722222</v>
      </c>
      <c r="G1721" s="0" t="n">
        <v>2214.38</v>
      </c>
      <c r="H1721" s="0" t="n">
        <v>2249.42</v>
      </c>
      <c r="I1721" s="11" t="n">
        <f aca="false">H1721-G1721</f>
        <v>35.04</v>
      </c>
      <c r="J1721" s="5" t="n">
        <f aca="false">IF(G1721=0,"",I1721/G1721)</f>
        <v>0.0158238423396165</v>
      </c>
      <c r="K1721" s="0" t="n">
        <v>361.3</v>
      </c>
      <c r="L1721" s="0" t="n">
        <v>10.77</v>
      </c>
      <c r="M1721" s="11" t="s">
        <v>2769</v>
      </c>
      <c r="N1721" s="12" t="n">
        <f aca="false">INT(E1721)</f>
        <v>45792</v>
      </c>
      <c r="O1721" s="12" t="n">
        <f aca="false">IF(F1721="","",INT(F1721))</f>
        <v>45793</v>
      </c>
    </row>
    <row r="1722" customFormat="false" ht="15" hidden="false" customHeight="false" outlineLevel="0" collapsed="false">
      <c r="A1722" s="0" t="s">
        <v>3486</v>
      </c>
      <c r="B1722" s="0" t="s">
        <v>3487</v>
      </c>
      <c r="C1722" s="0" t="s">
        <v>23</v>
      </c>
      <c r="D1722" s="0" t="s">
        <v>42</v>
      </c>
      <c r="E1722" s="10" t="n">
        <v>45792.5819444444</v>
      </c>
      <c r="F1722" s="10" t="n">
        <v>45793.1590277778</v>
      </c>
      <c r="G1722" s="0" t="n">
        <v>499.36</v>
      </c>
      <c r="H1722" s="0" t="n">
        <v>507.13</v>
      </c>
      <c r="I1722" s="11" t="n">
        <f aca="false">H1722-G1722</f>
        <v>7.76999999999998</v>
      </c>
      <c r="J1722" s="5" t="n">
        <f aca="false">IF(G1722=0,"",I1722/G1722)</f>
        <v>0.0155599166933675</v>
      </c>
      <c r="K1722" s="0" t="n">
        <v>115.3</v>
      </c>
      <c r="L1722" s="0" t="n">
        <v>13.85</v>
      </c>
      <c r="M1722" s="11" t="s">
        <v>2769</v>
      </c>
      <c r="N1722" s="12" t="n">
        <f aca="false">INT(E1722)</f>
        <v>45792</v>
      </c>
      <c r="O1722" s="12" t="n">
        <f aca="false">IF(F1722="","",INT(F1722))</f>
        <v>45793</v>
      </c>
    </row>
    <row r="1723" customFormat="false" ht="15" hidden="false" customHeight="false" outlineLevel="0" collapsed="false">
      <c r="A1723" s="0" t="s">
        <v>3488</v>
      </c>
      <c r="B1723" s="0" t="s">
        <v>3489</v>
      </c>
      <c r="C1723" s="0" t="s">
        <v>21</v>
      </c>
      <c r="D1723" s="0" t="s">
        <v>42</v>
      </c>
      <c r="E1723" s="10" t="n">
        <v>45792.6138888889</v>
      </c>
      <c r="F1723" s="10" t="n">
        <v>45793.1413194445</v>
      </c>
      <c r="G1723" s="0" t="n">
        <v>571.8</v>
      </c>
      <c r="H1723" s="0" t="n">
        <v>564.11</v>
      </c>
      <c r="I1723" s="11" t="n">
        <f aca="false">H1723-G1723</f>
        <v>-7.68999999999994</v>
      </c>
      <c r="J1723" s="5" t="n">
        <f aca="false">IF(G1723=0,"",I1723/G1723)</f>
        <v>-0.0134487583071003</v>
      </c>
      <c r="K1723" s="0" t="n">
        <v>149.6</v>
      </c>
      <c r="L1723" s="0" t="n">
        <v>12.66</v>
      </c>
      <c r="M1723" s="11" t="s">
        <v>2769</v>
      </c>
      <c r="N1723" s="12" t="n">
        <f aca="false">INT(E1723)</f>
        <v>45792</v>
      </c>
      <c r="O1723" s="12" t="n">
        <f aca="false">IF(F1723="","",INT(F1723))</f>
        <v>45793</v>
      </c>
    </row>
    <row r="1724" customFormat="false" ht="15" hidden="false" customHeight="false" outlineLevel="0" collapsed="false">
      <c r="A1724" s="0" t="s">
        <v>3490</v>
      </c>
      <c r="B1724" s="0" t="s">
        <v>3491</v>
      </c>
      <c r="C1724" s="0" t="s">
        <v>19</v>
      </c>
      <c r="D1724" s="0" t="s">
        <v>42</v>
      </c>
      <c r="E1724" s="10" t="n">
        <v>45792.6236111111</v>
      </c>
      <c r="F1724" s="10" t="n">
        <v>45793.9118055556</v>
      </c>
      <c r="G1724" s="0" t="n">
        <v>766.12</v>
      </c>
      <c r="H1724" s="0" t="n">
        <v>767.54</v>
      </c>
      <c r="I1724" s="11" t="n">
        <f aca="false">H1724-G1724</f>
        <v>1.41999999999996</v>
      </c>
      <c r="J1724" s="5" t="n">
        <f aca="false">IF(G1724=0,"",I1724/G1724)</f>
        <v>0.00185349553594732</v>
      </c>
      <c r="K1724" s="0" t="n">
        <v>78.1</v>
      </c>
      <c r="L1724" s="0" t="n">
        <v>30.92</v>
      </c>
      <c r="M1724" s="11" t="s">
        <v>2769</v>
      </c>
      <c r="N1724" s="12" t="n">
        <f aca="false">INT(E1724)</f>
        <v>45792</v>
      </c>
      <c r="O1724" s="12" t="n">
        <f aca="false">IF(F1724="","",INT(F1724))</f>
        <v>45793</v>
      </c>
    </row>
    <row r="1725" customFormat="false" ht="15" hidden="false" customHeight="false" outlineLevel="0" collapsed="false">
      <c r="A1725" s="0" t="s">
        <v>3492</v>
      </c>
      <c r="B1725" s="0" t="s">
        <v>3493</v>
      </c>
      <c r="C1725" s="0" t="s">
        <v>20</v>
      </c>
      <c r="D1725" s="0" t="s">
        <v>42</v>
      </c>
      <c r="E1725" s="10" t="n">
        <v>45792.6243055556</v>
      </c>
      <c r="F1725" s="10" t="n">
        <v>45794.2131944444</v>
      </c>
      <c r="G1725" s="0" t="n">
        <v>369.35</v>
      </c>
      <c r="H1725" s="0" t="n">
        <v>375.67</v>
      </c>
      <c r="I1725" s="11" t="n">
        <f aca="false">H1725-G1725</f>
        <v>6.31999999999999</v>
      </c>
      <c r="J1725" s="5" t="n">
        <f aca="false">IF(G1725=0,"",I1725/G1725)</f>
        <v>0.0171111411939894</v>
      </c>
      <c r="K1725" s="0" t="n">
        <v>51.2</v>
      </c>
      <c r="L1725" s="0" t="n">
        <v>33.02</v>
      </c>
      <c r="M1725" s="11" t="s">
        <v>2769</v>
      </c>
      <c r="N1725" s="12" t="n">
        <f aca="false">INT(E1725)</f>
        <v>45792</v>
      </c>
      <c r="O1725" s="12" t="n">
        <f aca="false">IF(F1725="","",INT(F1725))</f>
        <v>45794</v>
      </c>
    </row>
    <row r="1726" customFormat="false" ht="15" hidden="false" customHeight="false" outlineLevel="0" collapsed="false">
      <c r="A1726" s="0" t="s">
        <v>3494</v>
      </c>
      <c r="B1726" s="0" t="s">
        <v>3495</v>
      </c>
      <c r="C1726" s="0" t="s">
        <v>21</v>
      </c>
      <c r="D1726" s="0" t="s">
        <v>42</v>
      </c>
      <c r="E1726" s="10" t="n">
        <v>45792.6583333333</v>
      </c>
      <c r="F1726" s="10" t="n">
        <v>45793.4180555556</v>
      </c>
      <c r="G1726" s="0" t="n">
        <v>442.95</v>
      </c>
      <c r="H1726" s="0" t="n">
        <v>428.2</v>
      </c>
      <c r="I1726" s="11" t="n">
        <f aca="false">H1726-G1726</f>
        <v>-14.75</v>
      </c>
      <c r="J1726" s="5" t="n">
        <f aca="false">IF(G1726=0,"",I1726/G1726)</f>
        <v>-0.0332994694660797</v>
      </c>
      <c r="K1726" s="0" t="n">
        <v>115.5</v>
      </c>
      <c r="L1726" s="0" t="n">
        <v>18.23</v>
      </c>
      <c r="M1726" s="11" t="s">
        <v>2769</v>
      </c>
      <c r="N1726" s="12" t="n">
        <f aca="false">INT(E1726)</f>
        <v>45792</v>
      </c>
      <c r="O1726" s="12" t="n">
        <f aca="false">IF(F1726="","",INT(F1726))</f>
        <v>45793</v>
      </c>
    </row>
    <row r="1727" customFormat="false" ht="15" hidden="false" customHeight="false" outlineLevel="0" collapsed="false">
      <c r="A1727" s="0" t="s">
        <v>3496</v>
      </c>
      <c r="B1727" s="0" t="s">
        <v>3497</v>
      </c>
      <c r="C1727" s="0" t="s">
        <v>20</v>
      </c>
      <c r="D1727" s="0" t="s">
        <v>42</v>
      </c>
      <c r="E1727" s="10" t="n">
        <v>45792.7</v>
      </c>
      <c r="F1727" s="10" t="n">
        <v>45793.4399768519</v>
      </c>
      <c r="G1727" s="0" t="n">
        <v>569.73</v>
      </c>
      <c r="H1727" s="0" t="n">
        <v>577.67</v>
      </c>
      <c r="I1727" s="11" t="n">
        <f aca="false">H1727-G1727</f>
        <v>7.93999999999994</v>
      </c>
      <c r="J1727" s="5" t="n">
        <f aca="false">IF(G1727=0,"",I1727/G1727)</f>
        <v>0.0139364260263633</v>
      </c>
      <c r="K1727" s="0" t="n">
        <v>66.8</v>
      </c>
      <c r="L1727" s="0" t="n">
        <v>17.76</v>
      </c>
      <c r="M1727" s="11" t="s">
        <v>2769</v>
      </c>
      <c r="N1727" s="12" t="n">
        <f aca="false">INT(E1727)</f>
        <v>45792</v>
      </c>
      <c r="O1727" s="12" t="n">
        <f aca="false">IF(F1727="","",INT(F1727))</f>
        <v>45793</v>
      </c>
    </row>
    <row r="1728" customFormat="false" ht="15" hidden="false" customHeight="false" outlineLevel="0" collapsed="false">
      <c r="A1728" s="0" t="s">
        <v>3498</v>
      </c>
      <c r="B1728" s="0" t="s">
        <v>3499</v>
      </c>
      <c r="C1728" s="0" t="s">
        <v>22</v>
      </c>
      <c r="D1728" s="0" t="s">
        <v>42</v>
      </c>
      <c r="E1728" s="10" t="n">
        <v>45792.7444444444</v>
      </c>
      <c r="F1728" s="10" t="n">
        <v>45793.2291666667</v>
      </c>
      <c r="G1728" s="0" t="n">
        <v>506.48</v>
      </c>
      <c r="H1728" s="0" t="n">
        <v>517.25</v>
      </c>
      <c r="I1728" s="11" t="n">
        <f aca="false">H1728-G1728</f>
        <v>10.77</v>
      </c>
      <c r="J1728" s="5" t="n">
        <f aca="false">IF(G1728=0,"",I1728/G1728)</f>
        <v>0.0212644132048649</v>
      </c>
      <c r="K1728" s="0" t="n">
        <v>98.5</v>
      </c>
      <c r="L1728" s="0" t="n">
        <v>11.63</v>
      </c>
      <c r="M1728" s="11" t="s">
        <v>2769</v>
      </c>
      <c r="N1728" s="12" t="n">
        <f aca="false">INT(E1728)</f>
        <v>45792</v>
      </c>
      <c r="O1728" s="12" t="n">
        <f aca="false">IF(F1728="","",INT(F1728))</f>
        <v>45793</v>
      </c>
    </row>
    <row r="1729" customFormat="false" ht="15" hidden="false" customHeight="false" outlineLevel="0" collapsed="false">
      <c r="A1729" s="0" t="s">
        <v>3500</v>
      </c>
      <c r="B1729" s="0" t="s">
        <v>3501</v>
      </c>
      <c r="C1729" s="0" t="s">
        <v>20</v>
      </c>
      <c r="D1729" s="0" t="s">
        <v>42</v>
      </c>
      <c r="E1729" s="10" t="n">
        <v>45793.3104166667</v>
      </c>
      <c r="F1729" s="10" t="n">
        <v>45793.7611111111</v>
      </c>
      <c r="G1729" s="0" t="n">
        <v>220.83</v>
      </c>
      <c r="H1729" s="0" t="n">
        <v>216.35</v>
      </c>
      <c r="I1729" s="11" t="n">
        <f aca="false">H1729-G1729</f>
        <v>-4.48000000000002</v>
      </c>
      <c r="J1729" s="5" t="n">
        <f aca="false">IF(G1729=0,"",I1729/G1729)</f>
        <v>-0.0202870986731876</v>
      </c>
      <c r="K1729" s="0" t="n">
        <v>32.6</v>
      </c>
      <c r="L1729" s="0" t="n">
        <v>10.82</v>
      </c>
      <c r="M1729" s="11" t="s">
        <v>2769</v>
      </c>
      <c r="N1729" s="12" t="n">
        <f aca="false">INT(E1729)</f>
        <v>45793</v>
      </c>
      <c r="O1729" s="12" t="n">
        <f aca="false">IF(F1729="","",INT(F1729))</f>
        <v>45793</v>
      </c>
    </row>
    <row r="1730" customFormat="false" ht="15" hidden="false" customHeight="false" outlineLevel="0" collapsed="false">
      <c r="A1730" s="0" t="s">
        <v>3502</v>
      </c>
      <c r="B1730" s="0" t="s">
        <v>3503</v>
      </c>
      <c r="C1730" s="0" t="s">
        <v>22</v>
      </c>
      <c r="D1730" s="0" t="s">
        <v>42</v>
      </c>
      <c r="E1730" s="10" t="n">
        <v>45793.3354166667</v>
      </c>
      <c r="F1730" s="10" t="n">
        <v>45794.3229166667</v>
      </c>
      <c r="G1730" s="0" t="n">
        <v>77.64</v>
      </c>
      <c r="H1730" s="0" t="n">
        <v>78.62</v>
      </c>
      <c r="I1730" s="11" t="n">
        <f aca="false">H1730-G1730</f>
        <v>0.980000000000004</v>
      </c>
      <c r="J1730" s="5" t="n">
        <f aca="false">IF(G1730=0,"",I1730/G1730)</f>
        <v>0.0126223596084493</v>
      </c>
      <c r="K1730" s="0" t="n">
        <v>13.4</v>
      </c>
      <c r="L1730" s="0" t="n">
        <v>15.95</v>
      </c>
      <c r="M1730" s="11" t="s">
        <v>2769</v>
      </c>
      <c r="N1730" s="12" t="n">
        <f aca="false">INT(E1730)</f>
        <v>45793</v>
      </c>
      <c r="O1730" s="12" t="n">
        <f aca="false">IF(F1730="","",INT(F1730))</f>
        <v>45794</v>
      </c>
    </row>
    <row r="1731" customFormat="false" ht="15" hidden="false" customHeight="false" outlineLevel="0" collapsed="false">
      <c r="A1731" s="0" t="s">
        <v>3504</v>
      </c>
      <c r="B1731" s="0" t="s">
        <v>3505</v>
      </c>
      <c r="C1731" s="0" t="s">
        <v>20</v>
      </c>
      <c r="D1731" s="0" t="s">
        <v>42</v>
      </c>
      <c r="E1731" s="10" t="n">
        <v>45793.3402777778</v>
      </c>
      <c r="F1731" s="10" t="n">
        <v>45795.6659722222</v>
      </c>
      <c r="G1731" s="0" t="n">
        <v>687.62</v>
      </c>
      <c r="H1731" s="0" t="n">
        <v>688.85</v>
      </c>
      <c r="I1731" s="11" t="n">
        <f aca="false">H1731-G1731</f>
        <v>1.23000000000002</v>
      </c>
      <c r="J1731" s="5" t="n">
        <f aca="false">IF(G1731=0,"",I1731/G1731)</f>
        <v>0.00178877868590212</v>
      </c>
      <c r="K1731" s="0" t="n">
        <v>114.9</v>
      </c>
      <c r="L1731" s="0" t="n">
        <v>15.83</v>
      </c>
      <c r="M1731" s="11" t="s">
        <v>2769</v>
      </c>
      <c r="N1731" s="12" t="n">
        <f aca="false">INT(E1731)</f>
        <v>45793</v>
      </c>
      <c r="O1731" s="12" t="n">
        <f aca="false">IF(F1731="","",INT(F1731))</f>
        <v>45795</v>
      </c>
    </row>
    <row r="1732" customFormat="false" ht="15" hidden="false" customHeight="false" outlineLevel="0" collapsed="false">
      <c r="A1732" s="0" t="s">
        <v>3506</v>
      </c>
      <c r="B1732" s="0" t="s">
        <v>3507</v>
      </c>
      <c r="C1732" s="0" t="s">
        <v>21</v>
      </c>
      <c r="D1732" s="0" t="s">
        <v>42</v>
      </c>
      <c r="E1732" s="10" t="n">
        <v>45793.3402777778</v>
      </c>
      <c r="F1732" s="10" t="n">
        <v>45793.9005787037</v>
      </c>
      <c r="G1732" s="0" t="n">
        <v>1487.46</v>
      </c>
      <c r="H1732" s="0" t="n">
        <v>1495.73</v>
      </c>
      <c r="I1732" s="11" t="n">
        <f aca="false">H1732-G1732</f>
        <v>8.26999999999998</v>
      </c>
      <c r="J1732" s="5" t="n">
        <f aca="false">IF(G1732=0,"",I1732/G1732)</f>
        <v>0.00555981337313271</v>
      </c>
      <c r="K1732" s="0" t="n">
        <v>259.1</v>
      </c>
      <c r="L1732" s="0" t="n">
        <v>13.45</v>
      </c>
      <c r="M1732" s="11" t="s">
        <v>2769</v>
      </c>
      <c r="N1732" s="12" t="n">
        <f aca="false">INT(E1732)</f>
        <v>45793</v>
      </c>
      <c r="O1732" s="12" t="n">
        <f aca="false">IF(F1732="","",INT(F1732))</f>
        <v>45793</v>
      </c>
    </row>
    <row r="1733" customFormat="false" ht="15" hidden="false" customHeight="false" outlineLevel="0" collapsed="false">
      <c r="A1733" s="0" t="s">
        <v>3508</v>
      </c>
      <c r="B1733" s="0" t="s">
        <v>3509</v>
      </c>
      <c r="C1733" s="0" t="s">
        <v>23</v>
      </c>
      <c r="D1733" s="0" t="s">
        <v>42</v>
      </c>
      <c r="E1733" s="10" t="n">
        <v>45793.3569444444</v>
      </c>
      <c r="F1733" s="10" t="n">
        <v>45795.7805555556</v>
      </c>
      <c r="G1733" s="0" t="n">
        <v>775.87</v>
      </c>
      <c r="H1733" s="0" t="n">
        <v>799.22</v>
      </c>
      <c r="I1733" s="11" t="n">
        <f aca="false">H1733-G1733</f>
        <v>23.35</v>
      </c>
      <c r="J1733" s="5" t="n">
        <f aca="false">IF(G1733=0,"",I1733/G1733)</f>
        <v>0.0300952479152436</v>
      </c>
      <c r="K1733" s="0" t="n">
        <v>292.4</v>
      </c>
      <c r="L1733" s="0" t="n">
        <v>15.43</v>
      </c>
      <c r="M1733" s="11" t="s">
        <v>2769</v>
      </c>
      <c r="N1733" s="12" t="n">
        <f aca="false">INT(E1733)</f>
        <v>45793</v>
      </c>
      <c r="O1733" s="12" t="n">
        <f aca="false">IF(F1733="","",INT(F1733))</f>
        <v>45795</v>
      </c>
    </row>
    <row r="1734" customFormat="false" ht="15" hidden="false" customHeight="false" outlineLevel="0" collapsed="false">
      <c r="A1734" s="0" t="s">
        <v>3510</v>
      </c>
      <c r="B1734" s="0" t="s">
        <v>3511</v>
      </c>
      <c r="C1734" s="0" t="s">
        <v>23</v>
      </c>
      <c r="D1734" s="0" t="s">
        <v>42</v>
      </c>
      <c r="E1734" s="10" t="n">
        <v>45793.3819444445</v>
      </c>
      <c r="F1734" s="10" t="n">
        <v>45797.9708333333</v>
      </c>
      <c r="G1734" s="0" t="n">
        <v>679.8</v>
      </c>
      <c r="H1734" s="0" t="n">
        <v>694.95</v>
      </c>
      <c r="I1734" s="11" t="n">
        <f aca="false">H1734-G1734</f>
        <v>15.1500000000001</v>
      </c>
      <c r="J1734" s="5" t="n">
        <f aca="false">IF(G1734=0,"",I1734/G1734)</f>
        <v>0.0222859664607239</v>
      </c>
      <c r="K1734" s="0" t="n">
        <v>166.8</v>
      </c>
      <c r="L1734" s="0" t="n">
        <v>62.13</v>
      </c>
      <c r="M1734" s="11" t="s">
        <v>2769</v>
      </c>
      <c r="N1734" s="12" t="n">
        <f aca="false">INT(E1734)</f>
        <v>45793</v>
      </c>
      <c r="O1734" s="12" t="n">
        <f aca="false">IF(F1734="","",INT(F1734))</f>
        <v>45797</v>
      </c>
    </row>
    <row r="1735" customFormat="false" ht="15" hidden="false" customHeight="false" outlineLevel="0" collapsed="false">
      <c r="A1735" s="0" t="s">
        <v>3512</v>
      </c>
      <c r="B1735" s="0" t="s">
        <v>3513</v>
      </c>
      <c r="C1735" s="0" t="s">
        <v>24</v>
      </c>
      <c r="D1735" s="0" t="s">
        <v>42</v>
      </c>
      <c r="E1735" s="10" t="n">
        <v>45793.4083333333</v>
      </c>
      <c r="F1735" s="10" t="n">
        <v>45794.6219791667</v>
      </c>
      <c r="G1735" s="0" t="n">
        <v>163.05</v>
      </c>
      <c r="H1735" s="0" t="n">
        <v>159.39</v>
      </c>
      <c r="I1735" s="11" t="n">
        <f aca="false">H1735-G1735</f>
        <v>-3.66000000000003</v>
      </c>
      <c r="J1735" s="5" t="n">
        <f aca="false">IF(G1735=0,"",I1735/G1735)</f>
        <v>-0.0224471021159155</v>
      </c>
      <c r="K1735" s="0" t="n">
        <v>33.4</v>
      </c>
      <c r="L1735" s="0" t="n">
        <v>14.2</v>
      </c>
      <c r="M1735" s="11" t="s">
        <v>2769</v>
      </c>
      <c r="N1735" s="12" t="n">
        <f aca="false">INT(E1735)</f>
        <v>45793</v>
      </c>
      <c r="O1735" s="12" t="n">
        <f aca="false">IF(F1735="","",INT(F1735))</f>
        <v>45794</v>
      </c>
    </row>
    <row r="1736" customFormat="false" ht="15" hidden="false" customHeight="false" outlineLevel="0" collapsed="false">
      <c r="A1736" s="0" t="s">
        <v>3514</v>
      </c>
      <c r="B1736" s="0" t="s">
        <v>3515</v>
      </c>
      <c r="C1736" s="0" t="s">
        <v>19</v>
      </c>
      <c r="D1736" s="0" t="s">
        <v>42</v>
      </c>
      <c r="E1736" s="10" t="n">
        <v>45793.4215277778</v>
      </c>
      <c r="F1736" s="10" t="n">
        <v>45794.0743055556</v>
      </c>
      <c r="G1736" s="0" t="n">
        <v>50.09</v>
      </c>
      <c r="H1736" s="0" t="n">
        <v>50.62</v>
      </c>
      <c r="I1736" s="11" t="n">
        <f aca="false">H1736-G1736</f>
        <v>0.529999999999994</v>
      </c>
      <c r="J1736" s="5" t="n">
        <f aca="false">IF(G1736=0,"",I1736/G1736)</f>
        <v>0.0105809542822918</v>
      </c>
      <c r="K1736" s="0" t="n">
        <v>8.6</v>
      </c>
      <c r="L1736" s="0" t="n">
        <v>13.88</v>
      </c>
      <c r="M1736" s="11" t="s">
        <v>2769</v>
      </c>
      <c r="N1736" s="12" t="n">
        <f aca="false">INT(E1736)</f>
        <v>45793</v>
      </c>
      <c r="O1736" s="12" t="n">
        <f aca="false">IF(F1736="","",INT(F1736))</f>
        <v>45794</v>
      </c>
    </row>
    <row r="1737" customFormat="false" ht="15" hidden="false" customHeight="false" outlineLevel="0" collapsed="false">
      <c r="A1737" s="0" t="s">
        <v>3516</v>
      </c>
      <c r="B1737" s="0" t="s">
        <v>3517</v>
      </c>
      <c r="C1737" s="0" t="s">
        <v>23</v>
      </c>
      <c r="D1737" s="0" t="s">
        <v>42</v>
      </c>
      <c r="E1737" s="10" t="n">
        <v>45793.4381944445</v>
      </c>
      <c r="F1737" s="10" t="n">
        <v>45794.6131944444</v>
      </c>
      <c r="G1737" s="0" t="n">
        <v>361.5</v>
      </c>
      <c r="H1737" s="0" t="n">
        <v>341.8</v>
      </c>
      <c r="I1737" s="11" t="n">
        <f aca="false">H1737-G1737</f>
        <v>-19.7</v>
      </c>
      <c r="J1737" s="5" t="n">
        <f aca="false">IF(G1737=0,"",I1737/G1737)</f>
        <v>-0.0544951590594744</v>
      </c>
      <c r="K1737" s="0" t="n">
        <v>114</v>
      </c>
      <c r="L1737" s="0" t="n">
        <v>13.48</v>
      </c>
      <c r="M1737" s="11" t="s">
        <v>2769</v>
      </c>
      <c r="N1737" s="12" t="n">
        <f aca="false">INT(E1737)</f>
        <v>45793</v>
      </c>
      <c r="O1737" s="12" t="n">
        <f aca="false">IF(F1737="","",INT(F1737))</f>
        <v>45794</v>
      </c>
    </row>
    <row r="1738" customFormat="false" ht="15" hidden="false" customHeight="false" outlineLevel="0" collapsed="false">
      <c r="A1738" s="0" t="s">
        <v>3518</v>
      </c>
      <c r="B1738" s="0" t="s">
        <v>3519</v>
      </c>
      <c r="C1738" s="0" t="s">
        <v>23</v>
      </c>
      <c r="D1738" s="0" t="s">
        <v>48</v>
      </c>
      <c r="E1738" s="10" t="n">
        <v>45793.4986111111</v>
      </c>
      <c r="F1738" s="10"/>
      <c r="G1738" s="0" t="n">
        <v>402.96</v>
      </c>
      <c r="H1738" s="0" t="n">
        <v>389.03</v>
      </c>
      <c r="I1738" s="11" t="n">
        <f aca="false">H1738-G1738</f>
        <v>-13.93</v>
      </c>
      <c r="J1738" s="5" t="n">
        <f aca="false">IF(G1738=0,"",I1738/G1738)</f>
        <v>-0.0345691880087354</v>
      </c>
      <c r="K1738" s="0" t="n">
        <v>83.2</v>
      </c>
      <c r="M1738" s="11" t="s">
        <v>2769</v>
      </c>
      <c r="N1738" s="12" t="n">
        <f aca="false">INT(E1738)</f>
        <v>45793</v>
      </c>
      <c r="O1738" s="12" t="str">
        <f aca="false">IF(F1738="","",INT(F1738))</f>
        <v/>
      </c>
    </row>
    <row r="1739" customFormat="false" ht="15" hidden="false" customHeight="false" outlineLevel="0" collapsed="false">
      <c r="A1739" s="0" t="s">
        <v>3520</v>
      </c>
      <c r="B1739" s="0" t="s">
        <v>3521</v>
      </c>
      <c r="C1739" s="0" t="s">
        <v>20</v>
      </c>
      <c r="D1739" s="0" t="s">
        <v>42</v>
      </c>
      <c r="E1739" s="10" t="n">
        <v>45793.5381944445</v>
      </c>
      <c r="F1739" s="10" t="n">
        <v>45794.5986111111</v>
      </c>
      <c r="G1739" s="0" t="n">
        <v>574.05</v>
      </c>
      <c r="H1739" s="0" t="n">
        <v>575.23</v>
      </c>
      <c r="I1739" s="11" t="n">
        <f aca="false">H1739-G1739</f>
        <v>1.18000000000006</v>
      </c>
      <c r="J1739" s="5" t="n">
        <f aca="false">IF(G1739=0,"",I1739/G1739)</f>
        <v>0.00205557007229347</v>
      </c>
      <c r="K1739" s="0" t="n">
        <v>105.3</v>
      </c>
      <c r="L1739" s="0" t="n">
        <v>11.08</v>
      </c>
      <c r="M1739" s="11" t="s">
        <v>2769</v>
      </c>
      <c r="N1739" s="12" t="n">
        <f aca="false">INT(E1739)</f>
        <v>45793</v>
      </c>
      <c r="O1739" s="12" t="n">
        <f aca="false">IF(F1739="","",INT(F1739))</f>
        <v>45794</v>
      </c>
    </row>
    <row r="1740" customFormat="false" ht="15" hidden="false" customHeight="false" outlineLevel="0" collapsed="false">
      <c r="A1740" s="0" t="s">
        <v>3522</v>
      </c>
      <c r="B1740" s="0" t="s">
        <v>3523</v>
      </c>
      <c r="C1740" s="0" t="s">
        <v>20</v>
      </c>
      <c r="D1740" s="0" t="s">
        <v>42</v>
      </c>
      <c r="E1740" s="10" t="n">
        <v>45793.5666666667</v>
      </c>
      <c r="F1740" s="10" t="n">
        <v>45796.36875</v>
      </c>
      <c r="G1740" s="0" t="n">
        <v>1666.64</v>
      </c>
      <c r="H1740" s="0" t="n">
        <v>1638.46</v>
      </c>
      <c r="I1740" s="11" t="n">
        <f aca="false">H1740-G1740</f>
        <v>-28.1800000000001</v>
      </c>
      <c r="J1740" s="5" t="n">
        <f aca="false">IF(G1740=0,"",I1740/G1740)</f>
        <v>-0.0169082705323286</v>
      </c>
      <c r="K1740" s="0" t="n">
        <v>333.3</v>
      </c>
      <c r="L1740" s="0" t="n">
        <v>19.25</v>
      </c>
      <c r="M1740" s="11" t="s">
        <v>2769</v>
      </c>
      <c r="N1740" s="12" t="n">
        <f aca="false">INT(E1740)</f>
        <v>45793</v>
      </c>
      <c r="O1740" s="12" t="n">
        <f aca="false">IF(F1740="","",INT(F1740))</f>
        <v>45796</v>
      </c>
    </row>
    <row r="1741" customFormat="false" ht="15" hidden="false" customHeight="false" outlineLevel="0" collapsed="false">
      <c r="A1741" s="0" t="s">
        <v>3524</v>
      </c>
      <c r="B1741" s="0" t="s">
        <v>3525</v>
      </c>
      <c r="C1741" s="0" t="s">
        <v>19</v>
      </c>
      <c r="D1741" s="0" t="s">
        <v>42</v>
      </c>
      <c r="E1741" s="10" t="n">
        <v>45793.5715277778</v>
      </c>
      <c r="F1741" s="10" t="n">
        <v>45794.9576388889</v>
      </c>
      <c r="G1741" s="0" t="n">
        <v>83.78</v>
      </c>
      <c r="H1741" s="0" t="n">
        <v>84.71</v>
      </c>
      <c r="I1741" s="11" t="n">
        <f aca="false">H1741-G1741</f>
        <v>0.929999999999993</v>
      </c>
      <c r="J1741" s="5" t="n">
        <f aca="false">IF(G1741=0,"",I1741/G1741)</f>
        <v>0.0111005013129624</v>
      </c>
      <c r="K1741" s="0" t="n">
        <v>14</v>
      </c>
      <c r="L1741" s="0" t="n">
        <v>10.28</v>
      </c>
      <c r="M1741" s="11" t="s">
        <v>2769</v>
      </c>
      <c r="N1741" s="12" t="n">
        <f aca="false">INT(E1741)</f>
        <v>45793</v>
      </c>
      <c r="O1741" s="12" t="n">
        <f aca="false">IF(F1741="","",INT(F1741))</f>
        <v>45794</v>
      </c>
    </row>
    <row r="1742" customFormat="false" ht="15" hidden="false" customHeight="false" outlineLevel="0" collapsed="false">
      <c r="A1742" s="0" t="s">
        <v>3526</v>
      </c>
      <c r="B1742" s="0" t="s">
        <v>3527</v>
      </c>
      <c r="C1742" s="0" t="s">
        <v>24</v>
      </c>
      <c r="D1742" s="0" t="s">
        <v>42</v>
      </c>
      <c r="E1742" s="10" t="n">
        <v>45793.5784722222</v>
      </c>
      <c r="F1742" s="10" t="n">
        <v>45794.3565162037</v>
      </c>
      <c r="G1742" s="0" t="n">
        <v>385.69</v>
      </c>
      <c r="H1742" s="0" t="n">
        <v>390.7</v>
      </c>
      <c r="I1742" s="11" t="n">
        <f aca="false">H1742-G1742</f>
        <v>5.00999999999999</v>
      </c>
      <c r="J1742" s="5" t="n">
        <f aca="false">IF(G1742=0,"",I1742/G1742)</f>
        <v>0.0129897067593145</v>
      </c>
      <c r="K1742" s="0" t="n">
        <v>74</v>
      </c>
      <c r="L1742" s="0" t="n">
        <v>10.12</v>
      </c>
      <c r="M1742" s="11" t="s">
        <v>2769</v>
      </c>
      <c r="N1742" s="12" t="n">
        <f aca="false">INT(E1742)</f>
        <v>45793</v>
      </c>
      <c r="O1742" s="12" t="n">
        <f aca="false">IF(F1742="","",INT(F1742))</f>
        <v>45794</v>
      </c>
    </row>
    <row r="1743" customFormat="false" ht="15" hidden="false" customHeight="false" outlineLevel="0" collapsed="false">
      <c r="A1743" s="0" t="s">
        <v>3528</v>
      </c>
      <c r="B1743" s="0" t="s">
        <v>3529</v>
      </c>
      <c r="C1743" s="0" t="s">
        <v>20</v>
      </c>
      <c r="D1743" s="0" t="s">
        <v>42</v>
      </c>
      <c r="E1743" s="10" t="n">
        <v>45793.5895833333</v>
      </c>
      <c r="F1743" s="10" t="n">
        <v>45794.9892013889</v>
      </c>
      <c r="G1743" s="0" t="n">
        <v>388.02</v>
      </c>
      <c r="H1743" s="0" t="n">
        <v>398.99</v>
      </c>
      <c r="I1743" s="11" t="n">
        <f aca="false">H1743-G1743</f>
        <v>10.97</v>
      </c>
      <c r="J1743" s="5" t="n">
        <f aca="false">IF(G1743=0,"",I1743/G1743)</f>
        <v>0.0282717385701769</v>
      </c>
      <c r="K1743" s="0" t="n">
        <v>63.4</v>
      </c>
      <c r="L1743" s="0" t="n">
        <v>9.85</v>
      </c>
      <c r="M1743" s="11" t="s">
        <v>2769</v>
      </c>
      <c r="N1743" s="12" t="n">
        <f aca="false">INT(E1743)</f>
        <v>45793</v>
      </c>
      <c r="O1743" s="12" t="n">
        <f aca="false">IF(F1743="","",INT(F1743))</f>
        <v>45794</v>
      </c>
    </row>
    <row r="1744" customFormat="false" ht="15" hidden="false" customHeight="false" outlineLevel="0" collapsed="false">
      <c r="A1744" s="0" t="s">
        <v>3530</v>
      </c>
      <c r="B1744" s="0" t="s">
        <v>3531</v>
      </c>
      <c r="C1744" s="0" t="s">
        <v>23</v>
      </c>
      <c r="D1744" s="0" t="s">
        <v>42</v>
      </c>
      <c r="E1744" s="10" t="n">
        <v>45793.6236111111</v>
      </c>
      <c r="F1744" s="10" t="n">
        <v>45795.4363773148</v>
      </c>
      <c r="G1744" s="0" t="n">
        <v>563.4</v>
      </c>
      <c r="H1744" s="0" t="n">
        <v>548.3</v>
      </c>
      <c r="I1744" s="11" t="n">
        <f aca="false">H1744-G1744</f>
        <v>-15.1</v>
      </c>
      <c r="J1744" s="5" t="n">
        <f aca="false">IF(G1744=0,"",I1744/G1744)</f>
        <v>-0.026801561945332</v>
      </c>
      <c r="K1744" s="0" t="n">
        <v>225.5</v>
      </c>
      <c r="L1744" s="0" t="n">
        <v>9.03</v>
      </c>
      <c r="M1744" s="11" t="s">
        <v>2769</v>
      </c>
      <c r="N1744" s="12" t="n">
        <f aca="false">INT(E1744)</f>
        <v>45793</v>
      </c>
      <c r="O1744" s="12" t="n">
        <f aca="false">IF(F1744="","",INT(F1744))</f>
        <v>45795</v>
      </c>
    </row>
    <row r="1745" customFormat="false" ht="15" hidden="false" customHeight="false" outlineLevel="0" collapsed="false">
      <c r="A1745" s="0" t="s">
        <v>3532</v>
      </c>
      <c r="B1745" s="0" t="s">
        <v>3533</v>
      </c>
      <c r="C1745" s="0" t="s">
        <v>23</v>
      </c>
      <c r="D1745" s="0" t="s">
        <v>42</v>
      </c>
      <c r="E1745" s="10" t="n">
        <v>45793.6305555556</v>
      </c>
      <c r="F1745" s="10" t="n">
        <v>45794.6354166667</v>
      </c>
      <c r="G1745" s="0" t="n">
        <v>1488.95</v>
      </c>
      <c r="H1745" s="0" t="n">
        <v>1519.81</v>
      </c>
      <c r="I1745" s="11" t="n">
        <f aca="false">H1745-G1745</f>
        <v>30.8599999999999</v>
      </c>
      <c r="J1745" s="5" t="n">
        <f aca="false">IF(G1745=0,"",I1745/G1745)</f>
        <v>0.0207260149769971</v>
      </c>
      <c r="K1745" s="0" t="n">
        <v>624.3</v>
      </c>
      <c r="L1745" s="0" t="n">
        <v>8.87</v>
      </c>
      <c r="M1745" s="11" t="s">
        <v>2769</v>
      </c>
      <c r="N1745" s="12" t="n">
        <f aca="false">INT(E1745)</f>
        <v>45793</v>
      </c>
      <c r="O1745" s="12" t="n">
        <f aca="false">IF(F1745="","",INT(F1745))</f>
        <v>45794</v>
      </c>
    </row>
    <row r="1746" customFormat="false" ht="15" hidden="false" customHeight="false" outlineLevel="0" collapsed="false">
      <c r="A1746" s="0" t="s">
        <v>3534</v>
      </c>
      <c r="B1746" s="0" t="s">
        <v>3535</v>
      </c>
      <c r="C1746" s="0" t="s">
        <v>21</v>
      </c>
      <c r="D1746" s="0" t="s">
        <v>42</v>
      </c>
      <c r="E1746" s="10" t="n">
        <v>45793.6493055556</v>
      </c>
      <c r="F1746" s="10" t="n">
        <v>45794.46875</v>
      </c>
      <c r="G1746" s="0" t="n">
        <v>1010.35</v>
      </c>
      <c r="H1746" s="0" t="n">
        <v>978.83</v>
      </c>
      <c r="I1746" s="11" t="n">
        <f aca="false">H1746-G1746</f>
        <v>-31.52</v>
      </c>
      <c r="J1746" s="5" t="n">
        <f aca="false">IF(G1746=0,"",I1746/G1746)</f>
        <v>-0.0311971099124066</v>
      </c>
      <c r="K1746" s="0" t="n">
        <v>181</v>
      </c>
      <c r="L1746" s="0" t="n">
        <v>8.42</v>
      </c>
      <c r="M1746" s="11" t="s">
        <v>2769</v>
      </c>
      <c r="N1746" s="12" t="n">
        <f aca="false">INT(E1746)</f>
        <v>45793</v>
      </c>
      <c r="O1746" s="12" t="n">
        <f aca="false">IF(F1746="","",INT(F1746))</f>
        <v>45794</v>
      </c>
    </row>
    <row r="1747" customFormat="false" ht="15" hidden="false" customHeight="false" outlineLevel="0" collapsed="false">
      <c r="A1747" s="0" t="s">
        <v>3536</v>
      </c>
      <c r="B1747" s="0" t="s">
        <v>3537</v>
      </c>
      <c r="C1747" s="0" t="s">
        <v>24</v>
      </c>
      <c r="D1747" s="0" t="s">
        <v>303</v>
      </c>
      <c r="E1747" s="10" t="n">
        <v>45793.6659722222</v>
      </c>
      <c r="F1747" s="10"/>
      <c r="G1747" s="0" t="n">
        <v>355.25</v>
      </c>
      <c r="H1747" s="0" t="n">
        <v>363.29</v>
      </c>
      <c r="I1747" s="11" t="n">
        <f aca="false">H1747-G1747</f>
        <v>8.04000000000002</v>
      </c>
      <c r="J1747" s="5" t="n">
        <f aca="false">IF(G1747=0,"",I1747/G1747)</f>
        <v>0.0226319493314568</v>
      </c>
      <c r="K1747" s="0" t="n">
        <v>121.6</v>
      </c>
      <c r="M1747" s="11" t="s">
        <v>2769</v>
      </c>
      <c r="N1747" s="12" t="n">
        <f aca="false">INT(E1747)</f>
        <v>45793</v>
      </c>
      <c r="O1747" s="12" t="str">
        <f aca="false">IF(F1747="","",INT(F1747))</f>
        <v/>
      </c>
    </row>
    <row r="1748" customFormat="false" ht="15" hidden="false" customHeight="false" outlineLevel="0" collapsed="false">
      <c r="A1748" s="0" t="s">
        <v>3538</v>
      </c>
      <c r="B1748" s="0" t="s">
        <v>3539</v>
      </c>
      <c r="C1748" s="0" t="s">
        <v>21</v>
      </c>
      <c r="D1748" s="0" t="s">
        <v>42</v>
      </c>
      <c r="E1748" s="10" t="n">
        <v>45793.68125</v>
      </c>
      <c r="F1748" s="10" t="n">
        <v>45794.4756944445</v>
      </c>
      <c r="G1748" s="0" t="n">
        <v>251.62</v>
      </c>
      <c r="H1748" s="0" t="n">
        <v>249.24</v>
      </c>
      <c r="I1748" s="11" t="n">
        <f aca="false">H1748-G1748</f>
        <v>-2.38</v>
      </c>
      <c r="J1748" s="5" t="n">
        <f aca="false">IF(G1748=0,"",I1748/G1748)</f>
        <v>-0.00945870757491454</v>
      </c>
      <c r="K1748" s="0" t="n">
        <v>30.9</v>
      </c>
      <c r="L1748" s="0" t="n">
        <v>7.65</v>
      </c>
      <c r="M1748" s="11" t="s">
        <v>2769</v>
      </c>
      <c r="N1748" s="12" t="n">
        <f aca="false">INT(E1748)</f>
        <v>45793</v>
      </c>
      <c r="O1748" s="12" t="n">
        <f aca="false">IF(F1748="","",INT(F1748))</f>
        <v>45794</v>
      </c>
    </row>
    <row r="1749" customFormat="false" ht="15" hidden="false" customHeight="false" outlineLevel="0" collapsed="false">
      <c r="A1749" s="0" t="s">
        <v>3540</v>
      </c>
      <c r="B1749" s="0" t="s">
        <v>3541</v>
      </c>
      <c r="C1749" s="0" t="s">
        <v>20</v>
      </c>
      <c r="D1749" s="0" t="s">
        <v>42</v>
      </c>
      <c r="E1749" s="10" t="n">
        <v>45793.6895833333</v>
      </c>
      <c r="F1749" s="10" t="n">
        <v>45794.3965277778</v>
      </c>
      <c r="G1749" s="0" t="n">
        <v>306.53</v>
      </c>
      <c r="H1749" s="0" t="n">
        <v>311.66</v>
      </c>
      <c r="I1749" s="11" t="n">
        <f aca="false">H1749-G1749</f>
        <v>5.13000000000005</v>
      </c>
      <c r="J1749" s="5" t="n">
        <f aca="false">IF(G1749=0,"",I1749/G1749)</f>
        <v>0.0167357191791996</v>
      </c>
      <c r="K1749" s="0" t="n">
        <v>66.9</v>
      </c>
      <c r="L1749" s="0" t="n">
        <v>7.45</v>
      </c>
      <c r="M1749" s="11" t="s">
        <v>2769</v>
      </c>
      <c r="N1749" s="12" t="n">
        <f aca="false">INT(E1749)</f>
        <v>45793</v>
      </c>
      <c r="O1749" s="12" t="n">
        <f aca="false">IF(F1749="","",INT(F1749))</f>
        <v>45794</v>
      </c>
    </row>
    <row r="1750" customFormat="false" ht="15" hidden="false" customHeight="false" outlineLevel="0" collapsed="false">
      <c r="A1750" s="0" t="s">
        <v>3542</v>
      </c>
      <c r="B1750" s="0" t="s">
        <v>3543</v>
      </c>
      <c r="C1750" s="0" t="s">
        <v>19</v>
      </c>
      <c r="D1750" s="0" t="s">
        <v>303</v>
      </c>
      <c r="E1750" s="10" t="n">
        <v>45793.6930555556</v>
      </c>
      <c r="F1750" s="10"/>
      <c r="G1750" s="0" t="n">
        <v>436.33</v>
      </c>
      <c r="H1750" s="0" t="n">
        <v>443.68</v>
      </c>
      <c r="I1750" s="11" t="n">
        <f aca="false">H1750-G1750</f>
        <v>7.35000000000002</v>
      </c>
      <c r="J1750" s="5" t="n">
        <f aca="false">IF(G1750=0,"",I1750/G1750)</f>
        <v>0.0168450484724865</v>
      </c>
      <c r="K1750" s="0" t="n">
        <v>49.3</v>
      </c>
      <c r="M1750" s="11" t="s">
        <v>2769</v>
      </c>
      <c r="N1750" s="12" t="n">
        <f aca="false">INT(E1750)</f>
        <v>45793</v>
      </c>
      <c r="O1750" s="12" t="str">
        <f aca="false">IF(F1750="","",INT(F1750))</f>
        <v/>
      </c>
    </row>
    <row r="1751" customFormat="false" ht="15" hidden="false" customHeight="false" outlineLevel="0" collapsed="false">
      <c r="A1751" s="0" t="s">
        <v>3544</v>
      </c>
      <c r="B1751" s="0" t="s">
        <v>3545</v>
      </c>
      <c r="C1751" s="0" t="s">
        <v>21</v>
      </c>
      <c r="D1751" s="0" t="s">
        <v>42</v>
      </c>
      <c r="E1751" s="10" t="n">
        <v>45793.7041666667</v>
      </c>
      <c r="F1751" s="10" t="n">
        <v>45794.6347222222</v>
      </c>
      <c r="G1751" s="0" t="n">
        <v>384.89</v>
      </c>
      <c r="H1751" s="0" t="n">
        <v>322.52</v>
      </c>
      <c r="I1751" s="11" t="n">
        <f aca="false">H1751-G1751</f>
        <v>-62.37</v>
      </c>
      <c r="J1751" s="5" t="n">
        <f aca="false">IF(G1751=0,"",I1751/G1751)</f>
        <v>-0.162046298942555</v>
      </c>
      <c r="K1751" s="0" t="n">
        <v>90</v>
      </c>
      <c r="L1751" s="0" t="n">
        <v>7.1</v>
      </c>
      <c r="M1751" s="11" t="s">
        <v>2769</v>
      </c>
      <c r="N1751" s="12" t="n">
        <f aca="false">INT(E1751)</f>
        <v>45793</v>
      </c>
      <c r="O1751" s="12" t="n">
        <f aca="false">IF(F1751="","",INT(F1751))</f>
        <v>45794</v>
      </c>
    </row>
    <row r="1752" customFormat="false" ht="15" hidden="false" customHeight="false" outlineLevel="0" collapsed="false">
      <c r="A1752" s="0" t="s">
        <v>3546</v>
      </c>
      <c r="B1752" s="0" t="s">
        <v>3547</v>
      </c>
      <c r="C1752" s="0" t="s">
        <v>20</v>
      </c>
      <c r="D1752" s="0" t="s">
        <v>42</v>
      </c>
      <c r="E1752" s="10" t="n">
        <v>45793.7097222222</v>
      </c>
      <c r="F1752" s="10" t="n">
        <v>45794.1875</v>
      </c>
      <c r="G1752" s="0" t="n">
        <v>1972.21</v>
      </c>
      <c r="H1752" s="0" t="n">
        <v>2436.21</v>
      </c>
      <c r="I1752" s="11" t="n">
        <f aca="false">H1752-G1752</f>
        <v>464</v>
      </c>
      <c r="J1752" s="5" t="n">
        <f aca="false">IF(G1752=0,"",I1752/G1752)</f>
        <v>0.235269063639268</v>
      </c>
      <c r="K1752" s="0" t="n">
        <v>425.1</v>
      </c>
      <c r="L1752" s="0" t="n">
        <v>6.97</v>
      </c>
      <c r="M1752" s="11" t="s">
        <v>2769</v>
      </c>
      <c r="N1752" s="12" t="n">
        <f aca="false">INT(E1752)</f>
        <v>45793</v>
      </c>
      <c r="O1752" s="12" t="n">
        <f aca="false">IF(F1752="","",INT(F1752))</f>
        <v>45794</v>
      </c>
    </row>
    <row r="1753" customFormat="false" ht="15" hidden="false" customHeight="false" outlineLevel="0" collapsed="false">
      <c r="A1753" s="0" t="s">
        <v>3548</v>
      </c>
      <c r="B1753" s="0" t="s">
        <v>3549</v>
      </c>
      <c r="C1753" s="0" t="s">
        <v>23</v>
      </c>
      <c r="D1753" s="0" t="s">
        <v>42</v>
      </c>
      <c r="E1753" s="10" t="n">
        <v>45793.7145833333</v>
      </c>
      <c r="F1753" s="10" t="n">
        <v>45794.8537268519</v>
      </c>
      <c r="G1753" s="0" t="n">
        <v>580.58</v>
      </c>
      <c r="H1753" s="0" t="n">
        <v>578.95</v>
      </c>
      <c r="I1753" s="11" t="n">
        <f aca="false">H1753-G1753</f>
        <v>-1.63</v>
      </c>
      <c r="J1753" s="5" t="n">
        <f aca="false">IF(G1753=0,"",I1753/G1753)</f>
        <v>-0.0028075372902959</v>
      </c>
      <c r="K1753" s="0" t="n">
        <v>125.2</v>
      </c>
      <c r="L1753" s="0" t="n">
        <v>6.85</v>
      </c>
      <c r="M1753" s="11" t="s">
        <v>2769</v>
      </c>
      <c r="N1753" s="12" t="n">
        <f aca="false">INT(E1753)</f>
        <v>45793</v>
      </c>
      <c r="O1753" s="12" t="n">
        <f aca="false">IF(F1753="","",INT(F1753))</f>
        <v>45794</v>
      </c>
    </row>
    <row r="1754" customFormat="false" ht="15" hidden="false" customHeight="false" outlineLevel="0" collapsed="false">
      <c r="A1754" s="0" t="s">
        <v>3550</v>
      </c>
      <c r="B1754" s="0" t="s">
        <v>3551</v>
      </c>
      <c r="C1754" s="0" t="s">
        <v>23</v>
      </c>
      <c r="D1754" s="0" t="s">
        <v>42</v>
      </c>
      <c r="E1754" s="10" t="n">
        <v>45793.71875</v>
      </c>
      <c r="F1754" s="10" t="n">
        <v>45794.748287037</v>
      </c>
      <c r="G1754" s="0" t="n">
        <v>521.84</v>
      </c>
      <c r="H1754" s="0" t="n">
        <v>524.56</v>
      </c>
      <c r="I1754" s="11" t="n">
        <f aca="false">H1754-G1754</f>
        <v>2.71999999999991</v>
      </c>
      <c r="J1754" s="5" t="n">
        <f aca="false">IF(G1754=0,"",I1754/G1754)</f>
        <v>0.00521232561704721</v>
      </c>
      <c r="K1754" s="0" t="n">
        <v>160.5</v>
      </c>
      <c r="L1754" s="0" t="n">
        <v>6.75</v>
      </c>
      <c r="M1754" s="11" t="s">
        <v>2769</v>
      </c>
      <c r="N1754" s="12" t="n">
        <f aca="false">INT(E1754)</f>
        <v>45793</v>
      </c>
      <c r="O1754" s="12" t="n">
        <f aca="false">IF(F1754="","",INT(F1754))</f>
        <v>45794</v>
      </c>
    </row>
    <row r="1755" customFormat="false" ht="15" hidden="false" customHeight="false" outlineLevel="0" collapsed="false">
      <c r="A1755" s="0" t="s">
        <v>3552</v>
      </c>
      <c r="B1755" s="0" t="s">
        <v>3553</v>
      </c>
      <c r="C1755" s="0" t="s">
        <v>23</v>
      </c>
      <c r="D1755" s="0" t="s">
        <v>303</v>
      </c>
      <c r="E1755" s="10" t="n">
        <v>45793.7229166667</v>
      </c>
      <c r="F1755" s="10"/>
      <c r="G1755" s="0" t="n">
        <v>200.77</v>
      </c>
      <c r="H1755" s="0" t="n">
        <v>201.1</v>
      </c>
      <c r="I1755" s="11" t="n">
        <f aca="false">H1755-G1755</f>
        <v>0.329999999999984</v>
      </c>
      <c r="J1755" s="5" t="n">
        <f aca="false">IF(G1755=0,"",I1755/G1755)</f>
        <v>0.00164367186332611</v>
      </c>
      <c r="K1755" s="0" t="n">
        <v>80.8</v>
      </c>
      <c r="M1755" s="11" t="s">
        <v>2769</v>
      </c>
      <c r="N1755" s="12" t="n">
        <f aca="false">INT(E1755)</f>
        <v>45793</v>
      </c>
      <c r="O1755" s="12" t="str">
        <f aca="false">IF(F1755="","",INT(F1755))</f>
        <v/>
      </c>
    </row>
    <row r="1756" customFormat="false" ht="15" hidden="false" customHeight="false" outlineLevel="0" collapsed="false">
      <c r="A1756" s="0" t="s">
        <v>3554</v>
      </c>
      <c r="B1756" s="0" t="s">
        <v>3555</v>
      </c>
      <c r="C1756" s="0" t="s">
        <v>23</v>
      </c>
      <c r="D1756" s="0" t="s">
        <v>42</v>
      </c>
      <c r="E1756" s="10" t="n">
        <v>45793.7388888889</v>
      </c>
      <c r="F1756" s="10" t="n">
        <v>45795.3493055556</v>
      </c>
      <c r="G1756" s="0" t="n">
        <v>412.48</v>
      </c>
      <c r="H1756" s="0" t="n">
        <v>450.58</v>
      </c>
      <c r="I1756" s="11" t="n">
        <f aca="false">H1756-G1756</f>
        <v>38.1</v>
      </c>
      <c r="J1756" s="5" t="n">
        <f aca="false">IF(G1756=0,"",I1756/G1756)</f>
        <v>0.092368114817688</v>
      </c>
      <c r="K1756" s="0" t="n">
        <v>101.6</v>
      </c>
      <c r="L1756" s="0" t="n">
        <v>6.27</v>
      </c>
      <c r="M1756" s="11" t="s">
        <v>2769</v>
      </c>
      <c r="N1756" s="12" t="n">
        <f aca="false">INT(E1756)</f>
        <v>45793</v>
      </c>
      <c r="O1756" s="12" t="n">
        <f aca="false">IF(F1756="","",INT(F1756))</f>
        <v>45795</v>
      </c>
    </row>
    <row r="1757" customFormat="false" ht="15" hidden="false" customHeight="false" outlineLevel="0" collapsed="false">
      <c r="A1757" s="0" t="s">
        <v>3556</v>
      </c>
      <c r="B1757" s="0" t="s">
        <v>3557</v>
      </c>
      <c r="C1757" s="0" t="s">
        <v>19</v>
      </c>
      <c r="D1757" s="0" t="s">
        <v>42</v>
      </c>
      <c r="E1757" s="10" t="n">
        <v>45793.7722222222</v>
      </c>
      <c r="F1757" s="10" t="n">
        <v>45794.225</v>
      </c>
      <c r="G1757" s="0" t="n">
        <v>95.68</v>
      </c>
      <c r="H1757" s="0" t="n">
        <v>81.7</v>
      </c>
      <c r="I1757" s="11" t="n">
        <f aca="false">H1757-G1757</f>
        <v>-13.98</v>
      </c>
      <c r="J1757" s="5" t="n">
        <f aca="false">IF(G1757=0,"",I1757/G1757)</f>
        <v>-0.146112040133779</v>
      </c>
      <c r="K1757" s="0" t="n">
        <v>17.3</v>
      </c>
      <c r="L1757" s="0" t="n">
        <v>5.47</v>
      </c>
      <c r="M1757" s="11" t="s">
        <v>2769</v>
      </c>
      <c r="N1757" s="12" t="n">
        <f aca="false">INT(E1757)</f>
        <v>45793</v>
      </c>
      <c r="O1757" s="12" t="n">
        <f aca="false">IF(F1757="","",INT(F1757))</f>
        <v>45794</v>
      </c>
    </row>
    <row r="1758" customFormat="false" ht="15" hidden="false" customHeight="false" outlineLevel="0" collapsed="false">
      <c r="A1758" s="0" t="s">
        <v>3558</v>
      </c>
      <c r="B1758" s="0" t="s">
        <v>3559</v>
      </c>
      <c r="C1758" s="0" t="s">
        <v>23</v>
      </c>
      <c r="D1758" s="0" t="s">
        <v>42</v>
      </c>
      <c r="E1758" s="10" t="n">
        <v>45793.7784722222</v>
      </c>
      <c r="F1758" s="10" t="n">
        <v>45794.7593055556</v>
      </c>
      <c r="G1758" s="0" t="n">
        <v>51.74</v>
      </c>
      <c r="H1758" s="0" t="n">
        <v>53.13</v>
      </c>
      <c r="I1758" s="11" t="n">
        <f aca="false">H1758-G1758</f>
        <v>1.39</v>
      </c>
      <c r="J1758" s="5" t="n">
        <f aca="false">IF(G1758=0,"",I1758/G1758)</f>
        <v>0.0268650947042907</v>
      </c>
      <c r="K1758" s="0" t="n">
        <v>11.1</v>
      </c>
      <c r="L1758" s="0" t="n">
        <v>5.32</v>
      </c>
      <c r="M1758" s="11" t="s">
        <v>2769</v>
      </c>
      <c r="N1758" s="12" t="n">
        <f aca="false">INT(E1758)</f>
        <v>45793</v>
      </c>
      <c r="O1758" s="12" t="n">
        <f aca="false">IF(F1758="","",INT(F1758))</f>
        <v>45794</v>
      </c>
    </row>
    <row r="1759" customFormat="false" ht="15" hidden="false" customHeight="false" outlineLevel="0" collapsed="false">
      <c r="A1759" s="0" t="s">
        <v>3560</v>
      </c>
      <c r="B1759" s="0" t="s">
        <v>3561</v>
      </c>
      <c r="C1759" s="0" t="s">
        <v>21</v>
      </c>
      <c r="D1759" s="0" t="s">
        <v>42</v>
      </c>
      <c r="E1759" s="10" t="n">
        <v>45793.7833333333</v>
      </c>
      <c r="F1759" s="10" t="n">
        <v>45794.8527777778</v>
      </c>
      <c r="G1759" s="0" t="n">
        <v>178.54</v>
      </c>
      <c r="H1759" s="0" t="n">
        <v>176.96</v>
      </c>
      <c r="I1759" s="11" t="n">
        <f aca="false">H1759-G1759</f>
        <v>-1.57999999999998</v>
      </c>
      <c r="J1759" s="5" t="n">
        <f aca="false">IF(G1759=0,"",I1759/G1759)</f>
        <v>-0.00884955752212381</v>
      </c>
      <c r="K1759" s="0" t="n">
        <v>24.6</v>
      </c>
      <c r="L1759" s="0" t="n">
        <v>5.2</v>
      </c>
      <c r="M1759" s="11" t="s">
        <v>2769</v>
      </c>
      <c r="N1759" s="12" t="n">
        <f aca="false">INT(E1759)</f>
        <v>45793</v>
      </c>
      <c r="O1759" s="12" t="n">
        <f aca="false">IF(F1759="","",INT(F1759))</f>
        <v>45794</v>
      </c>
    </row>
    <row r="1760" customFormat="false" ht="15" hidden="false" customHeight="false" outlineLevel="0" collapsed="false">
      <c r="A1760" s="0" t="s">
        <v>3562</v>
      </c>
      <c r="B1760" s="0" t="s">
        <v>3563</v>
      </c>
      <c r="C1760" s="0" t="s">
        <v>23</v>
      </c>
      <c r="D1760" s="0" t="s">
        <v>42</v>
      </c>
      <c r="E1760" s="10" t="n">
        <v>45793.7868055556</v>
      </c>
      <c r="F1760" s="10" t="n">
        <v>45794.8631944444</v>
      </c>
      <c r="G1760" s="0" t="n">
        <v>595.75</v>
      </c>
      <c r="H1760" s="0" t="n">
        <v>585.96</v>
      </c>
      <c r="I1760" s="11" t="n">
        <f aca="false">H1760-G1760</f>
        <v>-9.78999999999996</v>
      </c>
      <c r="J1760" s="5" t="n">
        <f aca="false">IF(G1760=0,"",I1760/G1760)</f>
        <v>-0.0164330675618967</v>
      </c>
      <c r="K1760" s="0" t="n">
        <v>233</v>
      </c>
      <c r="L1760" s="0" t="n">
        <v>5.12</v>
      </c>
      <c r="M1760" s="11" t="s">
        <v>2769</v>
      </c>
      <c r="N1760" s="12" t="n">
        <f aca="false">INT(E1760)</f>
        <v>45793</v>
      </c>
      <c r="O1760" s="12" t="n">
        <f aca="false">IF(F1760="","",INT(F1760))</f>
        <v>45794</v>
      </c>
    </row>
    <row r="1761" customFormat="false" ht="15" hidden="false" customHeight="false" outlineLevel="0" collapsed="false">
      <c r="A1761" s="0" t="s">
        <v>3564</v>
      </c>
      <c r="B1761" s="0" t="s">
        <v>3565</v>
      </c>
      <c r="C1761" s="0" t="s">
        <v>22</v>
      </c>
      <c r="D1761" s="0" t="s">
        <v>42</v>
      </c>
      <c r="E1761" s="10" t="n">
        <v>45796.3013888889</v>
      </c>
      <c r="F1761" s="10" t="n">
        <v>45797.1715277778</v>
      </c>
      <c r="G1761" s="0" t="n">
        <v>2007.83</v>
      </c>
      <c r="H1761" s="0" t="n">
        <v>2097.39</v>
      </c>
      <c r="I1761" s="11" t="n">
        <f aca="false">H1761-G1761</f>
        <v>89.56</v>
      </c>
      <c r="J1761" s="5" t="n">
        <f aca="false">IF(G1761=0,"",I1761/G1761)</f>
        <v>0.0446053699765418</v>
      </c>
      <c r="K1761" s="0" t="n">
        <v>351.9</v>
      </c>
      <c r="L1761" s="0" t="n">
        <v>20.88</v>
      </c>
      <c r="M1761" s="11" t="s">
        <v>2769</v>
      </c>
      <c r="N1761" s="12" t="n">
        <f aca="false">INT(E1761)</f>
        <v>45796</v>
      </c>
      <c r="O1761" s="12" t="n">
        <f aca="false">IF(F1761="","",INT(F1761))</f>
        <v>45797</v>
      </c>
    </row>
    <row r="1762" customFormat="false" ht="15" hidden="false" customHeight="false" outlineLevel="0" collapsed="false">
      <c r="A1762" s="0" t="s">
        <v>3566</v>
      </c>
      <c r="B1762" s="0" t="s">
        <v>3567</v>
      </c>
      <c r="C1762" s="0" t="s">
        <v>23</v>
      </c>
      <c r="D1762" s="0" t="s">
        <v>42</v>
      </c>
      <c r="E1762" s="10" t="n">
        <v>45796.3090277778</v>
      </c>
      <c r="F1762" s="10" t="n">
        <v>45798.91875</v>
      </c>
      <c r="G1762" s="0" t="n">
        <v>276.83</v>
      </c>
      <c r="H1762" s="0" t="n">
        <v>280.59</v>
      </c>
      <c r="I1762" s="11" t="n">
        <f aca="false">H1762-G1762</f>
        <v>3.75999999999999</v>
      </c>
      <c r="J1762" s="5" t="n">
        <f aca="false">IF(G1762=0,"",I1762/G1762)</f>
        <v>0.0135823429541596</v>
      </c>
      <c r="K1762" s="0" t="n">
        <v>110.7</v>
      </c>
      <c r="L1762" s="0" t="n">
        <v>62.63</v>
      </c>
      <c r="M1762" s="11" t="s">
        <v>2769</v>
      </c>
      <c r="N1762" s="12" t="n">
        <f aca="false">INT(E1762)</f>
        <v>45796</v>
      </c>
      <c r="O1762" s="12" t="n">
        <f aca="false">IF(F1762="","",INT(F1762))</f>
        <v>45798</v>
      </c>
    </row>
    <row r="1763" customFormat="false" ht="15" hidden="false" customHeight="false" outlineLevel="0" collapsed="false">
      <c r="A1763" s="0" t="s">
        <v>3568</v>
      </c>
      <c r="B1763" s="0" t="s">
        <v>3569</v>
      </c>
      <c r="C1763" s="0" t="s">
        <v>19</v>
      </c>
      <c r="D1763" s="0" t="s">
        <v>42</v>
      </c>
      <c r="E1763" s="10" t="n">
        <v>45796.3243055556</v>
      </c>
      <c r="F1763" s="10" t="n">
        <v>45796.5916203704</v>
      </c>
      <c r="G1763" s="0" t="n">
        <v>1064.97</v>
      </c>
      <c r="H1763" s="0" t="n">
        <v>1122.35</v>
      </c>
      <c r="I1763" s="11" t="n">
        <f aca="false">H1763-G1763</f>
        <v>57.3799999999999</v>
      </c>
      <c r="J1763" s="5" t="n">
        <f aca="false">IF(G1763=0,"",I1763/G1763)</f>
        <v>0.0538794520033427</v>
      </c>
      <c r="K1763" s="0" t="n">
        <v>109.8</v>
      </c>
      <c r="L1763" s="0" t="n">
        <v>6.42</v>
      </c>
      <c r="M1763" s="11" t="s">
        <v>2769</v>
      </c>
      <c r="N1763" s="12" t="n">
        <f aca="false">INT(E1763)</f>
        <v>45796</v>
      </c>
      <c r="O1763" s="12" t="n">
        <f aca="false">IF(F1763="","",INT(F1763))</f>
        <v>45796</v>
      </c>
    </row>
    <row r="1764" customFormat="false" ht="15" hidden="false" customHeight="false" outlineLevel="0" collapsed="false">
      <c r="A1764" s="0" t="s">
        <v>3570</v>
      </c>
      <c r="B1764" s="0" t="s">
        <v>3571</v>
      </c>
      <c r="C1764" s="0" t="s">
        <v>23</v>
      </c>
      <c r="D1764" s="0" t="s">
        <v>42</v>
      </c>
      <c r="E1764" s="10" t="n">
        <v>45796.3347222222</v>
      </c>
      <c r="F1764" s="10" t="n">
        <v>45798.6944675926</v>
      </c>
      <c r="G1764" s="0" t="n">
        <v>501.9</v>
      </c>
      <c r="H1764" s="0" t="n">
        <v>499.61</v>
      </c>
      <c r="I1764" s="11" t="n">
        <f aca="false">H1764-G1764</f>
        <v>-2.28999999999996</v>
      </c>
      <c r="J1764" s="5" t="n">
        <f aca="false">IF(G1764=0,"",I1764/G1764)</f>
        <v>-0.00456266188483754</v>
      </c>
      <c r="K1764" s="0" t="n">
        <v>203.4</v>
      </c>
      <c r="L1764" s="0" t="n">
        <v>56.63</v>
      </c>
      <c r="M1764" s="11" t="s">
        <v>2769</v>
      </c>
      <c r="N1764" s="12" t="n">
        <f aca="false">INT(E1764)</f>
        <v>45796</v>
      </c>
      <c r="O1764" s="12" t="n">
        <f aca="false">IF(F1764="","",INT(F1764))</f>
        <v>45798</v>
      </c>
    </row>
    <row r="1765" customFormat="false" ht="15" hidden="false" customHeight="false" outlineLevel="0" collapsed="false">
      <c r="A1765" s="0" t="s">
        <v>3572</v>
      </c>
      <c r="B1765" s="0" t="s">
        <v>3573</v>
      </c>
      <c r="C1765" s="0" t="s">
        <v>23</v>
      </c>
      <c r="D1765" s="0" t="s">
        <v>42</v>
      </c>
      <c r="E1765" s="10" t="n">
        <v>45796.3402777778</v>
      </c>
      <c r="F1765" s="10" t="n">
        <v>45797.13125</v>
      </c>
      <c r="G1765" s="0" t="n">
        <v>144.05</v>
      </c>
      <c r="H1765" s="0" t="n">
        <v>177.94</v>
      </c>
      <c r="I1765" s="11" t="n">
        <f aca="false">H1765-G1765</f>
        <v>33.89</v>
      </c>
      <c r="J1765" s="5" t="n">
        <f aca="false">IF(G1765=0,"",I1765/G1765)</f>
        <v>0.235265532801111</v>
      </c>
      <c r="K1765" s="0" t="n">
        <v>39.5</v>
      </c>
      <c r="L1765" s="0" t="n">
        <v>18.98</v>
      </c>
      <c r="M1765" s="11" t="s">
        <v>2769</v>
      </c>
      <c r="N1765" s="12" t="n">
        <f aca="false">INT(E1765)</f>
        <v>45796</v>
      </c>
      <c r="O1765" s="12" t="n">
        <f aca="false">IF(F1765="","",INT(F1765))</f>
        <v>45797</v>
      </c>
    </row>
    <row r="1766" customFormat="false" ht="15" hidden="false" customHeight="false" outlineLevel="0" collapsed="false">
      <c r="A1766" s="0" t="s">
        <v>3574</v>
      </c>
      <c r="B1766" s="0" t="s">
        <v>3575</v>
      </c>
      <c r="C1766" s="0" t="s">
        <v>23</v>
      </c>
      <c r="D1766" s="0" t="s">
        <v>42</v>
      </c>
      <c r="E1766" s="10" t="n">
        <v>45796.3430555556</v>
      </c>
      <c r="F1766" s="10" t="n">
        <v>45801.0217824074</v>
      </c>
      <c r="G1766" s="0" t="n">
        <v>207.13</v>
      </c>
      <c r="H1766" s="0" t="n">
        <v>205.98</v>
      </c>
      <c r="I1766" s="11" t="n">
        <f aca="false">H1766-G1766</f>
        <v>-1.15000000000001</v>
      </c>
      <c r="J1766" s="5" t="n">
        <f aca="false">IF(G1766=0,"",I1766/G1766)</f>
        <v>-0.0055520687490948</v>
      </c>
      <c r="K1766" s="0" t="n">
        <v>53.4</v>
      </c>
      <c r="L1766" s="0" t="n">
        <v>111.77</v>
      </c>
      <c r="M1766" s="11" t="s">
        <v>2769</v>
      </c>
      <c r="N1766" s="12" t="n">
        <f aca="false">INT(E1766)</f>
        <v>45796</v>
      </c>
      <c r="O1766" s="12" t="n">
        <f aca="false">IF(F1766="","",INT(F1766))</f>
        <v>45801</v>
      </c>
    </row>
    <row r="1767" customFormat="false" ht="15" hidden="false" customHeight="false" outlineLevel="0" collapsed="false">
      <c r="A1767" s="0" t="s">
        <v>3576</v>
      </c>
      <c r="B1767" s="0" t="s">
        <v>3577</v>
      </c>
      <c r="C1767" s="0" t="s">
        <v>22</v>
      </c>
      <c r="D1767" s="0" t="s">
        <v>42</v>
      </c>
      <c r="E1767" s="10" t="n">
        <v>45796.3465277778</v>
      </c>
      <c r="F1767" s="10" t="n">
        <v>45797.0506944444</v>
      </c>
      <c r="G1767" s="0" t="n">
        <v>971.33</v>
      </c>
      <c r="H1767" s="0" t="n">
        <v>938.67</v>
      </c>
      <c r="I1767" s="11" t="n">
        <f aca="false">H1767-G1767</f>
        <v>-32.6600000000001</v>
      </c>
      <c r="J1767" s="5" t="n">
        <f aca="false">IF(G1767=0,"",I1767/G1767)</f>
        <v>-0.0336240000823614</v>
      </c>
      <c r="K1767" s="0" t="n">
        <v>125.8</v>
      </c>
      <c r="L1767" s="0" t="n">
        <v>16.9</v>
      </c>
      <c r="M1767" s="11" t="s">
        <v>2769</v>
      </c>
      <c r="N1767" s="12" t="n">
        <f aca="false">INT(E1767)</f>
        <v>45796</v>
      </c>
      <c r="O1767" s="12" t="n">
        <f aca="false">IF(F1767="","",INT(F1767))</f>
        <v>45797</v>
      </c>
    </row>
    <row r="1768" customFormat="false" ht="15" hidden="false" customHeight="false" outlineLevel="0" collapsed="false">
      <c r="A1768" s="0" t="s">
        <v>3578</v>
      </c>
      <c r="B1768" s="0" t="s">
        <v>3579</v>
      </c>
      <c r="C1768" s="0" t="s">
        <v>19</v>
      </c>
      <c r="D1768" s="0" t="s">
        <v>42</v>
      </c>
      <c r="E1768" s="10" t="n">
        <v>45796.3520833333</v>
      </c>
      <c r="F1768" s="10" t="n">
        <v>45797.4</v>
      </c>
      <c r="G1768" s="0" t="n">
        <v>401.89</v>
      </c>
      <c r="H1768" s="0" t="n">
        <v>397.61</v>
      </c>
      <c r="I1768" s="11" t="n">
        <f aca="false">H1768-G1768</f>
        <v>-4.27999999999997</v>
      </c>
      <c r="J1768" s="5" t="n">
        <f aca="false">IF(G1768=0,"",I1768/G1768)</f>
        <v>-0.0106496802607678</v>
      </c>
      <c r="K1768" s="0" t="n">
        <v>76.2</v>
      </c>
      <c r="L1768" s="0" t="n">
        <v>25.15</v>
      </c>
      <c r="M1768" s="11" t="s">
        <v>2769</v>
      </c>
      <c r="N1768" s="12" t="n">
        <f aca="false">INT(E1768)</f>
        <v>45796</v>
      </c>
      <c r="O1768" s="12" t="n">
        <f aca="false">IF(F1768="","",INT(F1768))</f>
        <v>45797</v>
      </c>
    </row>
    <row r="1769" customFormat="false" ht="15" hidden="false" customHeight="false" outlineLevel="0" collapsed="false">
      <c r="A1769" s="0" t="s">
        <v>3580</v>
      </c>
      <c r="B1769" s="0" t="s">
        <v>3581</v>
      </c>
      <c r="C1769" s="0" t="s">
        <v>21</v>
      </c>
      <c r="D1769" s="0" t="s">
        <v>42</v>
      </c>
      <c r="E1769" s="10" t="n">
        <v>45796.3576388889</v>
      </c>
      <c r="F1769" s="10" t="n">
        <v>45796.7965277778</v>
      </c>
      <c r="G1769" s="0" t="n">
        <v>834.64</v>
      </c>
      <c r="H1769" s="0" t="n">
        <v>828.22</v>
      </c>
      <c r="I1769" s="11" t="n">
        <f aca="false">H1769-G1769</f>
        <v>-6.41999999999996</v>
      </c>
      <c r="J1769" s="5" t="n">
        <f aca="false">IF(G1769=0,"",I1769/G1769)</f>
        <v>-0.00769193903958588</v>
      </c>
      <c r="K1769" s="0" t="n">
        <v>148.7</v>
      </c>
      <c r="L1769" s="0" t="n">
        <v>10.53</v>
      </c>
      <c r="M1769" s="11" t="s">
        <v>2769</v>
      </c>
      <c r="N1769" s="12" t="n">
        <f aca="false">INT(E1769)</f>
        <v>45796</v>
      </c>
      <c r="O1769" s="12" t="n">
        <f aca="false">IF(F1769="","",INT(F1769))</f>
        <v>45796</v>
      </c>
    </row>
    <row r="1770" customFormat="false" ht="15" hidden="false" customHeight="false" outlineLevel="0" collapsed="false">
      <c r="A1770" s="0" t="s">
        <v>3582</v>
      </c>
      <c r="B1770" s="0" t="s">
        <v>3583</v>
      </c>
      <c r="C1770" s="0" t="s">
        <v>21</v>
      </c>
      <c r="D1770" s="0" t="s">
        <v>42</v>
      </c>
      <c r="E1770" s="10" t="n">
        <v>45796.3881944444</v>
      </c>
      <c r="F1770" s="10" t="n">
        <v>45797.0673611111</v>
      </c>
      <c r="G1770" s="0" t="n">
        <v>39.7</v>
      </c>
      <c r="H1770" s="0" t="n">
        <v>40.16</v>
      </c>
      <c r="I1770" s="11" t="n">
        <f aca="false">H1770-G1770</f>
        <v>0.459999999999994</v>
      </c>
      <c r="J1770" s="5" t="n">
        <f aca="false">IF(G1770=0,"",I1770/G1770)</f>
        <v>0.011586901763224</v>
      </c>
      <c r="K1770" s="0" t="n">
        <v>9.9</v>
      </c>
      <c r="L1770" s="0" t="n">
        <v>16.3</v>
      </c>
      <c r="M1770" s="11" t="s">
        <v>2769</v>
      </c>
      <c r="N1770" s="12" t="n">
        <f aca="false">INT(E1770)</f>
        <v>45796</v>
      </c>
      <c r="O1770" s="12" t="n">
        <f aca="false">IF(F1770="","",INT(F1770))</f>
        <v>45797</v>
      </c>
    </row>
    <row r="1771" customFormat="false" ht="15" hidden="false" customHeight="false" outlineLevel="0" collapsed="false">
      <c r="A1771" s="0" t="s">
        <v>3584</v>
      </c>
      <c r="B1771" s="0" t="s">
        <v>3585</v>
      </c>
      <c r="C1771" s="0" t="s">
        <v>23</v>
      </c>
      <c r="D1771" s="0" t="s">
        <v>42</v>
      </c>
      <c r="E1771" s="10" t="n">
        <v>45796.3930555556</v>
      </c>
      <c r="F1771" s="10" t="n">
        <v>45797.8065856482</v>
      </c>
      <c r="G1771" s="0" t="n">
        <v>867.42</v>
      </c>
      <c r="H1771" s="0" t="n">
        <v>888.14</v>
      </c>
      <c r="I1771" s="11" t="n">
        <f aca="false">H1771-G1771</f>
        <v>20.72</v>
      </c>
      <c r="J1771" s="5" t="n">
        <f aca="false">IF(G1771=0,"",I1771/G1771)</f>
        <v>0.0238869290539762</v>
      </c>
      <c r="K1771" s="0" t="n">
        <v>174.4</v>
      </c>
      <c r="L1771" s="0" t="n">
        <v>33.92</v>
      </c>
      <c r="M1771" s="11" t="s">
        <v>2769</v>
      </c>
      <c r="N1771" s="12" t="n">
        <f aca="false">INT(E1771)</f>
        <v>45796</v>
      </c>
      <c r="O1771" s="12" t="n">
        <f aca="false">IF(F1771="","",INT(F1771))</f>
        <v>45797</v>
      </c>
    </row>
    <row r="1772" customFormat="false" ht="15" hidden="false" customHeight="false" outlineLevel="0" collapsed="false">
      <c r="A1772" s="0" t="s">
        <v>3586</v>
      </c>
      <c r="B1772" s="0" t="s">
        <v>3587</v>
      </c>
      <c r="C1772" s="0" t="s">
        <v>22</v>
      </c>
      <c r="D1772" s="0" t="s">
        <v>42</v>
      </c>
      <c r="E1772" s="10" t="n">
        <v>45796.3986111111</v>
      </c>
      <c r="F1772" s="10" t="n">
        <v>45796.7291666667</v>
      </c>
      <c r="G1772" s="0" t="n">
        <v>84.5</v>
      </c>
      <c r="H1772" s="0" t="n">
        <v>83.38</v>
      </c>
      <c r="I1772" s="11" t="n">
        <f aca="false">H1772-G1772</f>
        <v>-1.12</v>
      </c>
      <c r="J1772" s="5" t="n">
        <f aca="false">IF(G1772=0,"",I1772/G1772)</f>
        <v>-0.0132544378698225</v>
      </c>
      <c r="K1772" s="0" t="n">
        <v>9.3</v>
      </c>
      <c r="L1772" s="0" t="n">
        <v>7.93</v>
      </c>
      <c r="M1772" s="11" t="s">
        <v>2769</v>
      </c>
      <c r="N1772" s="12" t="n">
        <f aca="false">INT(E1772)</f>
        <v>45796</v>
      </c>
      <c r="O1772" s="12" t="n">
        <f aca="false">IF(F1772="","",INT(F1772))</f>
        <v>45796</v>
      </c>
    </row>
    <row r="1773" customFormat="false" ht="15" hidden="false" customHeight="false" outlineLevel="0" collapsed="false">
      <c r="A1773" s="0" t="s">
        <v>3588</v>
      </c>
      <c r="B1773" s="0" t="s">
        <v>3589</v>
      </c>
      <c r="C1773" s="0" t="s">
        <v>23</v>
      </c>
      <c r="D1773" s="0" t="s">
        <v>48</v>
      </c>
      <c r="E1773" s="10" t="n">
        <v>45796.4069444445</v>
      </c>
      <c r="F1773" s="10"/>
      <c r="G1773" s="0" t="n">
        <v>163.78</v>
      </c>
      <c r="H1773" s="0" t="n">
        <v>159.8</v>
      </c>
      <c r="I1773" s="11" t="n">
        <f aca="false">H1773-G1773</f>
        <v>-3.97999999999999</v>
      </c>
      <c r="J1773" s="5" t="n">
        <f aca="false">IF(G1773=0,"",I1773/G1773)</f>
        <v>-0.0243008914397362</v>
      </c>
      <c r="K1773" s="0" t="n">
        <v>42.7</v>
      </c>
      <c r="M1773" s="11" t="s">
        <v>2769</v>
      </c>
      <c r="N1773" s="12" t="n">
        <f aca="false">INT(E1773)</f>
        <v>45796</v>
      </c>
      <c r="O1773" s="12" t="str">
        <f aca="false">IF(F1773="","",INT(F1773))</f>
        <v/>
      </c>
    </row>
    <row r="1774" customFormat="false" ht="15" hidden="false" customHeight="false" outlineLevel="0" collapsed="false">
      <c r="A1774" s="0" t="s">
        <v>3590</v>
      </c>
      <c r="B1774" s="0" t="s">
        <v>3591</v>
      </c>
      <c r="C1774" s="0" t="s">
        <v>21</v>
      </c>
      <c r="D1774" s="0" t="s">
        <v>42</v>
      </c>
      <c r="E1774" s="10" t="n">
        <v>45796.4458333333</v>
      </c>
      <c r="F1774" s="10" t="n">
        <v>45797.1145833333</v>
      </c>
      <c r="G1774" s="0" t="n">
        <v>277.92</v>
      </c>
      <c r="H1774" s="0" t="n">
        <v>283.69</v>
      </c>
      <c r="I1774" s="11" t="n">
        <f aca="false">H1774-G1774</f>
        <v>5.76999999999998</v>
      </c>
      <c r="J1774" s="5" t="n">
        <f aca="false">IF(G1774=0,"",I1774/G1774)</f>
        <v>0.0207613701784686</v>
      </c>
      <c r="K1774" s="0" t="n">
        <v>45.1</v>
      </c>
      <c r="L1774" s="0" t="n">
        <v>16.05</v>
      </c>
      <c r="M1774" s="11" t="s">
        <v>2769</v>
      </c>
      <c r="N1774" s="12" t="n">
        <f aca="false">INT(E1774)</f>
        <v>45796</v>
      </c>
      <c r="O1774" s="12" t="n">
        <f aca="false">IF(F1774="","",INT(F1774))</f>
        <v>45797</v>
      </c>
    </row>
    <row r="1775" customFormat="false" ht="15" hidden="false" customHeight="false" outlineLevel="0" collapsed="false">
      <c r="A1775" s="0" t="s">
        <v>3592</v>
      </c>
      <c r="B1775" s="0" t="s">
        <v>3593</v>
      </c>
      <c r="C1775" s="0" t="s">
        <v>23</v>
      </c>
      <c r="D1775" s="0" t="s">
        <v>42</v>
      </c>
      <c r="E1775" s="10" t="n">
        <v>45796.4770833333</v>
      </c>
      <c r="F1775" s="10" t="n">
        <v>45797.1910300926</v>
      </c>
      <c r="G1775" s="0" t="n">
        <v>214.1</v>
      </c>
      <c r="H1775" s="0" t="n">
        <v>215.32</v>
      </c>
      <c r="I1775" s="11" t="n">
        <f aca="false">H1775-G1775</f>
        <v>1.22</v>
      </c>
      <c r="J1775" s="5" t="n">
        <f aca="false">IF(G1775=0,"",I1775/G1775)</f>
        <v>0.00569827183559084</v>
      </c>
      <c r="K1775" s="0" t="n">
        <v>45.9</v>
      </c>
      <c r="L1775" s="0" t="n">
        <v>17.13</v>
      </c>
      <c r="M1775" s="11" t="s">
        <v>2769</v>
      </c>
      <c r="N1775" s="12" t="n">
        <f aca="false">INT(E1775)</f>
        <v>45796</v>
      </c>
      <c r="O1775" s="12" t="n">
        <f aca="false">IF(F1775="","",INT(F1775))</f>
        <v>45797</v>
      </c>
    </row>
    <row r="1776" customFormat="false" ht="15" hidden="false" customHeight="false" outlineLevel="0" collapsed="false">
      <c r="A1776" s="0" t="s">
        <v>3594</v>
      </c>
      <c r="B1776" s="0" t="s">
        <v>3595</v>
      </c>
      <c r="C1776" s="0" t="s">
        <v>20</v>
      </c>
      <c r="D1776" s="0" t="s">
        <v>42</v>
      </c>
      <c r="E1776" s="10" t="n">
        <v>45796.4930555556</v>
      </c>
      <c r="F1776" s="10" t="n">
        <v>45797.7763888889</v>
      </c>
      <c r="G1776" s="0" t="n">
        <v>299.79</v>
      </c>
      <c r="H1776" s="0" t="n">
        <v>293.18</v>
      </c>
      <c r="I1776" s="11" t="n">
        <f aca="false">H1776-G1776</f>
        <v>-6.61000000000001</v>
      </c>
      <c r="J1776" s="5" t="n">
        <f aca="false">IF(G1776=0,"",I1776/G1776)</f>
        <v>-0.0220487674705628</v>
      </c>
      <c r="K1776" s="0" t="n">
        <v>60.6</v>
      </c>
      <c r="L1776" s="0" t="n">
        <v>30.8</v>
      </c>
      <c r="M1776" s="11" t="s">
        <v>2769</v>
      </c>
      <c r="N1776" s="12" t="n">
        <f aca="false">INT(E1776)</f>
        <v>45796</v>
      </c>
      <c r="O1776" s="12" t="n">
        <f aca="false">IF(F1776="","",INT(F1776))</f>
        <v>45797</v>
      </c>
    </row>
    <row r="1777" customFormat="false" ht="15" hidden="false" customHeight="false" outlineLevel="0" collapsed="false">
      <c r="A1777" s="0" t="s">
        <v>3596</v>
      </c>
      <c r="B1777" s="0" t="s">
        <v>3597</v>
      </c>
      <c r="C1777" s="0" t="s">
        <v>22</v>
      </c>
      <c r="D1777" s="0" t="s">
        <v>42</v>
      </c>
      <c r="E1777" s="10" t="n">
        <v>45796.5166666667</v>
      </c>
      <c r="F1777" s="10" t="n">
        <v>45797.0988194444</v>
      </c>
      <c r="G1777" s="0" t="n">
        <v>215.89</v>
      </c>
      <c r="H1777" s="0" t="n">
        <v>217.18</v>
      </c>
      <c r="I1777" s="11" t="n">
        <f aca="false">H1777-G1777</f>
        <v>1.29000000000002</v>
      </c>
      <c r="J1777" s="5" t="n">
        <f aca="false">IF(G1777=0,"",I1777/G1777)</f>
        <v>0.00597526518134245</v>
      </c>
      <c r="K1777" s="0" t="n">
        <v>26.3</v>
      </c>
      <c r="L1777" s="0" t="n">
        <v>13.97</v>
      </c>
      <c r="M1777" s="11" t="s">
        <v>2769</v>
      </c>
      <c r="N1777" s="12" t="n">
        <f aca="false">INT(E1777)</f>
        <v>45796</v>
      </c>
      <c r="O1777" s="12" t="n">
        <f aca="false">IF(F1777="","",INT(F1777))</f>
        <v>45797</v>
      </c>
    </row>
    <row r="1778" customFormat="false" ht="15" hidden="false" customHeight="false" outlineLevel="0" collapsed="false">
      <c r="A1778" s="0" t="s">
        <v>3598</v>
      </c>
      <c r="B1778" s="0" t="s">
        <v>3599</v>
      </c>
      <c r="C1778" s="0" t="s">
        <v>23</v>
      </c>
      <c r="D1778" s="0" t="s">
        <v>42</v>
      </c>
      <c r="E1778" s="10" t="n">
        <v>45796.5236111111</v>
      </c>
      <c r="F1778" s="10" t="n">
        <v>45797.5700925926</v>
      </c>
      <c r="G1778" s="0" t="n">
        <v>390.21</v>
      </c>
      <c r="H1778" s="0" t="n">
        <v>396.52</v>
      </c>
      <c r="I1778" s="11" t="n">
        <f aca="false">H1778-G1778</f>
        <v>6.31</v>
      </c>
      <c r="J1778" s="5" t="n">
        <f aca="false">IF(G1778=0,"",I1778/G1778)</f>
        <v>0.0161707798364983</v>
      </c>
      <c r="K1778" s="0" t="n">
        <v>143.5</v>
      </c>
      <c r="L1778" s="0" t="n">
        <v>25.12</v>
      </c>
      <c r="M1778" s="11" t="s">
        <v>2769</v>
      </c>
      <c r="N1778" s="12" t="n">
        <f aca="false">INT(E1778)</f>
        <v>45796</v>
      </c>
      <c r="O1778" s="12" t="n">
        <f aca="false">IF(F1778="","",INT(F1778))</f>
        <v>45797</v>
      </c>
    </row>
    <row r="1779" customFormat="false" ht="15" hidden="false" customHeight="false" outlineLevel="0" collapsed="false">
      <c r="A1779" s="0" t="s">
        <v>3600</v>
      </c>
      <c r="B1779" s="0" t="s">
        <v>3601</v>
      </c>
      <c r="C1779" s="0" t="s">
        <v>21</v>
      </c>
      <c r="D1779" s="0" t="s">
        <v>48</v>
      </c>
      <c r="E1779" s="10" t="n">
        <v>45796.5243055556</v>
      </c>
      <c r="F1779" s="10"/>
      <c r="G1779" s="0" t="n">
        <v>500.2</v>
      </c>
      <c r="H1779" s="0" t="n">
        <v>496.75</v>
      </c>
      <c r="I1779" s="11" t="n">
        <f aca="false">H1779-G1779</f>
        <v>-3.44999999999999</v>
      </c>
      <c r="J1779" s="5" t="n">
        <f aca="false">IF(G1779=0,"",I1779/G1779)</f>
        <v>-0.00689724110355855</v>
      </c>
      <c r="K1779" s="0" t="n">
        <v>120.2</v>
      </c>
      <c r="M1779" s="11" t="s">
        <v>2769</v>
      </c>
      <c r="N1779" s="12" t="n">
        <f aca="false">INT(E1779)</f>
        <v>45796</v>
      </c>
      <c r="O1779" s="12" t="str">
        <f aca="false">IF(F1779="","",INT(F1779))</f>
        <v/>
      </c>
    </row>
    <row r="1780" customFormat="false" ht="15" hidden="false" customHeight="false" outlineLevel="0" collapsed="false">
      <c r="A1780" s="0" t="s">
        <v>3602</v>
      </c>
      <c r="B1780" s="0" t="s">
        <v>3603</v>
      </c>
      <c r="C1780" s="0" t="s">
        <v>23</v>
      </c>
      <c r="D1780" s="0" t="s">
        <v>42</v>
      </c>
      <c r="E1780" s="10" t="n">
        <v>45796.5388888889</v>
      </c>
      <c r="F1780" s="10" t="n">
        <v>45797.8006944444</v>
      </c>
      <c r="G1780" s="0" t="n">
        <v>145.46</v>
      </c>
      <c r="H1780" s="0" t="n">
        <v>146.49</v>
      </c>
      <c r="I1780" s="11" t="n">
        <f aca="false">H1780-G1780</f>
        <v>1.03</v>
      </c>
      <c r="J1780" s="5" t="n">
        <f aca="false">IF(G1780=0,"",I1780/G1780)</f>
        <v>0.00708098446308264</v>
      </c>
      <c r="K1780" s="0" t="n">
        <v>43.2</v>
      </c>
      <c r="L1780" s="0" t="n">
        <v>30.28</v>
      </c>
      <c r="M1780" s="11" t="s">
        <v>2769</v>
      </c>
      <c r="N1780" s="12" t="n">
        <f aca="false">INT(E1780)</f>
        <v>45796</v>
      </c>
      <c r="O1780" s="12" t="n">
        <f aca="false">IF(F1780="","",INT(F1780))</f>
        <v>45797</v>
      </c>
    </row>
    <row r="1781" customFormat="false" ht="15" hidden="false" customHeight="false" outlineLevel="0" collapsed="false">
      <c r="A1781" s="0" t="s">
        <v>3604</v>
      </c>
      <c r="B1781" s="0" t="s">
        <v>3605</v>
      </c>
      <c r="C1781" s="0" t="s">
        <v>20</v>
      </c>
      <c r="D1781" s="0" t="s">
        <v>42</v>
      </c>
      <c r="E1781" s="10" t="n">
        <v>45796.5520833333</v>
      </c>
      <c r="F1781" s="10" t="n">
        <v>45798.3166666667</v>
      </c>
      <c r="G1781" s="0" t="n">
        <v>886.8</v>
      </c>
      <c r="H1781" s="0" t="n">
        <v>868.31</v>
      </c>
      <c r="I1781" s="11" t="n">
        <f aca="false">H1781-G1781</f>
        <v>-18.49</v>
      </c>
      <c r="J1781" s="5" t="n">
        <f aca="false">IF(G1781=0,"",I1781/G1781)</f>
        <v>-0.0208502480829951</v>
      </c>
      <c r="K1781" s="0" t="n">
        <v>145.6</v>
      </c>
      <c r="L1781" s="0" t="n">
        <v>42.35</v>
      </c>
      <c r="M1781" s="11" t="s">
        <v>2769</v>
      </c>
      <c r="N1781" s="12" t="n">
        <f aca="false">INT(E1781)</f>
        <v>45796</v>
      </c>
      <c r="O1781" s="12" t="n">
        <f aca="false">IF(F1781="","",INT(F1781))</f>
        <v>45798</v>
      </c>
    </row>
    <row r="1782" customFormat="false" ht="15" hidden="false" customHeight="false" outlineLevel="0" collapsed="false">
      <c r="A1782" s="0" t="s">
        <v>3606</v>
      </c>
      <c r="B1782" s="0" t="s">
        <v>3607</v>
      </c>
      <c r="C1782" s="0" t="s">
        <v>23</v>
      </c>
      <c r="D1782" s="0" t="s">
        <v>42</v>
      </c>
      <c r="E1782" s="10" t="n">
        <v>45796.5875</v>
      </c>
      <c r="F1782" s="10" t="n">
        <v>45797.8175</v>
      </c>
      <c r="G1782" s="0" t="n">
        <v>1512.12</v>
      </c>
      <c r="H1782" s="0" t="n">
        <v>1421.49</v>
      </c>
      <c r="I1782" s="11" t="n">
        <f aca="false">H1782-G1782</f>
        <v>-90.6299999999999</v>
      </c>
      <c r="J1782" s="5" t="n">
        <f aca="false">IF(G1782=0,"",I1782/G1782)</f>
        <v>-0.0599357193873501</v>
      </c>
      <c r="K1782" s="0" t="n">
        <v>637.4</v>
      </c>
      <c r="L1782" s="0" t="n">
        <v>29.52</v>
      </c>
      <c r="M1782" s="11" t="s">
        <v>2769</v>
      </c>
      <c r="N1782" s="12" t="n">
        <f aca="false">INT(E1782)</f>
        <v>45796</v>
      </c>
      <c r="O1782" s="12" t="n">
        <f aca="false">IF(F1782="","",INT(F1782))</f>
        <v>45797</v>
      </c>
    </row>
    <row r="1783" customFormat="false" ht="15" hidden="false" customHeight="false" outlineLevel="0" collapsed="false">
      <c r="A1783" s="0" t="s">
        <v>3608</v>
      </c>
      <c r="B1783" s="0" t="s">
        <v>3609</v>
      </c>
      <c r="C1783" s="0" t="s">
        <v>19</v>
      </c>
      <c r="D1783" s="0" t="s">
        <v>42</v>
      </c>
      <c r="E1783" s="10" t="n">
        <v>45796.5951388889</v>
      </c>
      <c r="F1783" s="10" t="n">
        <v>45797.4391666667</v>
      </c>
      <c r="G1783" s="0" t="n">
        <v>792.6</v>
      </c>
      <c r="H1783" s="0" t="n">
        <v>891.94</v>
      </c>
      <c r="I1783" s="11" t="n">
        <f aca="false">H1783-G1783</f>
        <v>99.34</v>
      </c>
      <c r="J1783" s="5" t="n">
        <f aca="false">IF(G1783=0,"",I1783/G1783)</f>
        <v>0.125334342669695</v>
      </c>
      <c r="K1783" s="0" t="n">
        <v>115.5</v>
      </c>
      <c r="L1783" s="0" t="n">
        <v>20.26</v>
      </c>
      <c r="M1783" s="11" t="s">
        <v>2769</v>
      </c>
      <c r="N1783" s="12" t="n">
        <f aca="false">INT(E1783)</f>
        <v>45796</v>
      </c>
      <c r="O1783" s="12" t="n">
        <f aca="false">IF(F1783="","",INT(F1783))</f>
        <v>45797</v>
      </c>
    </row>
    <row r="1784" customFormat="false" ht="15" hidden="false" customHeight="false" outlineLevel="0" collapsed="false">
      <c r="A1784" s="0" t="s">
        <v>3610</v>
      </c>
      <c r="B1784" s="0" t="s">
        <v>3611</v>
      </c>
      <c r="C1784" s="0" t="s">
        <v>19</v>
      </c>
      <c r="D1784" s="0" t="s">
        <v>42</v>
      </c>
      <c r="E1784" s="10" t="n">
        <v>45796.5958333333</v>
      </c>
      <c r="F1784" s="10" t="n">
        <v>45797.1858449074</v>
      </c>
      <c r="G1784" s="0" t="n">
        <v>178.45</v>
      </c>
      <c r="H1784" s="0" t="n">
        <v>177.59</v>
      </c>
      <c r="I1784" s="11" t="n">
        <f aca="false">H1784-G1784</f>
        <v>-0.859999999999985</v>
      </c>
      <c r="J1784" s="5" t="n">
        <f aca="false">IF(G1784=0,"",I1784/G1784)</f>
        <v>-0.00481927710843365</v>
      </c>
      <c r="K1784" s="0" t="n">
        <v>21.7</v>
      </c>
      <c r="L1784" s="0" t="n">
        <v>14.16</v>
      </c>
      <c r="M1784" s="11" t="s">
        <v>2769</v>
      </c>
      <c r="N1784" s="12" t="n">
        <f aca="false">INT(E1784)</f>
        <v>45796</v>
      </c>
      <c r="O1784" s="12" t="n">
        <f aca="false">IF(F1784="","",INT(F1784))</f>
        <v>45797</v>
      </c>
    </row>
    <row r="1785" customFormat="false" ht="15" hidden="false" customHeight="false" outlineLevel="0" collapsed="false">
      <c r="A1785" s="0" t="s">
        <v>3612</v>
      </c>
      <c r="B1785" s="0" t="s">
        <v>3613</v>
      </c>
      <c r="C1785" s="0" t="s">
        <v>21</v>
      </c>
      <c r="D1785" s="0" t="s">
        <v>48</v>
      </c>
      <c r="E1785" s="10" t="n">
        <v>45796.6034722222</v>
      </c>
      <c r="F1785" s="10"/>
      <c r="G1785" s="0" t="n">
        <v>81.08</v>
      </c>
      <c r="H1785" s="0" t="n">
        <v>80.62</v>
      </c>
      <c r="I1785" s="11" t="n">
        <f aca="false">H1785-G1785</f>
        <v>-0.459999999999994</v>
      </c>
      <c r="J1785" s="5" t="n">
        <f aca="false">IF(G1785=0,"",I1785/G1785)</f>
        <v>-0.00567340897878631</v>
      </c>
      <c r="K1785" s="0" t="n">
        <v>12.3</v>
      </c>
      <c r="M1785" s="11" t="s">
        <v>2769</v>
      </c>
      <c r="N1785" s="12" t="n">
        <f aca="false">INT(E1785)</f>
        <v>45796</v>
      </c>
      <c r="O1785" s="12" t="str">
        <f aca="false">IF(F1785="","",INT(F1785))</f>
        <v/>
      </c>
    </row>
    <row r="1786" customFormat="false" ht="15" hidden="false" customHeight="false" outlineLevel="0" collapsed="false">
      <c r="A1786" s="0" t="s">
        <v>3614</v>
      </c>
      <c r="B1786" s="0" t="s">
        <v>3615</v>
      </c>
      <c r="C1786" s="0" t="s">
        <v>23</v>
      </c>
      <c r="D1786" s="0" t="s">
        <v>42</v>
      </c>
      <c r="E1786" s="10" t="n">
        <v>45796.6319444445</v>
      </c>
      <c r="F1786" s="10" t="n">
        <v>45797.9576388889</v>
      </c>
      <c r="G1786" s="0" t="n">
        <v>719.41</v>
      </c>
      <c r="H1786" s="0" t="n">
        <v>702.15</v>
      </c>
      <c r="I1786" s="11" t="n">
        <f aca="false">H1786-G1786</f>
        <v>-17.26</v>
      </c>
      <c r="J1786" s="5" t="n">
        <f aca="false">IF(G1786=0,"",I1786/G1786)</f>
        <v>-0.0239918822368329</v>
      </c>
      <c r="K1786" s="0" t="n">
        <v>321.5</v>
      </c>
      <c r="L1786" s="0" t="n">
        <v>31.82</v>
      </c>
      <c r="M1786" s="11" t="s">
        <v>2769</v>
      </c>
      <c r="N1786" s="12" t="n">
        <f aca="false">INT(E1786)</f>
        <v>45796</v>
      </c>
      <c r="O1786" s="12" t="n">
        <f aca="false">IF(F1786="","",INT(F1786))</f>
        <v>45797</v>
      </c>
    </row>
    <row r="1787" customFormat="false" ht="15" hidden="false" customHeight="false" outlineLevel="0" collapsed="false">
      <c r="A1787" s="0" t="s">
        <v>3616</v>
      </c>
      <c r="B1787" s="0" t="s">
        <v>3617</v>
      </c>
      <c r="C1787" s="0" t="s">
        <v>22</v>
      </c>
      <c r="D1787" s="0" t="s">
        <v>42</v>
      </c>
      <c r="E1787" s="10" t="n">
        <v>45796.6465277778</v>
      </c>
      <c r="F1787" s="10" t="n">
        <v>45796.90625</v>
      </c>
      <c r="G1787" s="0" t="n">
        <v>667.85</v>
      </c>
      <c r="H1787" s="0" t="n">
        <v>663.88</v>
      </c>
      <c r="I1787" s="11" t="n">
        <f aca="false">H1787-G1787</f>
        <v>-3.97000000000003</v>
      </c>
      <c r="J1787" s="5" t="n">
        <f aca="false">IF(G1787=0,"",I1787/G1787)</f>
        <v>-0.00594444860372842</v>
      </c>
      <c r="K1787" s="0" t="n">
        <v>64</v>
      </c>
      <c r="L1787" s="0" t="n">
        <v>6.23</v>
      </c>
      <c r="M1787" s="11" t="s">
        <v>2769</v>
      </c>
      <c r="N1787" s="12" t="n">
        <f aca="false">INT(E1787)</f>
        <v>45796</v>
      </c>
      <c r="O1787" s="12" t="n">
        <f aca="false">IF(F1787="","",INT(F1787))</f>
        <v>45796</v>
      </c>
    </row>
    <row r="1788" customFormat="false" ht="15" hidden="false" customHeight="false" outlineLevel="0" collapsed="false">
      <c r="A1788" s="0" t="s">
        <v>3618</v>
      </c>
      <c r="B1788" s="0" t="s">
        <v>3619</v>
      </c>
      <c r="C1788" s="0" t="s">
        <v>21</v>
      </c>
      <c r="D1788" s="0" t="s">
        <v>42</v>
      </c>
      <c r="E1788" s="10" t="n">
        <v>45796.6590277778</v>
      </c>
      <c r="F1788" s="10" t="n">
        <v>45797.3565162037</v>
      </c>
      <c r="G1788" s="0" t="n">
        <v>316.16</v>
      </c>
      <c r="H1788" s="0" t="n">
        <v>300.48</v>
      </c>
      <c r="I1788" s="11" t="n">
        <f aca="false">H1788-G1788</f>
        <v>-15.68</v>
      </c>
      <c r="J1788" s="5" t="n">
        <f aca="false">IF(G1788=0,"",I1788/G1788)</f>
        <v>-0.0495951417004049</v>
      </c>
      <c r="K1788" s="0" t="n">
        <v>44.2</v>
      </c>
      <c r="L1788" s="0" t="n">
        <v>16.74</v>
      </c>
      <c r="M1788" s="11" t="s">
        <v>2769</v>
      </c>
      <c r="N1788" s="12" t="n">
        <f aca="false">INT(E1788)</f>
        <v>45796</v>
      </c>
      <c r="O1788" s="12" t="n">
        <f aca="false">IF(F1788="","",INT(F1788))</f>
        <v>45797</v>
      </c>
    </row>
    <row r="1789" customFormat="false" ht="15" hidden="false" customHeight="false" outlineLevel="0" collapsed="false">
      <c r="A1789" s="0" t="s">
        <v>3620</v>
      </c>
      <c r="B1789" s="0" t="s">
        <v>3621</v>
      </c>
      <c r="C1789" s="0" t="s">
        <v>23</v>
      </c>
      <c r="D1789" s="0" t="s">
        <v>42</v>
      </c>
      <c r="E1789" s="10" t="n">
        <v>45796.6722222222</v>
      </c>
      <c r="F1789" s="10" t="n">
        <v>45799.3704282407</v>
      </c>
      <c r="G1789" s="0" t="n">
        <v>1380.91</v>
      </c>
      <c r="H1789" s="0" t="n">
        <v>1086</v>
      </c>
      <c r="I1789" s="11" t="n">
        <f aca="false">H1789-G1789</f>
        <v>-294.91</v>
      </c>
      <c r="J1789" s="5" t="n">
        <f aca="false">IF(G1789=0,"",I1789/G1789)</f>
        <v>-0.213562071387708</v>
      </c>
      <c r="K1789" s="0" t="n">
        <v>497.2</v>
      </c>
      <c r="L1789" s="0" t="n">
        <v>64.76</v>
      </c>
      <c r="M1789" s="11" t="s">
        <v>2769</v>
      </c>
      <c r="N1789" s="12" t="n">
        <f aca="false">INT(E1789)</f>
        <v>45796</v>
      </c>
      <c r="O1789" s="12" t="n">
        <f aca="false">IF(F1789="","",INT(F1789))</f>
        <v>45799</v>
      </c>
    </row>
    <row r="1790" customFormat="false" ht="15" hidden="false" customHeight="false" outlineLevel="0" collapsed="false">
      <c r="A1790" s="0" t="s">
        <v>3622</v>
      </c>
      <c r="B1790" s="0" t="s">
        <v>3623</v>
      </c>
      <c r="C1790" s="0" t="s">
        <v>19</v>
      </c>
      <c r="D1790" s="0" t="s">
        <v>42</v>
      </c>
      <c r="E1790" s="10" t="n">
        <v>45796.6951388889</v>
      </c>
      <c r="F1790" s="10" t="n">
        <v>45797.27</v>
      </c>
      <c r="G1790" s="0" t="n">
        <v>411.35</v>
      </c>
      <c r="H1790" s="0" t="n">
        <v>412.92</v>
      </c>
      <c r="I1790" s="11" t="n">
        <f aca="false">H1790-G1790</f>
        <v>1.56999999999999</v>
      </c>
      <c r="J1790" s="5" t="n">
        <f aca="false">IF(G1790=0,"",I1790/G1790)</f>
        <v>0.003816701106114</v>
      </c>
      <c r="K1790" s="0" t="n">
        <v>73.5</v>
      </c>
      <c r="L1790" s="0" t="n">
        <v>13.8</v>
      </c>
      <c r="M1790" s="11" t="s">
        <v>2769</v>
      </c>
      <c r="N1790" s="12" t="n">
        <f aca="false">INT(E1790)</f>
        <v>45796</v>
      </c>
      <c r="O1790" s="12" t="n">
        <f aca="false">IF(F1790="","",INT(F1790))</f>
        <v>45797</v>
      </c>
    </row>
    <row r="1791" customFormat="false" ht="15" hidden="false" customHeight="false" outlineLevel="0" collapsed="false">
      <c r="A1791" s="0" t="s">
        <v>3624</v>
      </c>
      <c r="B1791" s="0" t="s">
        <v>3625</v>
      </c>
      <c r="C1791" s="0" t="s">
        <v>23</v>
      </c>
      <c r="D1791" s="0" t="s">
        <v>42</v>
      </c>
      <c r="E1791" s="10" t="n">
        <v>45796.7166666667</v>
      </c>
      <c r="F1791" s="10" t="n">
        <v>45797.4972222222</v>
      </c>
      <c r="G1791" s="0" t="n">
        <v>562.78</v>
      </c>
      <c r="H1791" s="0" t="n">
        <v>578.43</v>
      </c>
      <c r="I1791" s="11" t="n">
        <f aca="false">H1791-G1791</f>
        <v>15.65</v>
      </c>
      <c r="J1791" s="5" t="n">
        <f aca="false">IF(G1791=0,"",I1791/G1791)</f>
        <v>0.0278083798287074</v>
      </c>
      <c r="K1791" s="0" t="n">
        <v>236</v>
      </c>
      <c r="L1791" s="0" t="n">
        <v>18.73</v>
      </c>
      <c r="M1791" s="11" t="s">
        <v>2769</v>
      </c>
      <c r="N1791" s="12" t="n">
        <f aca="false">INT(E1791)</f>
        <v>45796</v>
      </c>
      <c r="O1791" s="12" t="n">
        <f aca="false">IF(F1791="","",INT(F1791))</f>
        <v>45797</v>
      </c>
    </row>
    <row r="1792" customFormat="false" ht="15" hidden="false" customHeight="false" outlineLevel="0" collapsed="false">
      <c r="A1792" s="0" t="s">
        <v>3626</v>
      </c>
      <c r="B1792" s="0" t="s">
        <v>3627</v>
      </c>
      <c r="C1792" s="0" t="s">
        <v>20</v>
      </c>
      <c r="D1792" s="0" t="s">
        <v>42</v>
      </c>
      <c r="E1792" s="10" t="n">
        <v>45796.7222222222</v>
      </c>
      <c r="F1792" s="10" t="n">
        <v>45798.0625</v>
      </c>
      <c r="G1792" s="0" t="n">
        <v>159.14</v>
      </c>
      <c r="H1792" s="0" t="n">
        <v>156.88</v>
      </c>
      <c r="I1792" s="11" t="n">
        <f aca="false">H1792-G1792</f>
        <v>-2.25999999999999</v>
      </c>
      <c r="J1792" s="5" t="n">
        <f aca="false">IF(G1792=0,"",I1792/G1792)</f>
        <v>-0.0142013321603619</v>
      </c>
      <c r="K1792" s="0" t="n">
        <v>30.7</v>
      </c>
      <c r="L1792" s="0" t="n">
        <v>32.17</v>
      </c>
      <c r="M1792" s="11" t="s">
        <v>2769</v>
      </c>
      <c r="N1792" s="12" t="n">
        <f aca="false">INT(E1792)</f>
        <v>45796</v>
      </c>
      <c r="O1792" s="12" t="n">
        <f aca="false">IF(F1792="","",INT(F1792))</f>
        <v>45798</v>
      </c>
    </row>
    <row r="1793" customFormat="false" ht="15" hidden="false" customHeight="false" outlineLevel="0" collapsed="false">
      <c r="A1793" s="0" t="s">
        <v>3628</v>
      </c>
      <c r="B1793" s="0" t="s">
        <v>3629</v>
      </c>
      <c r="C1793" s="0" t="s">
        <v>21</v>
      </c>
      <c r="D1793" s="0" t="s">
        <v>42</v>
      </c>
      <c r="E1793" s="10" t="n">
        <v>45796.7354166667</v>
      </c>
      <c r="F1793" s="10" t="n">
        <v>45797.4541666667</v>
      </c>
      <c r="G1793" s="0" t="n">
        <v>516.07</v>
      </c>
      <c r="H1793" s="0" t="n">
        <v>517.98</v>
      </c>
      <c r="I1793" s="11" t="n">
        <f aca="false">H1793-G1793</f>
        <v>1.90999999999997</v>
      </c>
      <c r="J1793" s="5" t="n">
        <f aca="false">IF(G1793=0,"",I1793/G1793)</f>
        <v>0.0037010483074001</v>
      </c>
      <c r="K1793" s="0" t="n">
        <v>111.7</v>
      </c>
      <c r="L1793" s="0" t="n">
        <v>17.25</v>
      </c>
      <c r="M1793" s="11" t="s">
        <v>2769</v>
      </c>
      <c r="N1793" s="12" t="n">
        <f aca="false">INT(E1793)</f>
        <v>45796</v>
      </c>
      <c r="O1793" s="12" t="n">
        <f aca="false">IF(F1793="","",INT(F1793))</f>
        <v>45797</v>
      </c>
    </row>
    <row r="1794" customFormat="false" ht="15" hidden="false" customHeight="false" outlineLevel="0" collapsed="false">
      <c r="A1794" s="0" t="s">
        <v>3630</v>
      </c>
      <c r="B1794" s="0" t="s">
        <v>3631</v>
      </c>
      <c r="C1794" s="0" t="s">
        <v>23</v>
      </c>
      <c r="D1794" s="0" t="s">
        <v>42</v>
      </c>
      <c r="E1794" s="10" t="n">
        <v>45796.7493055556</v>
      </c>
      <c r="F1794" s="10" t="n">
        <v>45797.4333333333</v>
      </c>
      <c r="G1794" s="0" t="n">
        <v>175.6</v>
      </c>
      <c r="H1794" s="0" t="n">
        <v>174.11</v>
      </c>
      <c r="I1794" s="11" t="n">
        <f aca="false">H1794-G1794</f>
        <v>-1.48999999999998</v>
      </c>
      <c r="J1794" s="5" t="n">
        <f aca="false">IF(G1794=0,"",I1794/G1794)</f>
        <v>-0.00848519362186777</v>
      </c>
      <c r="K1794" s="0" t="n">
        <v>66.8</v>
      </c>
      <c r="L1794" s="0" t="n">
        <v>16.42</v>
      </c>
      <c r="M1794" s="11" t="s">
        <v>2769</v>
      </c>
      <c r="N1794" s="12" t="n">
        <f aca="false">INT(E1794)</f>
        <v>45796</v>
      </c>
      <c r="O1794" s="12" t="n">
        <f aca="false">IF(F1794="","",INT(F1794))</f>
        <v>45797</v>
      </c>
    </row>
    <row r="1795" customFormat="false" ht="15" hidden="false" customHeight="false" outlineLevel="0" collapsed="false">
      <c r="A1795" s="0" t="s">
        <v>3632</v>
      </c>
      <c r="B1795" s="0" t="s">
        <v>3633</v>
      </c>
      <c r="C1795" s="0" t="s">
        <v>21</v>
      </c>
      <c r="D1795" s="0" t="s">
        <v>42</v>
      </c>
      <c r="E1795" s="10" t="n">
        <v>45796.7868055556</v>
      </c>
      <c r="F1795" s="10" t="n">
        <v>45797.40625</v>
      </c>
      <c r="G1795" s="0" t="n">
        <v>190.14</v>
      </c>
      <c r="H1795" s="0" t="n">
        <v>240.6</v>
      </c>
      <c r="I1795" s="11" t="n">
        <f aca="false">H1795-G1795</f>
        <v>50.46</v>
      </c>
      <c r="J1795" s="5" t="n">
        <f aca="false">IF(G1795=0,"",I1795/G1795)</f>
        <v>0.265383401704008</v>
      </c>
      <c r="K1795" s="0" t="n">
        <v>29</v>
      </c>
      <c r="L1795" s="0" t="n">
        <v>14.87</v>
      </c>
      <c r="M1795" s="11" t="s">
        <v>2769</v>
      </c>
      <c r="N1795" s="12" t="n">
        <f aca="false">INT(E1795)</f>
        <v>45796</v>
      </c>
      <c r="O1795" s="12" t="n">
        <f aca="false">IF(F1795="","",INT(F1795))</f>
        <v>45797</v>
      </c>
    </row>
    <row r="1796" customFormat="false" ht="15" hidden="false" customHeight="false" outlineLevel="0" collapsed="false">
      <c r="A1796" s="0" t="s">
        <v>3634</v>
      </c>
      <c r="B1796" s="0" t="s">
        <v>3635</v>
      </c>
      <c r="C1796" s="0" t="s">
        <v>24</v>
      </c>
      <c r="D1796" s="0" t="s">
        <v>42</v>
      </c>
      <c r="E1796" s="10" t="n">
        <v>45797.3041666667</v>
      </c>
      <c r="F1796" s="10" t="n">
        <v>45798.9208333333</v>
      </c>
      <c r="G1796" s="0" t="n">
        <v>543.93</v>
      </c>
      <c r="H1796" s="0" t="n">
        <v>560.52</v>
      </c>
      <c r="I1796" s="11" t="n">
        <f aca="false">H1796-G1796</f>
        <v>16.59</v>
      </c>
      <c r="J1796" s="5" t="n">
        <f aca="false">IF(G1796=0,"",I1796/G1796)</f>
        <v>0.0305002481937015</v>
      </c>
      <c r="K1796" s="0" t="n">
        <v>188.8</v>
      </c>
      <c r="L1796" s="0" t="n">
        <v>38.8</v>
      </c>
      <c r="M1796" s="11" t="s">
        <v>2769</v>
      </c>
      <c r="N1796" s="12" t="n">
        <f aca="false">INT(E1796)</f>
        <v>45797</v>
      </c>
      <c r="O1796" s="12" t="n">
        <f aca="false">IF(F1796="","",INT(F1796))</f>
        <v>45798</v>
      </c>
    </row>
    <row r="1797" customFormat="false" ht="15" hidden="false" customHeight="false" outlineLevel="0" collapsed="false">
      <c r="A1797" s="0" t="s">
        <v>3636</v>
      </c>
      <c r="B1797" s="0" t="s">
        <v>3637</v>
      </c>
      <c r="C1797" s="0" t="s">
        <v>23</v>
      </c>
      <c r="D1797" s="0" t="s">
        <v>42</v>
      </c>
      <c r="E1797" s="10" t="n">
        <v>45797.3180555556</v>
      </c>
      <c r="F1797" s="10" t="n">
        <v>45798.2828587963</v>
      </c>
      <c r="G1797" s="0" t="n">
        <v>185.5</v>
      </c>
      <c r="H1797" s="0" t="n">
        <v>182.81</v>
      </c>
      <c r="I1797" s="11" t="n">
        <f aca="false">H1797-G1797</f>
        <v>-2.69</v>
      </c>
      <c r="J1797" s="5" t="n">
        <f aca="false">IF(G1797=0,"",I1797/G1797)</f>
        <v>-0.0145013477088949</v>
      </c>
      <c r="K1797" s="0" t="n">
        <v>52.8</v>
      </c>
      <c r="L1797" s="0" t="n">
        <v>23.16</v>
      </c>
      <c r="M1797" s="11" t="s">
        <v>2769</v>
      </c>
      <c r="N1797" s="12" t="n">
        <f aca="false">INT(E1797)</f>
        <v>45797</v>
      </c>
      <c r="O1797" s="12" t="n">
        <f aca="false">IF(F1797="","",INT(F1797))</f>
        <v>45798</v>
      </c>
    </row>
    <row r="1798" customFormat="false" ht="15" hidden="false" customHeight="false" outlineLevel="0" collapsed="false">
      <c r="A1798" s="0" t="s">
        <v>3638</v>
      </c>
      <c r="B1798" s="0" t="s">
        <v>3639</v>
      </c>
      <c r="C1798" s="0" t="s">
        <v>23</v>
      </c>
      <c r="D1798" s="0" t="s">
        <v>48</v>
      </c>
      <c r="E1798" s="10" t="n">
        <v>45797.3319444444</v>
      </c>
      <c r="F1798" s="10"/>
      <c r="G1798" s="0" t="n">
        <v>597.73</v>
      </c>
      <c r="H1798" s="0" t="n">
        <v>577.5</v>
      </c>
      <c r="I1798" s="11" t="n">
        <f aca="false">H1798-G1798</f>
        <v>-20.23</v>
      </c>
      <c r="J1798" s="5" t="n">
        <f aca="false">IF(G1798=0,"",I1798/G1798)</f>
        <v>-0.0338447124956084</v>
      </c>
      <c r="K1798" s="0" t="n">
        <v>239</v>
      </c>
      <c r="M1798" s="11" t="s">
        <v>2769</v>
      </c>
      <c r="N1798" s="12" t="n">
        <f aca="false">INT(E1798)</f>
        <v>45797</v>
      </c>
      <c r="O1798" s="12" t="str">
        <f aca="false">IF(F1798="","",INT(F1798))</f>
        <v/>
      </c>
    </row>
    <row r="1799" customFormat="false" ht="15" hidden="false" customHeight="false" outlineLevel="0" collapsed="false">
      <c r="A1799" s="0" t="s">
        <v>3640</v>
      </c>
      <c r="B1799" s="0" t="s">
        <v>3641</v>
      </c>
      <c r="C1799" s="0" t="s">
        <v>19</v>
      </c>
      <c r="D1799" s="0" t="s">
        <v>42</v>
      </c>
      <c r="E1799" s="10" t="n">
        <v>45797.3409722222</v>
      </c>
      <c r="F1799" s="10" t="n">
        <v>45797.9631712963</v>
      </c>
      <c r="G1799" s="0" t="n">
        <v>82.12</v>
      </c>
      <c r="H1799" s="0" t="n">
        <v>82.36</v>
      </c>
      <c r="I1799" s="11" t="n">
        <f aca="false">H1799-G1799</f>
        <v>0.239999999999995</v>
      </c>
      <c r="J1799" s="5" t="n">
        <f aca="false">IF(G1799=0,"",I1799/G1799)</f>
        <v>0.00292255236239643</v>
      </c>
      <c r="K1799" s="0" t="n">
        <v>8.4</v>
      </c>
      <c r="L1799" s="0" t="n">
        <v>14.93</v>
      </c>
      <c r="M1799" s="11" t="s">
        <v>2769</v>
      </c>
      <c r="N1799" s="12" t="n">
        <f aca="false">INT(E1799)</f>
        <v>45797</v>
      </c>
      <c r="O1799" s="12" t="n">
        <f aca="false">IF(F1799="","",INT(F1799))</f>
        <v>45797</v>
      </c>
    </row>
    <row r="1800" customFormat="false" ht="15" hidden="false" customHeight="false" outlineLevel="0" collapsed="false">
      <c r="A1800" s="0" t="s">
        <v>3642</v>
      </c>
      <c r="B1800" s="0" t="s">
        <v>3643</v>
      </c>
      <c r="C1800" s="0" t="s">
        <v>20</v>
      </c>
      <c r="D1800" s="0" t="s">
        <v>48</v>
      </c>
      <c r="E1800" s="10" t="n">
        <v>45797.3631944444</v>
      </c>
      <c r="F1800" s="10"/>
      <c r="G1800" s="0" t="n">
        <v>502.63</v>
      </c>
      <c r="H1800" s="0" t="n">
        <v>489.45</v>
      </c>
      <c r="I1800" s="11" t="n">
        <f aca="false">H1800-G1800</f>
        <v>-13.18</v>
      </c>
      <c r="J1800" s="5" t="n">
        <f aca="false">IF(G1800=0,"",I1800/G1800)</f>
        <v>-0.0262220719017966</v>
      </c>
      <c r="K1800" s="0" t="n">
        <v>90.1</v>
      </c>
      <c r="M1800" s="11" t="s">
        <v>2769</v>
      </c>
      <c r="N1800" s="12" t="n">
        <f aca="false">INT(E1800)</f>
        <v>45797</v>
      </c>
      <c r="O1800" s="12" t="str">
        <f aca="false">IF(F1800="","",INT(F1800))</f>
        <v/>
      </c>
    </row>
    <row r="1801" customFormat="false" ht="15" hidden="false" customHeight="false" outlineLevel="0" collapsed="false">
      <c r="A1801" s="0" t="s">
        <v>3644</v>
      </c>
      <c r="B1801" s="0" t="s">
        <v>3645</v>
      </c>
      <c r="C1801" s="0" t="s">
        <v>19</v>
      </c>
      <c r="D1801" s="0" t="s">
        <v>42</v>
      </c>
      <c r="E1801" s="10" t="n">
        <v>45797.3833333333</v>
      </c>
      <c r="F1801" s="10" t="n">
        <v>45798.2979166667</v>
      </c>
      <c r="G1801" s="0" t="n">
        <v>418.98</v>
      </c>
      <c r="H1801" s="0" t="n">
        <v>481.92</v>
      </c>
      <c r="I1801" s="11" t="n">
        <f aca="false">H1801-G1801</f>
        <v>62.94</v>
      </c>
      <c r="J1801" s="5" t="n">
        <f aca="false">IF(G1801=0,"",I1801/G1801)</f>
        <v>0.150221967635687</v>
      </c>
      <c r="K1801" s="0" t="n">
        <v>55.5</v>
      </c>
      <c r="L1801" s="0" t="n">
        <v>21.95</v>
      </c>
      <c r="M1801" s="11" t="s">
        <v>2769</v>
      </c>
      <c r="N1801" s="12" t="n">
        <f aca="false">INT(E1801)</f>
        <v>45797</v>
      </c>
      <c r="O1801" s="12" t="n">
        <f aca="false">IF(F1801="","",INT(F1801))</f>
        <v>45798</v>
      </c>
    </row>
    <row r="1802" customFormat="false" ht="15" hidden="false" customHeight="false" outlineLevel="0" collapsed="false">
      <c r="A1802" s="0" t="s">
        <v>3646</v>
      </c>
      <c r="B1802" s="0" t="s">
        <v>3647</v>
      </c>
      <c r="C1802" s="0" t="s">
        <v>23</v>
      </c>
      <c r="D1802" s="0" t="s">
        <v>42</v>
      </c>
      <c r="E1802" s="10" t="n">
        <v>45797.3923611111</v>
      </c>
      <c r="F1802" s="10" t="n">
        <v>45798.3638888889</v>
      </c>
      <c r="G1802" s="0" t="n">
        <v>816.25</v>
      </c>
      <c r="H1802" s="0" t="n">
        <v>817.47</v>
      </c>
      <c r="I1802" s="11" t="n">
        <f aca="false">H1802-G1802</f>
        <v>1.22000000000003</v>
      </c>
      <c r="J1802" s="5" t="n">
        <f aca="false">IF(G1802=0,"",I1802/G1802)</f>
        <v>0.00149464012251152</v>
      </c>
      <c r="K1802" s="0" t="n">
        <v>233</v>
      </c>
      <c r="L1802" s="0" t="n">
        <v>23.32</v>
      </c>
      <c r="M1802" s="11" t="s">
        <v>2769</v>
      </c>
      <c r="N1802" s="12" t="n">
        <f aca="false">INT(E1802)</f>
        <v>45797</v>
      </c>
      <c r="O1802" s="12" t="n">
        <f aca="false">IF(F1802="","",INT(F1802))</f>
        <v>45798</v>
      </c>
    </row>
    <row r="1803" customFormat="false" ht="15" hidden="false" customHeight="false" outlineLevel="0" collapsed="false">
      <c r="A1803" s="0" t="s">
        <v>3648</v>
      </c>
      <c r="B1803" s="0" t="s">
        <v>3649</v>
      </c>
      <c r="C1803" s="0" t="s">
        <v>24</v>
      </c>
      <c r="D1803" s="0" t="s">
        <v>42</v>
      </c>
      <c r="E1803" s="10" t="n">
        <v>45797.4013888889</v>
      </c>
      <c r="F1803" s="10" t="n">
        <v>45800.484212963</v>
      </c>
      <c r="G1803" s="0" t="n">
        <v>915.45</v>
      </c>
      <c r="H1803" s="0" t="n">
        <v>930.55</v>
      </c>
      <c r="I1803" s="11" t="n">
        <f aca="false">H1803-G1803</f>
        <v>15.0999999999999</v>
      </c>
      <c r="J1803" s="5" t="n">
        <f aca="false">IF(G1803=0,"",I1803/G1803)</f>
        <v>0.0164946201321753</v>
      </c>
      <c r="K1803" s="0" t="n">
        <v>310.6</v>
      </c>
      <c r="L1803" s="0" t="n">
        <v>73.99</v>
      </c>
      <c r="M1803" s="11" t="s">
        <v>2769</v>
      </c>
      <c r="N1803" s="12" t="n">
        <f aca="false">INT(E1803)</f>
        <v>45797</v>
      </c>
      <c r="O1803" s="12" t="n">
        <f aca="false">IF(F1803="","",INT(F1803))</f>
        <v>45800</v>
      </c>
    </row>
    <row r="1804" customFormat="false" ht="15" hidden="false" customHeight="false" outlineLevel="0" collapsed="false">
      <c r="A1804" s="0" t="s">
        <v>3650</v>
      </c>
      <c r="B1804" s="0" t="s">
        <v>3651</v>
      </c>
      <c r="C1804" s="0" t="s">
        <v>23</v>
      </c>
      <c r="D1804" s="0" t="s">
        <v>42</v>
      </c>
      <c r="E1804" s="10" t="n">
        <v>45797.4118055556</v>
      </c>
      <c r="F1804" s="10" t="n">
        <v>45799.4340277778</v>
      </c>
      <c r="G1804" s="0" t="n">
        <v>383.56</v>
      </c>
      <c r="H1804" s="0" t="n">
        <v>378.25</v>
      </c>
      <c r="I1804" s="11" t="n">
        <f aca="false">H1804-G1804</f>
        <v>-5.31</v>
      </c>
      <c r="J1804" s="5" t="n">
        <f aca="false">IF(G1804=0,"",I1804/G1804)</f>
        <v>-0.0138439879028053</v>
      </c>
      <c r="K1804" s="0" t="n">
        <v>128.6</v>
      </c>
      <c r="L1804" s="0" t="n">
        <v>48.53</v>
      </c>
      <c r="M1804" s="11" t="s">
        <v>2769</v>
      </c>
      <c r="N1804" s="12" t="n">
        <f aca="false">INT(E1804)</f>
        <v>45797</v>
      </c>
      <c r="O1804" s="12" t="n">
        <f aca="false">IF(F1804="","",INT(F1804))</f>
        <v>45799</v>
      </c>
    </row>
    <row r="1805" customFormat="false" ht="15" hidden="false" customHeight="false" outlineLevel="0" collapsed="false">
      <c r="A1805" s="0" t="s">
        <v>3652</v>
      </c>
      <c r="B1805" s="0" t="s">
        <v>3653</v>
      </c>
      <c r="C1805" s="0" t="s">
        <v>21</v>
      </c>
      <c r="D1805" s="0" t="s">
        <v>303</v>
      </c>
      <c r="E1805" s="10" t="n">
        <v>45797.4479166667</v>
      </c>
      <c r="F1805" s="10"/>
      <c r="G1805" s="0" t="n">
        <v>259.92</v>
      </c>
      <c r="H1805" s="0" t="n">
        <v>335.08</v>
      </c>
      <c r="I1805" s="11" t="n">
        <f aca="false">H1805-G1805</f>
        <v>75.16</v>
      </c>
      <c r="J1805" s="5" t="n">
        <f aca="false">IF(G1805=0,"",I1805/G1805)</f>
        <v>0.289165897199138</v>
      </c>
      <c r="K1805" s="0" t="n">
        <v>44</v>
      </c>
      <c r="M1805" s="11" t="s">
        <v>2769</v>
      </c>
      <c r="N1805" s="12" t="n">
        <f aca="false">INT(E1805)</f>
        <v>45797</v>
      </c>
      <c r="O1805" s="12" t="str">
        <f aca="false">IF(F1805="","",INT(F1805))</f>
        <v/>
      </c>
    </row>
    <row r="1806" customFormat="false" ht="15" hidden="false" customHeight="false" outlineLevel="0" collapsed="false">
      <c r="A1806" s="0" t="s">
        <v>3654</v>
      </c>
      <c r="B1806" s="0" t="s">
        <v>3655</v>
      </c>
      <c r="C1806" s="0" t="s">
        <v>22</v>
      </c>
      <c r="D1806" s="0" t="s">
        <v>303</v>
      </c>
      <c r="E1806" s="10" t="n">
        <v>45797.4486111111</v>
      </c>
      <c r="F1806" s="10"/>
      <c r="G1806" s="0" t="n">
        <v>464.95</v>
      </c>
      <c r="H1806" s="0" t="n">
        <v>496.5</v>
      </c>
      <c r="I1806" s="11" t="n">
        <f aca="false">H1806-G1806</f>
        <v>31.55</v>
      </c>
      <c r="J1806" s="5" t="n">
        <f aca="false">IF(G1806=0,"",I1806/G1806)</f>
        <v>0.0678567587912679</v>
      </c>
      <c r="K1806" s="0" t="n">
        <v>90.5</v>
      </c>
      <c r="M1806" s="11" t="s">
        <v>2769</v>
      </c>
      <c r="N1806" s="12" t="n">
        <f aca="false">INT(E1806)</f>
        <v>45797</v>
      </c>
      <c r="O1806" s="12" t="str">
        <f aca="false">IF(F1806="","",INT(F1806))</f>
        <v/>
      </c>
    </row>
    <row r="1807" customFormat="false" ht="15" hidden="false" customHeight="false" outlineLevel="0" collapsed="false">
      <c r="A1807" s="0" t="s">
        <v>3656</v>
      </c>
      <c r="B1807" s="0" t="s">
        <v>3657</v>
      </c>
      <c r="C1807" s="0" t="s">
        <v>23</v>
      </c>
      <c r="D1807" s="0" t="s">
        <v>42</v>
      </c>
      <c r="E1807" s="10" t="n">
        <v>45797.4541666667</v>
      </c>
      <c r="F1807" s="10" t="n">
        <v>45799.4583333333</v>
      </c>
      <c r="G1807" s="0" t="n">
        <v>249.91</v>
      </c>
      <c r="H1807" s="0" t="n">
        <v>247.66</v>
      </c>
      <c r="I1807" s="11" t="n">
        <f aca="false">H1807-G1807</f>
        <v>-2.25</v>
      </c>
      <c r="J1807" s="5" t="n">
        <f aca="false">IF(G1807=0,"",I1807/G1807)</f>
        <v>-0.00900324116682006</v>
      </c>
      <c r="K1807" s="0" t="n">
        <v>104.4</v>
      </c>
      <c r="L1807" s="0" t="n">
        <v>48.1</v>
      </c>
      <c r="M1807" s="11" t="s">
        <v>2769</v>
      </c>
      <c r="N1807" s="12" t="n">
        <f aca="false">INT(E1807)</f>
        <v>45797</v>
      </c>
      <c r="O1807" s="12" t="n">
        <f aca="false">IF(F1807="","",INT(F1807))</f>
        <v>45799</v>
      </c>
    </row>
    <row r="1808" customFormat="false" ht="15" hidden="false" customHeight="false" outlineLevel="0" collapsed="false">
      <c r="A1808" s="0" t="s">
        <v>3658</v>
      </c>
      <c r="B1808" s="0" t="s">
        <v>3659</v>
      </c>
      <c r="C1808" s="0" t="s">
        <v>20</v>
      </c>
      <c r="D1808" s="0" t="s">
        <v>42</v>
      </c>
      <c r="E1808" s="10" t="n">
        <v>45797.4756944445</v>
      </c>
      <c r="F1808" s="10" t="n">
        <v>45799.043275463</v>
      </c>
      <c r="G1808" s="0" t="n">
        <v>57.79</v>
      </c>
      <c r="H1808" s="0" t="n">
        <v>48.76</v>
      </c>
      <c r="I1808" s="11" t="n">
        <f aca="false">H1808-G1808</f>
        <v>-9.03</v>
      </c>
      <c r="J1808" s="5" t="n">
        <f aca="false">IF(G1808=0,"",I1808/G1808)</f>
        <v>-0.15625540750995</v>
      </c>
      <c r="K1808" s="0" t="n">
        <v>9.2</v>
      </c>
      <c r="L1808" s="0" t="n">
        <v>37.62</v>
      </c>
      <c r="M1808" s="11" t="s">
        <v>2769</v>
      </c>
      <c r="N1808" s="12" t="n">
        <f aca="false">INT(E1808)</f>
        <v>45797</v>
      </c>
      <c r="O1808" s="12" t="n">
        <f aca="false">IF(F1808="","",INT(F1808))</f>
        <v>45799</v>
      </c>
    </row>
    <row r="1809" customFormat="false" ht="15" hidden="false" customHeight="false" outlineLevel="0" collapsed="false">
      <c r="A1809" s="0" t="s">
        <v>3660</v>
      </c>
      <c r="B1809" s="0" t="s">
        <v>3661</v>
      </c>
      <c r="C1809" s="0" t="s">
        <v>23</v>
      </c>
      <c r="D1809" s="0" t="s">
        <v>42</v>
      </c>
      <c r="E1809" s="10" t="n">
        <v>45797.4854166667</v>
      </c>
      <c r="F1809" s="10" t="n">
        <v>45798.8020833333</v>
      </c>
      <c r="G1809" s="0" t="n">
        <v>284.19</v>
      </c>
      <c r="H1809" s="0" t="n">
        <v>287.94</v>
      </c>
      <c r="I1809" s="11" t="n">
        <f aca="false">H1809-G1809</f>
        <v>3.75</v>
      </c>
      <c r="J1809" s="5" t="n">
        <f aca="false">IF(G1809=0,"",I1809/G1809)</f>
        <v>0.0131953974453711</v>
      </c>
      <c r="K1809" s="0" t="n">
        <v>80.7</v>
      </c>
      <c r="L1809" s="0" t="n">
        <v>31.6</v>
      </c>
      <c r="M1809" s="11" t="s">
        <v>2769</v>
      </c>
      <c r="N1809" s="12" t="n">
        <f aca="false">INT(E1809)</f>
        <v>45797</v>
      </c>
      <c r="O1809" s="12" t="n">
        <f aca="false">IF(F1809="","",INT(F1809))</f>
        <v>45798</v>
      </c>
    </row>
    <row r="1810" customFormat="false" ht="15" hidden="false" customHeight="false" outlineLevel="0" collapsed="false">
      <c r="A1810" s="0" t="s">
        <v>3662</v>
      </c>
      <c r="B1810" s="0" t="s">
        <v>3663</v>
      </c>
      <c r="C1810" s="0" t="s">
        <v>23</v>
      </c>
      <c r="D1810" s="0" t="s">
        <v>42</v>
      </c>
      <c r="E1810" s="10" t="n">
        <v>45797.4861111111</v>
      </c>
      <c r="F1810" s="10" t="n">
        <v>45798.6993055556</v>
      </c>
      <c r="G1810" s="0" t="n">
        <v>500.56</v>
      </c>
      <c r="H1810" s="0" t="n">
        <v>510.19</v>
      </c>
      <c r="I1810" s="11" t="n">
        <f aca="false">H1810-G1810</f>
        <v>9.63</v>
      </c>
      <c r="J1810" s="5" t="n">
        <f aca="false">IF(G1810=0,"",I1810/G1810)</f>
        <v>0.0192384529327154</v>
      </c>
      <c r="K1810" s="0" t="n">
        <v>223.8</v>
      </c>
      <c r="L1810" s="0" t="n">
        <v>29.12</v>
      </c>
      <c r="M1810" s="11" t="s">
        <v>2769</v>
      </c>
      <c r="N1810" s="12" t="n">
        <f aca="false">INT(E1810)</f>
        <v>45797</v>
      </c>
      <c r="O1810" s="12" t="n">
        <f aca="false">IF(F1810="","",INT(F1810))</f>
        <v>45798</v>
      </c>
    </row>
    <row r="1811" customFormat="false" ht="15" hidden="false" customHeight="false" outlineLevel="0" collapsed="false">
      <c r="A1811" s="0" t="s">
        <v>3664</v>
      </c>
      <c r="B1811" s="0" t="s">
        <v>3665</v>
      </c>
      <c r="C1811" s="0" t="s">
        <v>21</v>
      </c>
      <c r="D1811" s="0" t="s">
        <v>303</v>
      </c>
      <c r="E1811" s="10" t="n">
        <v>45797.5826388889</v>
      </c>
      <c r="F1811" s="10"/>
      <c r="G1811" s="0" t="n">
        <v>2273.93</v>
      </c>
      <c r="H1811" s="0" t="n">
        <v>2232.36</v>
      </c>
      <c r="I1811" s="11" t="n">
        <f aca="false">H1811-G1811</f>
        <v>-41.5699999999997</v>
      </c>
      <c r="J1811" s="5" t="n">
        <f aca="false">IF(G1811=0,"",I1811/G1811)</f>
        <v>-0.0182811256283174</v>
      </c>
      <c r="K1811" s="0" t="n">
        <v>437.2</v>
      </c>
      <c r="M1811" s="11" t="s">
        <v>2769</v>
      </c>
      <c r="N1811" s="12" t="n">
        <f aca="false">INT(E1811)</f>
        <v>45797</v>
      </c>
      <c r="O1811" s="12" t="str">
        <f aca="false">IF(F1811="","",INT(F1811))</f>
        <v/>
      </c>
    </row>
    <row r="1812" customFormat="false" ht="15" hidden="false" customHeight="false" outlineLevel="0" collapsed="false">
      <c r="A1812" s="0" t="s">
        <v>3666</v>
      </c>
      <c r="B1812" s="0" t="s">
        <v>3667</v>
      </c>
      <c r="C1812" s="0" t="s">
        <v>23</v>
      </c>
      <c r="D1812" s="0" t="s">
        <v>303</v>
      </c>
      <c r="E1812" s="10" t="n">
        <v>45797.5916666667</v>
      </c>
      <c r="F1812" s="10"/>
      <c r="G1812" s="0" t="n">
        <v>261.14</v>
      </c>
      <c r="H1812" s="0" t="n">
        <v>268.89</v>
      </c>
      <c r="I1812" s="11" t="n">
        <f aca="false">H1812-G1812</f>
        <v>7.75</v>
      </c>
      <c r="J1812" s="5" t="n">
        <f aca="false">IF(G1812=0,"",I1812/G1812)</f>
        <v>0.0296775675882668</v>
      </c>
      <c r="K1812" s="0" t="n">
        <v>89.1</v>
      </c>
      <c r="M1812" s="11" t="s">
        <v>2769</v>
      </c>
      <c r="N1812" s="12" t="n">
        <f aca="false">INT(E1812)</f>
        <v>45797</v>
      </c>
      <c r="O1812" s="12" t="str">
        <f aca="false">IF(F1812="","",INT(F1812))</f>
        <v/>
      </c>
    </row>
    <row r="1813" customFormat="false" ht="15" hidden="false" customHeight="false" outlineLevel="0" collapsed="false">
      <c r="A1813" s="0" t="s">
        <v>3668</v>
      </c>
      <c r="B1813" s="0" t="s">
        <v>3669</v>
      </c>
      <c r="C1813" s="0" t="s">
        <v>20</v>
      </c>
      <c r="D1813" s="0" t="s">
        <v>42</v>
      </c>
      <c r="E1813" s="10" t="n">
        <v>45797.6118055556</v>
      </c>
      <c r="F1813" s="10" t="n">
        <v>45797.9618055556</v>
      </c>
      <c r="G1813" s="0" t="n">
        <v>1267.65</v>
      </c>
      <c r="H1813" s="0" t="n">
        <v>1323.58</v>
      </c>
      <c r="I1813" s="11" t="n">
        <f aca="false">H1813-G1813</f>
        <v>55.9299999999998</v>
      </c>
      <c r="J1813" s="5" t="n">
        <f aca="false">IF(G1813=0,"",I1813/G1813)</f>
        <v>0.0441210113201592</v>
      </c>
      <c r="K1813" s="0" t="n">
        <v>165.3</v>
      </c>
      <c r="L1813" s="0" t="n">
        <v>8.4</v>
      </c>
      <c r="M1813" s="11" t="s">
        <v>2769</v>
      </c>
      <c r="N1813" s="12" t="n">
        <f aca="false">INT(E1813)</f>
        <v>45797</v>
      </c>
      <c r="O1813" s="12" t="n">
        <f aca="false">IF(F1813="","",INT(F1813))</f>
        <v>45797</v>
      </c>
    </row>
    <row r="1814" customFormat="false" ht="15" hidden="false" customHeight="false" outlineLevel="0" collapsed="false">
      <c r="A1814" s="0" t="s">
        <v>3670</v>
      </c>
      <c r="B1814" s="0" t="s">
        <v>3671</v>
      </c>
      <c r="C1814" s="0" t="s">
        <v>22</v>
      </c>
      <c r="D1814" s="0" t="s">
        <v>42</v>
      </c>
      <c r="E1814" s="10" t="n">
        <v>45797.6263888889</v>
      </c>
      <c r="F1814" s="10" t="n">
        <v>45799.2132060185</v>
      </c>
      <c r="G1814" s="0" t="n">
        <v>504.49</v>
      </c>
      <c r="H1814" s="0" t="n">
        <v>515.02</v>
      </c>
      <c r="I1814" s="11" t="n">
        <f aca="false">H1814-G1814</f>
        <v>10.53</v>
      </c>
      <c r="J1814" s="5" t="n">
        <f aca="false">IF(G1814=0,"",I1814/G1814)</f>
        <v>0.0208725643719399</v>
      </c>
      <c r="K1814" s="0" t="n">
        <v>93.2</v>
      </c>
      <c r="L1814" s="0" t="n">
        <v>38.08</v>
      </c>
      <c r="M1814" s="11" t="s">
        <v>2769</v>
      </c>
      <c r="N1814" s="12" t="n">
        <f aca="false">INT(E1814)</f>
        <v>45797</v>
      </c>
      <c r="O1814" s="12" t="n">
        <f aca="false">IF(F1814="","",INT(F1814))</f>
        <v>45799</v>
      </c>
    </row>
    <row r="1815" customFormat="false" ht="15" hidden="false" customHeight="false" outlineLevel="0" collapsed="false">
      <c r="A1815" s="0" t="s">
        <v>3672</v>
      </c>
      <c r="B1815" s="0" t="s">
        <v>3673</v>
      </c>
      <c r="C1815" s="0" t="s">
        <v>21</v>
      </c>
      <c r="D1815" s="0" t="s">
        <v>42</v>
      </c>
      <c r="E1815" s="10" t="n">
        <v>45797.6402777778</v>
      </c>
      <c r="F1815" s="10" t="n">
        <v>45798.5048611111</v>
      </c>
      <c r="G1815" s="0" t="n">
        <v>1301.29</v>
      </c>
      <c r="H1815" s="0" t="n">
        <v>1274.02</v>
      </c>
      <c r="I1815" s="11" t="n">
        <f aca="false">H1815-G1815</f>
        <v>-27.27</v>
      </c>
      <c r="J1815" s="5" t="n">
        <f aca="false">IF(G1815=0,"",I1815/G1815)</f>
        <v>-0.0209561281497591</v>
      </c>
      <c r="K1815" s="0" t="n">
        <v>176.7</v>
      </c>
      <c r="L1815" s="0" t="n">
        <v>20.75</v>
      </c>
      <c r="M1815" s="11" t="s">
        <v>2769</v>
      </c>
      <c r="N1815" s="12" t="n">
        <f aca="false">INT(E1815)</f>
        <v>45797</v>
      </c>
      <c r="O1815" s="12" t="n">
        <f aca="false">IF(F1815="","",INT(F1815))</f>
        <v>45798</v>
      </c>
    </row>
    <row r="1816" customFormat="false" ht="15" hidden="false" customHeight="false" outlineLevel="0" collapsed="false">
      <c r="A1816" s="0" t="s">
        <v>3674</v>
      </c>
      <c r="B1816" s="0" t="s">
        <v>3675</v>
      </c>
      <c r="C1816" s="0" t="s">
        <v>20</v>
      </c>
      <c r="D1816" s="0" t="s">
        <v>42</v>
      </c>
      <c r="E1816" s="10" t="n">
        <v>45797.6416666667</v>
      </c>
      <c r="F1816" s="10" t="n">
        <v>45799.1694444444</v>
      </c>
      <c r="G1816" s="0" t="n">
        <v>1853.8</v>
      </c>
      <c r="H1816" s="0" t="n">
        <v>1802.39</v>
      </c>
      <c r="I1816" s="11" t="n">
        <f aca="false">H1816-G1816</f>
        <v>-51.4099999999999</v>
      </c>
      <c r="J1816" s="5" t="n">
        <f aca="false">IF(G1816=0,"",I1816/G1816)</f>
        <v>-0.027732225698565</v>
      </c>
      <c r="K1816" s="0" t="n">
        <v>398</v>
      </c>
      <c r="L1816" s="0" t="n">
        <v>36.67</v>
      </c>
      <c r="M1816" s="11" t="s">
        <v>2769</v>
      </c>
      <c r="N1816" s="12" t="n">
        <f aca="false">INT(E1816)</f>
        <v>45797</v>
      </c>
      <c r="O1816" s="12" t="n">
        <f aca="false">IF(F1816="","",INT(F1816))</f>
        <v>45799</v>
      </c>
    </row>
    <row r="1817" customFormat="false" ht="15" hidden="false" customHeight="false" outlineLevel="0" collapsed="false">
      <c r="A1817" s="0" t="s">
        <v>3676</v>
      </c>
      <c r="B1817" s="0" t="s">
        <v>3677</v>
      </c>
      <c r="C1817" s="0" t="s">
        <v>23</v>
      </c>
      <c r="D1817" s="0" t="s">
        <v>42</v>
      </c>
      <c r="E1817" s="10" t="n">
        <v>45797.6541666667</v>
      </c>
      <c r="F1817" s="10" t="n">
        <v>45798.9166666667</v>
      </c>
      <c r="G1817" s="0" t="n">
        <v>1848.22</v>
      </c>
      <c r="H1817" s="0" t="n">
        <v>1758.51</v>
      </c>
      <c r="I1817" s="11" t="n">
        <f aca="false">H1817-G1817</f>
        <v>-89.71</v>
      </c>
      <c r="J1817" s="5" t="n">
        <f aca="false">IF(G1817=0,"",I1817/G1817)</f>
        <v>-0.0485385938903377</v>
      </c>
      <c r="K1817" s="0" t="n">
        <v>558.4</v>
      </c>
      <c r="L1817" s="0" t="n">
        <v>30.3</v>
      </c>
      <c r="M1817" s="11" t="s">
        <v>2769</v>
      </c>
      <c r="N1817" s="12" t="n">
        <f aca="false">INT(E1817)</f>
        <v>45797</v>
      </c>
      <c r="O1817" s="12" t="n">
        <f aca="false">IF(F1817="","",INT(F1817))</f>
        <v>45798</v>
      </c>
    </row>
    <row r="1818" customFormat="false" ht="15" hidden="false" customHeight="false" outlineLevel="0" collapsed="false">
      <c r="A1818" s="0" t="s">
        <v>3678</v>
      </c>
      <c r="B1818" s="0" t="s">
        <v>3679</v>
      </c>
      <c r="C1818" s="0" t="s">
        <v>24</v>
      </c>
      <c r="D1818" s="0" t="s">
        <v>42</v>
      </c>
      <c r="E1818" s="10" t="n">
        <v>45797.6597222222</v>
      </c>
      <c r="F1818" s="10" t="n">
        <v>45798.9367476852</v>
      </c>
      <c r="G1818" s="0" t="n">
        <v>202.76</v>
      </c>
      <c r="H1818" s="0" t="n">
        <v>209.07</v>
      </c>
      <c r="I1818" s="11" t="n">
        <f aca="false">H1818-G1818</f>
        <v>6.31</v>
      </c>
      <c r="J1818" s="5" t="n">
        <f aca="false">IF(G1818=0,"",I1818/G1818)</f>
        <v>0.0311205365949892</v>
      </c>
      <c r="K1818" s="0" t="n">
        <v>76.1</v>
      </c>
      <c r="L1818" s="0" t="n">
        <v>30.65</v>
      </c>
      <c r="M1818" s="11" t="s">
        <v>2769</v>
      </c>
      <c r="N1818" s="12" t="n">
        <f aca="false">INT(E1818)</f>
        <v>45797</v>
      </c>
      <c r="O1818" s="12" t="n">
        <f aca="false">IF(F1818="","",INT(F1818))</f>
        <v>45798</v>
      </c>
    </row>
    <row r="1819" customFormat="false" ht="15" hidden="false" customHeight="false" outlineLevel="0" collapsed="false">
      <c r="A1819" s="0" t="s">
        <v>3680</v>
      </c>
      <c r="B1819" s="0" t="s">
        <v>3681</v>
      </c>
      <c r="C1819" s="0" t="s">
        <v>23</v>
      </c>
      <c r="D1819" s="0" t="s">
        <v>42</v>
      </c>
      <c r="E1819" s="10" t="n">
        <v>45797.6597222222</v>
      </c>
      <c r="F1819" s="10" t="n">
        <v>45802.81875</v>
      </c>
      <c r="G1819" s="0" t="n">
        <v>292.42</v>
      </c>
      <c r="H1819" s="0" t="n">
        <v>293.44</v>
      </c>
      <c r="I1819" s="11" t="n">
        <f aca="false">H1819-G1819</f>
        <v>1.01999999999998</v>
      </c>
      <c r="J1819" s="5" t="n">
        <f aca="false">IF(G1819=0,"",I1819/G1819)</f>
        <v>0.00348813350660003</v>
      </c>
      <c r="K1819" s="0" t="n">
        <v>65.7</v>
      </c>
      <c r="L1819" s="0" t="n">
        <v>80.17</v>
      </c>
      <c r="M1819" s="11" t="s">
        <v>2769</v>
      </c>
      <c r="N1819" s="12" t="n">
        <f aca="false">INT(E1819)</f>
        <v>45797</v>
      </c>
      <c r="O1819" s="12" t="n">
        <f aca="false">IF(F1819="","",INT(F1819))</f>
        <v>45802</v>
      </c>
    </row>
    <row r="1820" customFormat="false" ht="15" hidden="false" customHeight="false" outlineLevel="0" collapsed="false">
      <c r="A1820" s="0" t="s">
        <v>3682</v>
      </c>
      <c r="B1820" s="0" t="s">
        <v>3683</v>
      </c>
      <c r="C1820" s="0" t="s">
        <v>21</v>
      </c>
      <c r="D1820" s="0" t="s">
        <v>42</v>
      </c>
      <c r="E1820" s="10" t="n">
        <v>45797.6993055556</v>
      </c>
      <c r="F1820" s="10" t="n">
        <v>45798.5392824074</v>
      </c>
      <c r="G1820" s="0" t="n">
        <v>439.47</v>
      </c>
      <c r="H1820" s="0" t="n">
        <v>432.7</v>
      </c>
      <c r="I1820" s="11" t="n">
        <f aca="false">H1820-G1820</f>
        <v>-6.77000000000004</v>
      </c>
      <c r="J1820" s="5" t="n">
        <f aca="false">IF(G1820=0,"",I1820/G1820)</f>
        <v>-0.0154049195622</v>
      </c>
      <c r="K1820" s="0" t="n">
        <v>55.8</v>
      </c>
      <c r="L1820" s="0" t="n">
        <v>20.16</v>
      </c>
      <c r="M1820" s="11" t="s">
        <v>2769</v>
      </c>
      <c r="N1820" s="12" t="n">
        <f aca="false">INT(E1820)</f>
        <v>45797</v>
      </c>
      <c r="O1820" s="12" t="n">
        <f aca="false">IF(F1820="","",INT(F1820))</f>
        <v>45798</v>
      </c>
    </row>
    <row r="1821" customFormat="false" ht="15" hidden="false" customHeight="false" outlineLevel="0" collapsed="false">
      <c r="A1821" s="0" t="s">
        <v>3684</v>
      </c>
      <c r="B1821" s="0" t="s">
        <v>3685</v>
      </c>
      <c r="C1821" s="0" t="s">
        <v>21</v>
      </c>
      <c r="D1821" s="0" t="s">
        <v>42</v>
      </c>
      <c r="E1821" s="10" t="n">
        <v>45797.7069444444</v>
      </c>
      <c r="F1821" s="10" t="n">
        <v>45798.0395833333</v>
      </c>
      <c r="G1821" s="0" t="n">
        <v>419.21</v>
      </c>
      <c r="H1821" s="0" t="n">
        <v>428.29</v>
      </c>
      <c r="I1821" s="11" t="n">
        <f aca="false">H1821-G1821</f>
        <v>9.08000000000004</v>
      </c>
      <c r="J1821" s="5" t="n">
        <f aca="false">IF(G1821=0,"",I1821/G1821)</f>
        <v>0.02165978865008</v>
      </c>
      <c r="K1821" s="0" t="n">
        <v>116.8</v>
      </c>
      <c r="L1821" s="0" t="n">
        <v>7.98</v>
      </c>
      <c r="M1821" s="11" t="s">
        <v>2769</v>
      </c>
      <c r="N1821" s="12" t="n">
        <f aca="false">INT(E1821)</f>
        <v>45797</v>
      </c>
      <c r="O1821" s="12" t="n">
        <f aca="false">IF(F1821="","",INT(F1821))</f>
        <v>45798</v>
      </c>
    </row>
    <row r="1822" customFormat="false" ht="15" hidden="false" customHeight="false" outlineLevel="0" collapsed="false">
      <c r="A1822" s="0" t="s">
        <v>3686</v>
      </c>
      <c r="B1822" s="0" t="s">
        <v>3687</v>
      </c>
      <c r="C1822" s="0" t="s">
        <v>21</v>
      </c>
      <c r="D1822" s="0" t="s">
        <v>42</v>
      </c>
      <c r="E1822" s="10" t="n">
        <v>45797.73125</v>
      </c>
      <c r="F1822" s="10" t="n">
        <v>45798.0666666667</v>
      </c>
      <c r="G1822" s="0" t="n">
        <v>567.46</v>
      </c>
      <c r="H1822" s="0" t="n">
        <v>579.81</v>
      </c>
      <c r="I1822" s="11" t="n">
        <f aca="false">H1822-G1822</f>
        <v>12.3499999999999</v>
      </c>
      <c r="J1822" s="5" t="n">
        <f aca="false">IF(G1822=0,"",I1822/G1822)</f>
        <v>0.0217636485391039</v>
      </c>
      <c r="K1822" s="0" t="n">
        <v>84.3</v>
      </c>
      <c r="L1822" s="0" t="n">
        <v>8.05</v>
      </c>
      <c r="M1822" s="11" t="s">
        <v>2769</v>
      </c>
      <c r="N1822" s="12" t="n">
        <f aca="false">INT(E1822)</f>
        <v>45797</v>
      </c>
      <c r="O1822" s="12" t="n">
        <f aca="false">IF(F1822="","",INT(F1822))</f>
        <v>45798</v>
      </c>
    </row>
    <row r="1823" customFormat="false" ht="15" hidden="false" customHeight="false" outlineLevel="0" collapsed="false">
      <c r="A1823" s="0" t="s">
        <v>3688</v>
      </c>
      <c r="B1823" s="0" t="s">
        <v>3689</v>
      </c>
      <c r="C1823" s="0" t="s">
        <v>23</v>
      </c>
      <c r="D1823" s="0" t="s">
        <v>42</v>
      </c>
      <c r="E1823" s="10" t="n">
        <v>45797.7576388889</v>
      </c>
      <c r="F1823" s="10" t="n">
        <v>45799.2791666667</v>
      </c>
      <c r="G1823" s="0" t="n">
        <v>227.59</v>
      </c>
      <c r="H1823" s="0" t="n">
        <v>236.46</v>
      </c>
      <c r="I1823" s="11" t="n">
        <f aca="false">H1823-G1823</f>
        <v>8.87000000000001</v>
      </c>
      <c r="J1823" s="5" t="n">
        <f aca="false">IF(G1823=0,"",I1823/G1823)</f>
        <v>0.0389735928643614</v>
      </c>
      <c r="K1823" s="0" t="n">
        <v>76.3</v>
      </c>
      <c r="L1823" s="0" t="n">
        <v>36.52</v>
      </c>
      <c r="M1823" s="11" t="s">
        <v>2769</v>
      </c>
      <c r="N1823" s="12" t="n">
        <f aca="false">INT(E1823)</f>
        <v>45797</v>
      </c>
      <c r="O1823" s="12" t="n">
        <f aca="false">IF(F1823="","",INT(F1823))</f>
        <v>45799</v>
      </c>
    </row>
    <row r="1824" customFormat="false" ht="15" hidden="false" customHeight="false" outlineLevel="0" collapsed="false">
      <c r="A1824" s="0" t="s">
        <v>3690</v>
      </c>
      <c r="B1824" s="0" t="s">
        <v>3691</v>
      </c>
      <c r="C1824" s="0" t="s">
        <v>21</v>
      </c>
      <c r="D1824" s="0" t="s">
        <v>42</v>
      </c>
      <c r="E1824" s="10" t="n">
        <v>45798.2972222222</v>
      </c>
      <c r="F1824" s="10" t="n">
        <v>45799.0986111111</v>
      </c>
      <c r="G1824" s="0" t="n">
        <v>298.6</v>
      </c>
      <c r="H1824" s="0" t="n">
        <v>387.72</v>
      </c>
      <c r="I1824" s="11" t="n">
        <f aca="false">H1824-G1824</f>
        <v>89.12</v>
      </c>
      <c r="J1824" s="5" t="n">
        <f aca="false">IF(G1824=0,"",I1824/G1824)</f>
        <v>0.298459477561956</v>
      </c>
      <c r="K1824" s="0" t="n">
        <v>58.2</v>
      </c>
      <c r="L1824" s="0" t="n">
        <v>19.23</v>
      </c>
      <c r="M1824" s="11" t="s">
        <v>2769</v>
      </c>
      <c r="N1824" s="12" t="n">
        <f aca="false">INT(E1824)</f>
        <v>45798</v>
      </c>
      <c r="O1824" s="12" t="n">
        <f aca="false">IF(F1824="","",INT(F1824))</f>
        <v>45799</v>
      </c>
    </row>
    <row r="1825" customFormat="false" ht="15" hidden="false" customHeight="false" outlineLevel="0" collapsed="false">
      <c r="A1825" s="0" t="s">
        <v>3692</v>
      </c>
      <c r="B1825" s="0" t="s">
        <v>3693</v>
      </c>
      <c r="C1825" s="0" t="s">
        <v>19</v>
      </c>
      <c r="D1825" s="0" t="s">
        <v>303</v>
      </c>
      <c r="E1825" s="10" t="n">
        <v>45798.3354166667</v>
      </c>
      <c r="F1825" s="10"/>
      <c r="G1825" s="0" t="n">
        <v>234.04</v>
      </c>
      <c r="H1825" s="0" t="n">
        <v>233.14</v>
      </c>
      <c r="I1825" s="11" t="n">
        <f aca="false">H1825-G1825</f>
        <v>-0.900000000000006</v>
      </c>
      <c r="J1825" s="5" t="n">
        <f aca="false">IF(G1825=0,"",I1825/G1825)</f>
        <v>-0.00384549649632544</v>
      </c>
      <c r="K1825" s="0" t="n">
        <v>19.9</v>
      </c>
      <c r="M1825" s="11" t="s">
        <v>2769</v>
      </c>
      <c r="N1825" s="12" t="n">
        <f aca="false">INT(E1825)</f>
        <v>45798</v>
      </c>
      <c r="O1825" s="12" t="str">
        <f aca="false">IF(F1825="","",INT(F1825))</f>
        <v/>
      </c>
    </row>
    <row r="1826" customFormat="false" ht="15" hidden="false" customHeight="false" outlineLevel="0" collapsed="false">
      <c r="A1826" s="0" t="s">
        <v>3694</v>
      </c>
      <c r="B1826" s="0" t="s">
        <v>3695</v>
      </c>
      <c r="C1826" s="0" t="s">
        <v>23</v>
      </c>
      <c r="D1826" s="0" t="s">
        <v>42</v>
      </c>
      <c r="E1826" s="10" t="n">
        <v>45798.3368055556</v>
      </c>
      <c r="F1826" s="10" t="n">
        <v>45798.9029861111</v>
      </c>
      <c r="G1826" s="0" t="n">
        <v>1974.21</v>
      </c>
      <c r="H1826" s="0" t="n">
        <v>1960.86</v>
      </c>
      <c r="I1826" s="11" t="n">
        <f aca="false">H1826-G1826</f>
        <v>-13.3500000000001</v>
      </c>
      <c r="J1826" s="5" t="n">
        <f aca="false">IF(G1826=0,"",I1826/G1826)</f>
        <v>-0.00676219855030627</v>
      </c>
      <c r="K1826" s="0" t="n">
        <v>413.2</v>
      </c>
      <c r="L1826" s="0" t="n">
        <v>13.59</v>
      </c>
      <c r="M1826" s="11" t="s">
        <v>2769</v>
      </c>
      <c r="N1826" s="12" t="n">
        <f aca="false">INT(E1826)</f>
        <v>45798</v>
      </c>
      <c r="O1826" s="12" t="n">
        <f aca="false">IF(F1826="","",INT(F1826))</f>
        <v>45798</v>
      </c>
    </row>
    <row r="1827" customFormat="false" ht="15" hidden="false" customHeight="false" outlineLevel="0" collapsed="false">
      <c r="A1827" s="0" t="s">
        <v>3696</v>
      </c>
      <c r="B1827" s="0" t="s">
        <v>3697</v>
      </c>
      <c r="C1827" s="0" t="s">
        <v>21</v>
      </c>
      <c r="D1827" s="0" t="s">
        <v>42</v>
      </c>
      <c r="E1827" s="10" t="n">
        <v>45798.3493055556</v>
      </c>
      <c r="F1827" s="10" t="n">
        <v>45799.5</v>
      </c>
      <c r="G1827" s="0" t="n">
        <v>396.88</v>
      </c>
      <c r="H1827" s="0" t="n">
        <v>397.31</v>
      </c>
      <c r="I1827" s="11" t="n">
        <f aca="false">H1827-G1827</f>
        <v>0.430000000000007</v>
      </c>
      <c r="J1827" s="5" t="n">
        <f aca="false">IF(G1827=0,"",I1827/G1827)</f>
        <v>0.00108345091715382</v>
      </c>
      <c r="K1827" s="0" t="n">
        <v>108.6</v>
      </c>
      <c r="L1827" s="0" t="n">
        <v>27.62</v>
      </c>
      <c r="M1827" s="11" t="s">
        <v>2769</v>
      </c>
      <c r="N1827" s="12" t="n">
        <f aca="false">INT(E1827)</f>
        <v>45798</v>
      </c>
      <c r="O1827" s="12" t="n">
        <f aca="false">IF(F1827="","",INT(F1827))</f>
        <v>45799</v>
      </c>
    </row>
    <row r="1828" customFormat="false" ht="15" hidden="false" customHeight="false" outlineLevel="0" collapsed="false">
      <c r="A1828" s="0" t="s">
        <v>3698</v>
      </c>
      <c r="B1828" s="0" t="s">
        <v>3699</v>
      </c>
      <c r="C1828" s="0" t="s">
        <v>19</v>
      </c>
      <c r="D1828" s="0" t="s">
        <v>42</v>
      </c>
      <c r="E1828" s="10" t="n">
        <v>45798.3756944445</v>
      </c>
      <c r="F1828" s="10" t="n">
        <v>45800.9708333333</v>
      </c>
      <c r="G1828" s="0" t="n">
        <v>1057.05</v>
      </c>
      <c r="H1828" s="0" t="n">
        <v>1034.6</v>
      </c>
      <c r="I1828" s="11" t="n">
        <f aca="false">H1828-G1828</f>
        <v>-22.45</v>
      </c>
      <c r="J1828" s="5" t="n">
        <f aca="false">IF(G1828=0,"",I1828/G1828)</f>
        <v>-0.021238352017407</v>
      </c>
      <c r="K1828" s="0" t="n">
        <v>174.8</v>
      </c>
      <c r="L1828" s="0" t="n">
        <v>62.28</v>
      </c>
      <c r="M1828" s="11" t="s">
        <v>2769</v>
      </c>
      <c r="N1828" s="12" t="n">
        <f aca="false">INT(E1828)</f>
        <v>45798</v>
      </c>
      <c r="O1828" s="12" t="n">
        <f aca="false">IF(F1828="","",INT(F1828))</f>
        <v>45800</v>
      </c>
    </row>
    <row r="1829" customFormat="false" ht="15" hidden="false" customHeight="false" outlineLevel="0" collapsed="false">
      <c r="A1829" s="0" t="s">
        <v>3700</v>
      </c>
      <c r="B1829" s="0" t="s">
        <v>3701</v>
      </c>
      <c r="C1829" s="0" t="s">
        <v>20</v>
      </c>
      <c r="D1829" s="0" t="s">
        <v>42</v>
      </c>
      <c r="E1829" s="10" t="n">
        <v>45798.3791666667</v>
      </c>
      <c r="F1829" s="10" t="n">
        <v>45799.8722222222</v>
      </c>
      <c r="G1829" s="0" t="n">
        <v>2564.44</v>
      </c>
      <c r="H1829" s="0" t="n">
        <v>2896.7</v>
      </c>
      <c r="I1829" s="11" t="n">
        <f aca="false">H1829-G1829</f>
        <v>332.26</v>
      </c>
      <c r="J1829" s="5" t="n">
        <f aca="false">IF(G1829=0,"",I1829/G1829)</f>
        <v>0.129564349331628</v>
      </c>
      <c r="K1829" s="0" t="n">
        <v>400.9</v>
      </c>
      <c r="L1829" s="0" t="n">
        <v>35.83</v>
      </c>
      <c r="M1829" s="11" t="s">
        <v>2769</v>
      </c>
      <c r="N1829" s="12" t="n">
        <f aca="false">INT(E1829)</f>
        <v>45798</v>
      </c>
      <c r="O1829" s="12" t="n">
        <f aca="false">IF(F1829="","",INT(F1829))</f>
        <v>45799</v>
      </c>
    </row>
    <row r="1830" customFormat="false" ht="15" hidden="false" customHeight="false" outlineLevel="0" collapsed="false">
      <c r="A1830" s="0" t="s">
        <v>3702</v>
      </c>
      <c r="B1830" s="0" t="s">
        <v>3703</v>
      </c>
      <c r="C1830" s="0" t="s">
        <v>20</v>
      </c>
      <c r="D1830" s="0" t="s">
        <v>42</v>
      </c>
      <c r="E1830" s="10" t="n">
        <v>45798.4069444445</v>
      </c>
      <c r="F1830" s="10" t="n">
        <v>45800.2608680556</v>
      </c>
      <c r="G1830" s="0" t="n">
        <v>453.01</v>
      </c>
      <c r="H1830" s="0" t="n">
        <v>461.61</v>
      </c>
      <c r="I1830" s="11" t="n">
        <f aca="false">H1830-G1830</f>
        <v>8.60000000000002</v>
      </c>
      <c r="J1830" s="5" t="n">
        <f aca="false">IF(G1830=0,"",I1830/G1830)</f>
        <v>0.0189841283856869</v>
      </c>
      <c r="K1830" s="0" t="n">
        <v>80</v>
      </c>
      <c r="L1830" s="0" t="n">
        <v>44.49</v>
      </c>
      <c r="M1830" s="11" t="s">
        <v>2769</v>
      </c>
      <c r="N1830" s="12" t="n">
        <f aca="false">INT(E1830)</f>
        <v>45798</v>
      </c>
      <c r="O1830" s="12" t="n">
        <f aca="false">IF(F1830="","",INT(F1830))</f>
        <v>45800</v>
      </c>
    </row>
    <row r="1831" customFormat="false" ht="15" hidden="false" customHeight="false" outlineLevel="0" collapsed="false">
      <c r="A1831" s="0" t="s">
        <v>3704</v>
      </c>
      <c r="B1831" s="0" t="s">
        <v>3705</v>
      </c>
      <c r="C1831" s="0" t="s">
        <v>24</v>
      </c>
      <c r="D1831" s="0" t="s">
        <v>42</v>
      </c>
      <c r="E1831" s="10" t="n">
        <v>45798.4131944445</v>
      </c>
      <c r="F1831" s="10" t="n">
        <v>45799.3445023148</v>
      </c>
      <c r="G1831" s="0" t="n">
        <v>177.53</v>
      </c>
      <c r="H1831" s="0" t="n">
        <v>173.65</v>
      </c>
      <c r="I1831" s="11" t="n">
        <f aca="false">H1831-G1831</f>
        <v>-3.88</v>
      </c>
      <c r="J1831" s="5" t="n">
        <f aca="false">IF(G1831=0,"",I1831/G1831)</f>
        <v>-0.0218554610488368</v>
      </c>
      <c r="K1831" s="0" t="n">
        <v>54.8</v>
      </c>
      <c r="L1831" s="0" t="n">
        <v>22.35</v>
      </c>
      <c r="M1831" s="11" t="s">
        <v>2769</v>
      </c>
      <c r="N1831" s="12" t="n">
        <f aca="false">INT(E1831)</f>
        <v>45798</v>
      </c>
      <c r="O1831" s="12" t="n">
        <f aca="false">IF(F1831="","",INT(F1831))</f>
        <v>45799</v>
      </c>
    </row>
    <row r="1832" customFormat="false" ht="15" hidden="false" customHeight="false" outlineLevel="0" collapsed="false">
      <c r="A1832" s="0" t="s">
        <v>3706</v>
      </c>
      <c r="B1832" s="0" t="s">
        <v>3707</v>
      </c>
      <c r="C1832" s="0" t="s">
        <v>21</v>
      </c>
      <c r="D1832" s="0" t="s">
        <v>42</v>
      </c>
      <c r="E1832" s="10" t="n">
        <v>45798.4194444444</v>
      </c>
      <c r="F1832" s="10" t="n">
        <v>45798.9131944445</v>
      </c>
      <c r="G1832" s="0" t="n">
        <v>234.67</v>
      </c>
      <c r="H1832" s="0" t="n">
        <v>301.33</v>
      </c>
      <c r="I1832" s="11" t="n">
        <f aca="false">H1832-G1832</f>
        <v>66.66</v>
      </c>
      <c r="J1832" s="5" t="n">
        <f aca="false">IF(G1832=0,"",I1832/G1832)</f>
        <v>0.284058465078621</v>
      </c>
      <c r="K1832" s="0" t="n">
        <v>43.4</v>
      </c>
      <c r="L1832" s="0" t="n">
        <v>11.85</v>
      </c>
      <c r="M1832" s="11" t="s">
        <v>2769</v>
      </c>
      <c r="N1832" s="12" t="n">
        <f aca="false">INT(E1832)</f>
        <v>45798</v>
      </c>
      <c r="O1832" s="12" t="n">
        <f aca="false">IF(F1832="","",INT(F1832))</f>
        <v>45798</v>
      </c>
    </row>
    <row r="1833" customFormat="false" ht="15" hidden="false" customHeight="false" outlineLevel="0" collapsed="false">
      <c r="A1833" s="0" t="s">
        <v>3708</v>
      </c>
      <c r="B1833" s="0" t="s">
        <v>3709</v>
      </c>
      <c r="C1833" s="0" t="s">
        <v>19</v>
      </c>
      <c r="D1833" s="0" t="s">
        <v>42</v>
      </c>
      <c r="E1833" s="10" t="n">
        <v>45798.4208333333</v>
      </c>
      <c r="F1833" s="10" t="n">
        <v>45799.0270833333</v>
      </c>
      <c r="G1833" s="0" t="n">
        <v>609.86</v>
      </c>
      <c r="H1833" s="0" t="n">
        <v>609.68</v>
      </c>
      <c r="I1833" s="11" t="n">
        <f aca="false">H1833-G1833</f>
        <v>-0.180000000000064</v>
      </c>
      <c r="J1833" s="5" t="n">
        <f aca="false">IF(G1833=0,"",I1833/G1833)</f>
        <v>-0.000295149706490119</v>
      </c>
      <c r="K1833" s="0" t="n">
        <v>101</v>
      </c>
      <c r="L1833" s="0" t="n">
        <v>14.55</v>
      </c>
      <c r="M1833" s="11" t="s">
        <v>2769</v>
      </c>
      <c r="N1833" s="12" t="n">
        <f aca="false">INT(E1833)</f>
        <v>45798</v>
      </c>
      <c r="O1833" s="12" t="n">
        <f aca="false">IF(F1833="","",INT(F1833))</f>
        <v>45799</v>
      </c>
    </row>
    <row r="1834" customFormat="false" ht="15" hidden="false" customHeight="false" outlineLevel="0" collapsed="false">
      <c r="A1834" s="0" t="s">
        <v>3710</v>
      </c>
      <c r="B1834" s="0" t="s">
        <v>3711</v>
      </c>
      <c r="C1834" s="0" t="s">
        <v>23</v>
      </c>
      <c r="D1834" s="0" t="s">
        <v>303</v>
      </c>
      <c r="E1834" s="10" t="n">
        <v>45798.4645833333</v>
      </c>
      <c r="F1834" s="10"/>
      <c r="G1834" s="0" t="n">
        <v>224.72</v>
      </c>
      <c r="H1834" s="0" t="n">
        <v>219.47</v>
      </c>
      <c r="I1834" s="11" t="n">
        <f aca="false">H1834-G1834</f>
        <v>-5.25</v>
      </c>
      <c r="J1834" s="5" t="n">
        <f aca="false">IF(G1834=0,"",I1834/G1834)</f>
        <v>-0.0233624065503738</v>
      </c>
      <c r="K1834" s="0" t="n">
        <v>50.6</v>
      </c>
      <c r="M1834" s="11" t="s">
        <v>2769</v>
      </c>
      <c r="N1834" s="12" t="n">
        <f aca="false">INT(E1834)</f>
        <v>45798</v>
      </c>
      <c r="O1834" s="12" t="str">
        <f aca="false">IF(F1834="","",INT(F1834))</f>
        <v/>
      </c>
    </row>
    <row r="1835" customFormat="false" ht="15" hidden="false" customHeight="false" outlineLevel="0" collapsed="false">
      <c r="A1835" s="0" t="s">
        <v>3712</v>
      </c>
      <c r="B1835" s="0" t="s">
        <v>3713</v>
      </c>
      <c r="C1835" s="0" t="s">
        <v>24</v>
      </c>
      <c r="D1835" s="0" t="s">
        <v>42</v>
      </c>
      <c r="E1835" s="10" t="n">
        <v>45798.4729166667</v>
      </c>
      <c r="F1835" s="10" t="n">
        <v>45799.6953935185</v>
      </c>
      <c r="G1835" s="0" t="n">
        <v>88.15</v>
      </c>
      <c r="H1835" s="0" t="n">
        <v>64.89</v>
      </c>
      <c r="I1835" s="11" t="n">
        <f aca="false">H1835-G1835</f>
        <v>-23.26</v>
      </c>
      <c r="J1835" s="5" t="n">
        <f aca="false">IF(G1835=0,"",I1835/G1835)</f>
        <v>-0.263868406125922</v>
      </c>
      <c r="K1835" s="0" t="n">
        <v>33.9</v>
      </c>
      <c r="L1835" s="0" t="n">
        <v>29.34</v>
      </c>
      <c r="M1835" s="11" t="s">
        <v>2769</v>
      </c>
      <c r="N1835" s="12" t="n">
        <f aca="false">INT(E1835)</f>
        <v>45798</v>
      </c>
      <c r="O1835" s="12" t="n">
        <f aca="false">IF(F1835="","",INT(F1835))</f>
        <v>45799</v>
      </c>
    </row>
    <row r="1836" customFormat="false" ht="15" hidden="false" customHeight="false" outlineLevel="0" collapsed="false">
      <c r="A1836" s="0" t="s">
        <v>3714</v>
      </c>
      <c r="B1836" s="0" t="s">
        <v>3715</v>
      </c>
      <c r="C1836" s="0" t="s">
        <v>19</v>
      </c>
      <c r="D1836" s="0" t="s">
        <v>42</v>
      </c>
      <c r="E1836" s="10" t="n">
        <v>45798.4826388889</v>
      </c>
      <c r="F1836" s="10" t="n">
        <v>45800.8097222222</v>
      </c>
      <c r="G1836" s="0" t="n">
        <v>101.86</v>
      </c>
      <c r="H1836" s="0" t="n">
        <v>102.24</v>
      </c>
      <c r="I1836" s="11" t="n">
        <f aca="false">H1836-G1836</f>
        <v>0.379999999999995</v>
      </c>
      <c r="J1836" s="5" t="n">
        <f aca="false">IF(G1836=0,"",I1836/G1836)</f>
        <v>0.00373061064205768</v>
      </c>
      <c r="K1836" s="0" t="n">
        <v>17.9</v>
      </c>
      <c r="L1836" s="0" t="n">
        <v>55.85</v>
      </c>
      <c r="M1836" s="11" t="s">
        <v>2769</v>
      </c>
      <c r="N1836" s="12" t="n">
        <f aca="false">INT(E1836)</f>
        <v>45798</v>
      </c>
      <c r="O1836" s="12" t="n">
        <f aca="false">IF(F1836="","",INT(F1836))</f>
        <v>45800</v>
      </c>
    </row>
    <row r="1837" customFormat="false" ht="15" hidden="false" customHeight="false" outlineLevel="0" collapsed="false">
      <c r="A1837" s="0" t="s">
        <v>3716</v>
      </c>
      <c r="B1837" s="0" t="s">
        <v>3717</v>
      </c>
      <c r="C1837" s="0" t="s">
        <v>23</v>
      </c>
      <c r="D1837" s="0" t="s">
        <v>42</v>
      </c>
      <c r="E1837" s="10" t="n">
        <v>45798.4909722222</v>
      </c>
      <c r="F1837" s="10" t="n">
        <v>45801.2152777778</v>
      </c>
      <c r="G1837" s="0" t="n">
        <v>710.61</v>
      </c>
      <c r="H1837" s="0" t="n">
        <v>686.94</v>
      </c>
      <c r="I1837" s="11" t="n">
        <f aca="false">H1837-G1837</f>
        <v>-23.67</v>
      </c>
      <c r="J1837" s="5" t="n">
        <f aca="false">IF(G1837=0,"",I1837/G1837)</f>
        <v>-0.0333094102250179</v>
      </c>
      <c r="K1837" s="0" t="n">
        <v>162.8</v>
      </c>
      <c r="L1837" s="0" t="n">
        <v>60.22</v>
      </c>
      <c r="M1837" s="11" t="s">
        <v>2769</v>
      </c>
      <c r="N1837" s="12" t="n">
        <f aca="false">INT(E1837)</f>
        <v>45798</v>
      </c>
      <c r="O1837" s="12" t="n">
        <f aca="false">IF(F1837="","",INT(F1837))</f>
        <v>45801</v>
      </c>
    </row>
    <row r="1838" customFormat="false" ht="15" hidden="false" customHeight="false" outlineLevel="0" collapsed="false">
      <c r="A1838" s="0" t="s">
        <v>3718</v>
      </c>
      <c r="B1838" s="0" t="s">
        <v>3719</v>
      </c>
      <c r="C1838" s="0" t="s">
        <v>22</v>
      </c>
      <c r="D1838" s="0" t="s">
        <v>42</v>
      </c>
      <c r="E1838" s="10" t="n">
        <v>45798.4923611111</v>
      </c>
      <c r="F1838" s="10" t="n">
        <v>45798.8486111111</v>
      </c>
      <c r="G1838" s="0" t="n">
        <v>332.77</v>
      </c>
      <c r="H1838" s="0" t="n">
        <v>332.03</v>
      </c>
      <c r="I1838" s="11" t="n">
        <f aca="false">H1838-G1838</f>
        <v>-0.740000000000009</v>
      </c>
      <c r="J1838" s="5" t="n">
        <f aca="false">IF(G1838=0,"",I1838/G1838)</f>
        <v>-0.00222375815127568</v>
      </c>
      <c r="K1838" s="0" t="n">
        <v>60.6</v>
      </c>
      <c r="L1838" s="0" t="n">
        <v>8.55</v>
      </c>
      <c r="M1838" s="11" t="s">
        <v>2769</v>
      </c>
      <c r="N1838" s="12" t="n">
        <f aca="false">INT(E1838)</f>
        <v>45798</v>
      </c>
      <c r="O1838" s="12" t="n">
        <f aca="false">IF(F1838="","",INT(F1838))</f>
        <v>45798</v>
      </c>
    </row>
    <row r="1839" customFormat="false" ht="15" hidden="false" customHeight="false" outlineLevel="0" collapsed="false">
      <c r="A1839" s="0" t="s">
        <v>3720</v>
      </c>
      <c r="B1839" s="0" t="s">
        <v>3721</v>
      </c>
      <c r="C1839" s="0" t="s">
        <v>23</v>
      </c>
      <c r="D1839" s="0" t="s">
        <v>48</v>
      </c>
      <c r="E1839" s="10" t="n">
        <v>45798.4965277778</v>
      </c>
      <c r="F1839" s="10"/>
      <c r="G1839" s="0" t="n">
        <v>166.48</v>
      </c>
      <c r="H1839" s="0" t="n">
        <v>168.42</v>
      </c>
      <c r="I1839" s="11" t="n">
        <f aca="false">H1839-G1839</f>
        <v>1.94</v>
      </c>
      <c r="J1839" s="5" t="n">
        <f aca="false">IF(G1839=0,"",I1839/G1839)</f>
        <v>0.0116530514175877</v>
      </c>
      <c r="K1839" s="0" t="n">
        <v>56.4</v>
      </c>
      <c r="M1839" s="11" t="s">
        <v>2769</v>
      </c>
      <c r="N1839" s="12" t="n">
        <f aca="false">INT(E1839)</f>
        <v>45798</v>
      </c>
      <c r="O1839" s="12" t="str">
        <f aca="false">IF(F1839="","",INT(F1839))</f>
        <v/>
      </c>
    </row>
    <row r="1840" customFormat="false" ht="15" hidden="false" customHeight="false" outlineLevel="0" collapsed="false">
      <c r="A1840" s="0" t="s">
        <v>3722</v>
      </c>
      <c r="B1840" s="0" t="s">
        <v>3723</v>
      </c>
      <c r="C1840" s="0" t="s">
        <v>20</v>
      </c>
      <c r="D1840" s="0" t="s">
        <v>42</v>
      </c>
      <c r="E1840" s="10" t="n">
        <v>45798.4972222222</v>
      </c>
      <c r="F1840" s="10" t="n">
        <v>45799.0993055556</v>
      </c>
      <c r="G1840" s="0" t="n">
        <v>871.67</v>
      </c>
      <c r="H1840" s="0" t="n">
        <v>864.09</v>
      </c>
      <c r="I1840" s="11" t="n">
        <f aca="false">H1840-G1840</f>
        <v>-7.57999999999993</v>
      </c>
      <c r="J1840" s="5" t="n">
        <f aca="false">IF(G1840=0,"",I1840/G1840)</f>
        <v>-0.00869595144951636</v>
      </c>
      <c r="K1840" s="0" t="n">
        <v>131.4</v>
      </c>
      <c r="L1840" s="0" t="n">
        <v>14.45</v>
      </c>
      <c r="M1840" s="11" t="s">
        <v>2769</v>
      </c>
      <c r="N1840" s="12" t="n">
        <f aca="false">INT(E1840)</f>
        <v>45798</v>
      </c>
      <c r="O1840" s="12" t="n">
        <f aca="false">IF(F1840="","",INT(F1840))</f>
        <v>45799</v>
      </c>
    </row>
    <row r="1841" customFormat="false" ht="15" hidden="false" customHeight="false" outlineLevel="0" collapsed="false">
      <c r="A1841" s="0" t="s">
        <v>3724</v>
      </c>
      <c r="B1841" s="0" t="s">
        <v>3725</v>
      </c>
      <c r="C1841" s="0" t="s">
        <v>23</v>
      </c>
      <c r="D1841" s="0" t="s">
        <v>42</v>
      </c>
      <c r="E1841" s="10" t="n">
        <v>45798.5006944445</v>
      </c>
      <c r="F1841" s="10" t="n">
        <v>45802.2708333333</v>
      </c>
      <c r="G1841" s="0" t="n">
        <v>384.39</v>
      </c>
      <c r="H1841" s="0" t="n">
        <v>388.35</v>
      </c>
      <c r="I1841" s="11" t="n">
        <f aca="false">H1841-G1841</f>
        <v>3.96000000000004</v>
      </c>
      <c r="J1841" s="5" t="n">
        <f aca="false">IF(G1841=0,"",I1841/G1841)</f>
        <v>0.0103020369936784</v>
      </c>
      <c r="K1841" s="0" t="n">
        <v>88.4</v>
      </c>
      <c r="L1841" s="0" t="n">
        <v>59.98</v>
      </c>
      <c r="M1841" s="11" t="s">
        <v>2769</v>
      </c>
      <c r="N1841" s="12" t="n">
        <f aca="false">INT(E1841)</f>
        <v>45798</v>
      </c>
      <c r="O1841" s="12" t="n">
        <f aca="false">IF(F1841="","",INT(F1841))</f>
        <v>45802</v>
      </c>
    </row>
    <row r="1842" customFormat="false" ht="15" hidden="false" customHeight="false" outlineLevel="0" collapsed="false">
      <c r="A1842" s="0" t="s">
        <v>3726</v>
      </c>
      <c r="B1842" s="0" t="s">
        <v>3727</v>
      </c>
      <c r="C1842" s="0" t="s">
        <v>21</v>
      </c>
      <c r="D1842" s="0" t="s">
        <v>42</v>
      </c>
      <c r="E1842" s="10" t="n">
        <v>45798.5090277778</v>
      </c>
      <c r="F1842" s="10" t="n">
        <v>45799.3389699074</v>
      </c>
      <c r="G1842" s="0" t="n">
        <v>248.4</v>
      </c>
      <c r="H1842" s="0" t="n">
        <v>252.79</v>
      </c>
      <c r="I1842" s="11" t="n">
        <f aca="false">H1842-G1842</f>
        <v>4.38999999999999</v>
      </c>
      <c r="J1842" s="5" t="n">
        <f aca="false">IF(G1842=0,"",I1842/G1842)</f>
        <v>0.0176731078904991</v>
      </c>
      <c r="K1842" s="0" t="n">
        <v>31.9</v>
      </c>
      <c r="L1842" s="0" t="n">
        <v>19.92</v>
      </c>
      <c r="M1842" s="11" t="s">
        <v>2769</v>
      </c>
      <c r="N1842" s="12" t="n">
        <f aca="false">INT(E1842)</f>
        <v>45798</v>
      </c>
      <c r="O1842" s="12" t="n">
        <f aca="false">IF(F1842="","",INT(F1842))</f>
        <v>45799</v>
      </c>
    </row>
    <row r="1843" customFormat="false" ht="15" hidden="false" customHeight="false" outlineLevel="0" collapsed="false">
      <c r="A1843" s="0" t="s">
        <v>3728</v>
      </c>
      <c r="B1843" s="0" t="s">
        <v>3729</v>
      </c>
      <c r="C1843" s="0" t="s">
        <v>22</v>
      </c>
      <c r="D1843" s="0" t="s">
        <v>42</v>
      </c>
      <c r="E1843" s="10" t="n">
        <v>45798.5138888889</v>
      </c>
      <c r="F1843" s="10" t="n">
        <v>45799.5458333333</v>
      </c>
      <c r="G1843" s="0" t="n">
        <v>90.18</v>
      </c>
      <c r="H1843" s="0" t="n">
        <v>89.96</v>
      </c>
      <c r="I1843" s="11" t="n">
        <f aca="false">H1843-G1843</f>
        <v>-0.220000000000013</v>
      </c>
      <c r="J1843" s="5" t="n">
        <f aca="false">IF(G1843=0,"",I1843/G1843)</f>
        <v>-0.00243956531381696</v>
      </c>
      <c r="K1843" s="0" t="n">
        <v>16.3</v>
      </c>
      <c r="L1843" s="0" t="n">
        <v>24.77</v>
      </c>
      <c r="M1843" s="11" t="s">
        <v>2769</v>
      </c>
      <c r="N1843" s="12" t="n">
        <f aca="false">INT(E1843)</f>
        <v>45798</v>
      </c>
      <c r="O1843" s="12" t="n">
        <f aca="false">IF(F1843="","",INT(F1843))</f>
        <v>45799</v>
      </c>
    </row>
    <row r="1844" customFormat="false" ht="15" hidden="false" customHeight="false" outlineLevel="0" collapsed="false">
      <c r="A1844" s="0" t="s">
        <v>3730</v>
      </c>
      <c r="B1844" s="0" t="s">
        <v>3731</v>
      </c>
      <c r="C1844" s="0" t="s">
        <v>23</v>
      </c>
      <c r="D1844" s="0" t="s">
        <v>48</v>
      </c>
      <c r="E1844" s="10" t="n">
        <v>45798.5548611111</v>
      </c>
      <c r="F1844" s="10"/>
      <c r="G1844" s="0" t="n">
        <v>419.68</v>
      </c>
      <c r="H1844" s="0" t="n">
        <v>427.62</v>
      </c>
      <c r="I1844" s="11" t="n">
        <f aca="false">H1844-G1844</f>
        <v>7.94</v>
      </c>
      <c r="J1844" s="5" t="n">
        <f aca="false">IF(G1844=0,"",I1844/G1844)</f>
        <v>0.0189191765154403</v>
      </c>
      <c r="K1844" s="0" t="n">
        <v>157</v>
      </c>
      <c r="M1844" s="11" t="s">
        <v>2769</v>
      </c>
      <c r="N1844" s="12" t="n">
        <f aca="false">INT(E1844)</f>
        <v>45798</v>
      </c>
      <c r="O1844" s="12" t="str">
        <f aca="false">IF(F1844="","",INT(F1844))</f>
        <v/>
      </c>
    </row>
    <row r="1845" customFormat="false" ht="15" hidden="false" customHeight="false" outlineLevel="0" collapsed="false">
      <c r="A1845" s="0" t="s">
        <v>3732</v>
      </c>
      <c r="B1845" s="0" t="s">
        <v>3733</v>
      </c>
      <c r="C1845" s="0" t="s">
        <v>22</v>
      </c>
      <c r="D1845" s="0" t="s">
        <v>48</v>
      </c>
      <c r="E1845" s="10" t="n">
        <v>45798.5576388889</v>
      </c>
      <c r="F1845" s="10"/>
      <c r="G1845" s="0" t="n">
        <v>142.31</v>
      </c>
      <c r="H1845" s="0" t="n">
        <v>145.78</v>
      </c>
      <c r="I1845" s="11" t="n">
        <f aca="false">H1845-G1845</f>
        <v>3.47</v>
      </c>
      <c r="J1845" s="5" t="n">
        <f aca="false">IF(G1845=0,"",I1845/G1845)</f>
        <v>0.0243833883774858</v>
      </c>
      <c r="K1845" s="0" t="n">
        <v>29.8</v>
      </c>
      <c r="M1845" s="11" t="s">
        <v>2769</v>
      </c>
      <c r="N1845" s="12" t="n">
        <f aca="false">INT(E1845)</f>
        <v>45798</v>
      </c>
      <c r="O1845" s="12" t="str">
        <f aca="false">IF(F1845="","",INT(F1845))</f>
        <v/>
      </c>
    </row>
    <row r="1846" customFormat="false" ht="15" hidden="false" customHeight="false" outlineLevel="0" collapsed="false">
      <c r="A1846" s="0" t="s">
        <v>3734</v>
      </c>
      <c r="B1846" s="0" t="s">
        <v>3735</v>
      </c>
      <c r="C1846" s="0" t="s">
        <v>21</v>
      </c>
      <c r="D1846" s="0" t="s">
        <v>42</v>
      </c>
      <c r="E1846" s="10" t="n">
        <v>45798.5638888889</v>
      </c>
      <c r="F1846" s="10" t="n">
        <v>45798.8472222222</v>
      </c>
      <c r="G1846" s="0" t="n">
        <v>1089.57</v>
      </c>
      <c r="H1846" s="0" t="n">
        <v>1063.27</v>
      </c>
      <c r="I1846" s="11" t="n">
        <f aca="false">H1846-G1846</f>
        <v>-26.3</v>
      </c>
      <c r="J1846" s="5" t="n">
        <f aca="false">IF(G1846=0,"",I1846/G1846)</f>
        <v>-0.0241379626825261</v>
      </c>
      <c r="K1846" s="0" t="n">
        <v>183.9</v>
      </c>
      <c r="L1846" s="0" t="n">
        <v>6.8</v>
      </c>
      <c r="M1846" s="11" t="s">
        <v>2769</v>
      </c>
      <c r="N1846" s="12" t="n">
        <f aca="false">INT(E1846)</f>
        <v>45798</v>
      </c>
      <c r="O1846" s="12" t="n">
        <f aca="false">IF(F1846="","",INT(F1846))</f>
        <v>45798</v>
      </c>
    </row>
    <row r="1847" customFormat="false" ht="15" hidden="false" customHeight="false" outlineLevel="0" collapsed="false">
      <c r="A1847" s="0" t="s">
        <v>3736</v>
      </c>
      <c r="B1847" s="0" t="s">
        <v>3737</v>
      </c>
      <c r="C1847" s="0" t="s">
        <v>21</v>
      </c>
      <c r="D1847" s="0" t="s">
        <v>42</v>
      </c>
      <c r="E1847" s="10" t="n">
        <v>45798.5680555556</v>
      </c>
      <c r="F1847" s="10" t="n">
        <v>45799.1381944444</v>
      </c>
      <c r="G1847" s="0" t="n">
        <v>3524.83</v>
      </c>
      <c r="H1847" s="0" t="n">
        <v>3420.36</v>
      </c>
      <c r="I1847" s="11" t="n">
        <f aca="false">H1847-G1847</f>
        <v>-104.47</v>
      </c>
      <c r="J1847" s="5" t="n">
        <f aca="false">IF(G1847=0,"",I1847/G1847)</f>
        <v>-0.029638308797871</v>
      </c>
      <c r="K1847" s="0" t="n">
        <v>432.8</v>
      </c>
      <c r="L1847" s="0" t="n">
        <v>13.68</v>
      </c>
      <c r="M1847" s="11" t="s">
        <v>2769</v>
      </c>
      <c r="N1847" s="12" t="n">
        <f aca="false">INT(E1847)</f>
        <v>45798</v>
      </c>
      <c r="O1847" s="12" t="n">
        <f aca="false">IF(F1847="","",INT(F1847))</f>
        <v>45799</v>
      </c>
    </row>
    <row r="1848" customFormat="false" ht="15" hidden="false" customHeight="false" outlineLevel="0" collapsed="false">
      <c r="A1848" s="0" t="s">
        <v>3738</v>
      </c>
      <c r="B1848" s="0" t="s">
        <v>3739</v>
      </c>
      <c r="C1848" s="0" t="s">
        <v>23</v>
      </c>
      <c r="D1848" s="0" t="s">
        <v>42</v>
      </c>
      <c r="E1848" s="10" t="n">
        <v>45798.5729166667</v>
      </c>
      <c r="F1848" s="10" t="n">
        <v>45799.2270833333</v>
      </c>
      <c r="G1848" s="0" t="n">
        <v>330.3</v>
      </c>
      <c r="H1848" s="0" t="n">
        <v>326.21</v>
      </c>
      <c r="I1848" s="11" t="n">
        <f aca="false">H1848-G1848</f>
        <v>-4.09000000000003</v>
      </c>
      <c r="J1848" s="5" t="n">
        <f aca="false">IF(G1848=0,"",I1848/G1848)</f>
        <v>-0.0123826824099305</v>
      </c>
      <c r="K1848" s="0" t="n">
        <v>107.4</v>
      </c>
      <c r="L1848" s="0" t="n">
        <v>15.7</v>
      </c>
      <c r="M1848" s="11" t="s">
        <v>2769</v>
      </c>
      <c r="N1848" s="12" t="n">
        <f aca="false">INT(E1848)</f>
        <v>45798</v>
      </c>
      <c r="O1848" s="12" t="n">
        <f aca="false">IF(F1848="","",INT(F1848))</f>
        <v>45799</v>
      </c>
    </row>
    <row r="1849" customFormat="false" ht="15" hidden="false" customHeight="false" outlineLevel="0" collapsed="false">
      <c r="A1849" s="0" t="s">
        <v>3740</v>
      </c>
      <c r="B1849" s="0" t="s">
        <v>3741</v>
      </c>
      <c r="C1849" s="0" t="s">
        <v>21</v>
      </c>
      <c r="D1849" s="0" t="s">
        <v>42</v>
      </c>
      <c r="E1849" s="10" t="n">
        <v>45798.5777777778</v>
      </c>
      <c r="F1849" s="10" t="n">
        <v>45798.7395833333</v>
      </c>
      <c r="G1849" s="0" t="n">
        <v>203.46</v>
      </c>
      <c r="H1849" s="0" t="n">
        <v>200.16</v>
      </c>
      <c r="I1849" s="11" t="n">
        <f aca="false">H1849-G1849</f>
        <v>-3.30000000000001</v>
      </c>
      <c r="J1849" s="5" t="n">
        <f aca="false">IF(G1849=0,"",I1849/G1849)</f>
        <v>-0.0162194043055147</v>
      </c>
      <c r="K1849" s="0" t="n">
        <v>36.5</v>
      </c>
      <c r="L1849" s="0" t="n">
        <v>3.88</v>
      </c>
      <c r="M1849" s="11" t="s">
        <v>2769</v>
      </c>
      <c r="N1849" s="12" t="n">
        <f aca="false">INT(E1849)</f>
        <v>45798</v>
      </c>
      <c r="O1849" s="12" t="n">
        <f aca="false">IF(F1849="","",INT(F1849))</f>
        <v>45798</v>
      </c>
    </row>
    <row r="1850" customFormat="false" ht="15" hidden="false" customHeight="false" outlineLevel="0" collapsed="false">
      <c r="A1850" s="0" t="s">
        <v>3742</v>
      </c>
      <c r="B1850" s="0" t="s">
        <v>3743</v>
      </c>
      <c r="C1850" s="0" t="s">
        <v>23</v>
      </c>
      <c r="D1850" s="0" t="s">
        <v>42</v>
      </c>
      <c r="E1850" s="10" t="n">
        <v>45798.5798611111</v>
      </c>
      <c r="F1850" s="10" t="n">
        <v>45799.0584606482</v>
      </c>
      <c r="G1850" s="0" t="n">
        <v>3901.79</v>
      </c>
      <c r="H1850" s="0" t="n">
        <v>3917.49</v>
      </c>
      <c r="I1850" s="11" t="n">
        <f aca="false">H1850-G1850</f>
        <v>15.6999999999998</v>
      </c>
      <c r="J1850" s="5" t="n">
        <f aca="false">IF(G1850=0,"",I1850/G1850)</f>
        <v>0.00402379420727405</v>
      </c>
      <c r="K1850" s="0" t="n">
        <v>1545</v>
      </c>
      <c r="L1850" s="0" t="n">
        <v>11.49</v>
      </c>
      <c r="M1850" s="11" t="s">
        <v>2769</v>
      </c>
      <c r="N1850" s="12" t="n">
        <f aca="false">INT(E1850)</f>
        <v>45798</v>
      </c>
      <c r="O1850" s="12" t="n">
        <f aca="false">IF(F1850="","",INT(F1850))</f>
        <v>45799</v>
      </c>
    </row>
    <row r="1851" customFormat="false" ht="15" hidden="false" customHeight="false" outlineLevel="0" collapsed="false">
      <c r="A1851" s="0" t="s">
        <v>3744</v>
      </c>
      <c r="B1851" s="0" t="s">
        <v>3745</v>
      </c>
      <c r="C1851" s="0" t="s">
        <v>19</v>
      </c>
      <c r="D1851" s="0" t="s">
        <v>42</v>
      </c>
      <c r="E1851" s="10" t="n">
        <v>45798.6194444444</v>
      </c>
      <c r="F1851" s="10" t="n">
        <v>45799.3944444444</v>
      </c>
      <c r="G1851" s="0" t="n">
        <v>342.66</v>
      </c>
      <c r="H1851" s="0" t="n">
        <v>348.27</v>
      </c>
      <c r="I1851" s="11" t="n">
        <f aca="false">H1851-G1851</f>
        <v>5.60999999999996</v>
      </c>
      <c r="J1851" s="5" t="n">
        <f aca="false">IF(G1851=0,"",I1851/G1851)</f>
        <v>0.0163719138504639</v>
      </c>
      <c r="K1851" s="0" t="n">
        <v>52.3</v>
      </c>
      <c r="L1851" s="0" t="n">
        <v>18.6</v>
      </c>
      <c r="M1851" s="11" t="s">
        <v>2769</v>
      </c>
      <c r="N1851" s="12" t="n">
        <f aca="false">INT(E1851)</f>
        <v>45798</v>
      </c>
      <c r="O1851" s="12" t="n">
        <f aca="false">IF(F1851="","",INT(F1851))</f>
        <v>45799</v>
      </c>
    </row>
    <row r="1852" customFormat="false" ht="15" hidden="false" customHeight="false" outlineLevel="0" collapsed="false">
      <c r="A1852" s="0" t="s">
        <v>3746</v>
      </c>
      <c r="B1852" s="0" t="s">
        <v>3747</v>
      </c>
      <c r="C1852" s="0" t="s">
        <v>21</v>
      </c>
      <c r="D1852" s="0" t="s">
        <v>42</v>
      </c>
      <c r="E1852" s="10" t="n">
        <v>45798.6361111111</v>
      </c>
      <c r="F1852" s="10" t="n">
        <v>45799.0618055556</v>
      </c>
      <c r="G1852" s="0" t="n">
        <v>76.74</v>
      </c>
      <c r="H1852" s="0" t="n">
        <v>79.76</v>
      </c>
      <c r="I1852" s="11" t="n">
        <f aca="false">H1852-G1852</f>
        <v>3.02000000000001</v>
      </c>
      <c r="J1852" s="5" t="n">
        <f aca="false">IF(G1852=0,"",I1852/G1852)</f>
        <v>0.0393536617148816</v>
      </c>
      <c r="K1852" s="0" t="n">
        <v>17</v>
      </c>
      <c r="L1852" s="0" t="n">
        <v>10.22</v>
      </c>
      <c r="M1852" s="11" t="s">
        <v>2769</v>
      </c>
      <c r="N1852" s="12" t="n">
        <f aca="false">INT(E1852)</f>
        <v>45798</v>
      </c>
      <c r="O1852" s="12" t="n">
        <f aca="false">IF(F1852="","",INT(F1852))</f>
        <v>45799</v>
      </c>
    </row>
    <row r="1853" customFormat="false" ht="15" hidden="false" customHeight="false" outlineLevel="0" collapsed="false">
      <c r="A1853" s="0" t="s">
        <v>3748</v>
      </c>
      <c r="B1853" s="0" t="s">
        <v>3749</v>
      </c>
      <c r="C1853" s="0" t="s">
        <v>19</v>
      </c>
      <c r="D1853" s="0" t="s">
        <v>42</v>
      </c>
      <c r="E1853" s="10" t="n">
        <v>45798.6368055556</v>
      </c>
      <c r="F1853" s="10" t="n">
        <v>45799.3395833333</v>
      </c>
      <c r="G1853" s="0" t="n">
        <v>233.53</v>
      </c>
      <c r="H1853" s="0" t="n">
        <v>238.82</v>
      </c>
      <c r="I1853" s="11" t="n">
        <f aca="false">H1853-G1853</f>
        <v>5.28999999999999</v>
      </c>
      <c r="J1853" s="5" t="n">
        <f aca="false">IF(G1853=0,"",I1853/G1853)</f>
        <v>0.0226523358883227</v>
      </c>
      <c r="K1853" s="0" t="n">
        <v>27.4</v>
      </c>
      <c r="L1853" s="0" t="n">
        <v>16.87</v>
      </c>
      <c r="M1853" s="11" t="s">
        <v>2769</v>
      </c>
      <c r="N1853" s="12" t="n">
        <f aca="false">INT(E1853)</f>
        <v>45798</v>
      </c>
      <c r="O1853" s="12" t="n">
        <f aca="false">IF(F1853="","",INT(F1853))</f>
        <v>45799</v>
      </c>
    </row>
    <row r="1854" customFormat="false" ht="15" hidden="false" customHeight="false" outlineLevel="0" collapsed="false">
      <c r="A1854" s="0" t="s">
        <v>3750</v>
      </c>
      <c r="B1854" s="0" t="s">
        <v>3751</v>
      </c>
      <c r="C1854" s="0" t="s">
        <v>21</v>
      </c>
      <c r="D1854" s="0" t="s">
        <v>42</v>
      </c>
      <c r="E1854" s="10" t="n">
        <v>45798.6423611111</v>
      </c>
      <c r="F1854" s="10" t="n">
        <v>45799.2502893519</v>
      </c>
      <c r="G1854" s="0" t="n">
        <v>383.36</v>
      </c>
      <c r="H1854" s="0" t="n">
        <v>378.39</v>
      </c>
      <c r="I1854" s="11" t="n">
        <f aca="false">H1854-G1854</f>
        <v>-4.97000000000003</v>
      </c>
      <c r="J1854" s="5" t="n">
        <f aca="false">IF(G1854=0,"",I1854/G1854)</f>
        <v>-0.0129643155258765</v>
      </c>
      <c r="K1854" s="0" t="n">
        <v>48.8</v>
      </c>
      <c r="L1854" s="0" t="n">
        <v>14.59</v>
      </c>
      <c r="M1854" s="11" t="s">
        <v>2769</v>
      </c>
      <c r="N1854" s="12" t="n">
        <f aca="false">INT(E1854)</f>
        <v>45798</v>
      </c>
      <c r="O1854" s="12" t="n">
        <f aca="false">IF(F1854="","",INT(F1854))</f>
        <v>45799</v>
      </c>
    </row>
    <row r="1855" customFormat="false" ht="15" hidden="false" customHeight="false" outlineLevel="0" collapsed="false">
      <c r="A1855" s="0" t="s">
        <v>3752</v>
      </c>
      <c r="B1855" s="0" t="s">
        <v>3753</v>
      </c>
      <c r="C1855" s="0" t="s">
        <v>22</v>
      </c>
      <c r="D1855" s="0" t="s">
        <v>42</v>
      </c>
      <c r="E1855" s="10" t="n">
        <v>45798.6506944444</v>
      </c>
      <c r="F1855" s="10" t="n">
        <v>45799.4796759259</v>
      </c>
      <c r="G1855" s="0" t="n">
        <v>197.12</v>
      </c>
      <c r="H1855" s="0" t="n">
        <v>157.96</v>
      </c>
      <c r="I1855" s="11" t="n">
        <f aca="false">H1855-G1855</f>
        <v>-39.16</v>
      </c>
      <c r="J1855" s="5" t="n">
        <f aca="false">IF(G1855=0,"",I1855/G1855)</f>
        <v>-0.198660714285714</v>
      </c>
      <c r="K1855" s="0" t="n">
        <v>28.7</v>
      </c>
      <c r="L1855" s="0" t="n">
        <v>19.9</v>
      </c>
      <c r="M1855" s="11" t="s">
        <v>2769</v>
      </c>
      <c r="N1855" s="12" t="n">
        <f aca="false">INT(E1855)</f>
        <v>45798</v>
      </c>
      <c r="O1855" s="12" t="n">
        <f aca="false">IF(F1855="","",INT(F1855))</f>
        <v>45799</v>
      </c>
    </row>
    <row r="1856" customFormat="false" ht="15" hidden="false" customHeight="false" outlineLevel="0" collapsed="false">
      <c r="A1856" s="0" t="s">
        <v>3754</v>
      </c>
      <c r="B1856" s="0" t="s">
        <v>3755</v>
      </c>
      <c r="C1856" s="0" t="s">
        <v>21</v>
      </c>
      <c r="D1856" s="0" t="s">
        <v>48</v>
      </c>
      <c r="E1856" s="10" t="n">
        <v>45798.66875</v>
      </c>
      <c r="F1856" s="10"/>
      <c r="G1856" s="0" t="n">
        <v>758.89</v>
      </c>
      <c r="H1856" s="0" t="n">
        <v>772.73</v>
      </c>
      <c r="I1856" s="11" t="n">
        <f aca="false">H1856-G1856</f>
        <v>13.84</v>
      </c>
      <c r="J1856" s="5" t="n">
        <f aca="false">IF(G1856=0,"",I1856/G1856)</f>
        <v>0.0182371621710657</v>
      </c>
      <c r="K1856" s="0" t="n">
        <v>100.2</v>
      </c>
      <c r="M1856" s="11" t="s">
        <v>2769</v>
      </c>
      <c r="N1856" s="12" t="n">
        <f aca="false">INT(E1856)</f>
        <v>45798</v>
      </c>
      <c r="O1856" s="12" t="str">
        <f aca="false">IF(F1856="","",INT(F1856))</f>
        <v/>
      </c>
    </row>
    <row r="1857" customFormat="false" ht="15" hidden="false" customHeight="false" outlineLevel="0" collapsed="false">
      <c r="A1857" s="0" t="s">
        <v>3756</v>
      </c>
      <c r="B1857" s="0" t="s">
        <v>3757</v>
      </c>
      <c r="C1857" s="0" t="s">
        <v>21</v>
      </c>
      <c r="D1857" s="0" t="s">
        <v>42</v>
      </c>
      <c r="E1857" s="10" t="n">
        <v>45798.7055555556</v>
      </c>
      <c r="F1857" s="10" t="n">
        <v>45800.0661805556</v>
      </c>
      <c r="G1857" s="0" t="n">
        <v>136.5</v>
      </c>
      <c r="H1857" s="0" t="n">
        <v>143.85</v>
      </c>
      <c r="I1857" s="11" t="n">
        <f aca="false">H1857-G1857</f>
        <v>7.34999999999999</v>
      </c>
      <c r="J1857" s="5" t="n">
        <f aca="false">IF(G1857=0,"",I1857/G1857)</f>
        <v>0.0538461538461538</v>
      </c>
      <c r="K1857" s="0" t="n">
        <v>33.6</v>
      </c>
      <c r="L1857" s="0" t="n">
        <v>32.66</v>
      </c>
      <c r="M1857" s="11" t="s">
        <v>2769</v>
      </c>
      <c r="N1857" s="12" t="n">
        <f aca="false">INT(E1857)</f>
        <v>45798</v>
      </c>
      <c r="O1857" s="12" t="n">
        <f aca="false">IF(F1857="","",INT(F1857))</f>
        <v>45800</v>
      </c>
    </row>
    <row r="1858" customFormat="false" ht="15" hidden="false" customHeight="false" outlineLevel="0" collapsed="false">
      <c r="A1858" s="0" t="s">
        <v>3758</v>
      </c>
      <c r="B1858" s="0" t="s">
        <v>3759</v>
      </c>
      <c r="C1858" s="0" t="s">
        <v>20</v>
      </c>
      <c r="D1858" s="0" t="s">
        <v>42</v>
      </c>
      <c r="E1858" s="10" t="n">
        <v>45798.7118055556</v>
      </c>
      <c r="F1858" s="10" t="n">
        <v>45799.0270023148</v>
      </c>
      <c r="G1858" s="0" t="n">
        <v>565.99</v>
      </c>
      <c r="H1858" s="0" t="n">
        <v>559.51</v>
      </c>
      <c r="I1858" s="11" t="n">
        <f aca="false">H1858-G1858</f>
        <v>-6.48000000000002</v>
      </c>
      <c r="J1858" s="5" t="n">
        <f aca="false">IF(G1858=0,"",I1858/G1858)</f>
        <v>-0.0114489655294263</v>
      </c>
      <c r="K1858" s="0" t="n">
        <v>60</v>
      </c>
      <c r="L1858" s="0" t="n">
        <v>7.56</v>
      </c>
      <c r="M1858" s="11" t="s">
        <v>2769</v>
      </c>
      <c r="N1858" s="12" t="n">
        <f aca="false">INT(E1858)</f>
        <v>45798</v>
      </c>
      <c r="O1858" s="12" t="n">
        <f aca="false">IF(F1858="","",INT(F1858))</f>
        <v>45799</v>
      </c>
    </row>
    <row r="1859" customFormat="false" ht="15" hidden="false" customHeight="false" outlineLevel="0" collapsed="false">
      <c r="A1859" s="0" t="s">
        <v>3760</v>
      </c>
      <c r="B1859" s="0" t="s">
        <v>3761</v>
      </c>
      <c r="C1859" s="0" t="s">
        <v>21</v>
      </c>
      <c r="D1859" s="0" t="s">
        <v>42</v>
      </c>
      <c r="E1859" s="10" t="n">
        <v>45798.7263888889</v>
      </c>
      <c r="F1859" s="10" t="n">
        <v>45799.2319444444</v>
      </c>
      <c r="G1859" s="0" t="n">
        <v>226.03</v>
      </c>
      <c r="H1859" s="0" t="n">
        <v>172.02</v>
      </c>
      <c r="I1859" s="11" t="n">
        <f aca="false">H1859-G1859</f>
        <v>-54.01</v>
      </c>
      <c r="J1859" s="5" t="n">
        <f aca="false">IF(G1859=0,"",I1859/G1859)</f>
        <v>-0.238950581781179</v>
      </c>
      <c r="K1859" s="0" t="n">
        <v>49.7</v>
      </c>
      <c r="L1859" s="0" t="n">
        <v>12.13</v>
      </c>
      <c r="M1859" s="11" t="s">
        <v>2769</v>
      </c>
      <c r="N1859" s="12" t="n">
        <f aca="false">INT(E1859)</f>
        <v>45798</v>
      </c>
      <c r="O1859" s="12" t="n">
        <f aca="false">IF(F1859="","",INT(F1859))</f>
        <v>45799</v>
      </c>
    </row>
    <row r="1860" customFormat="false" ht="15" hidden="false" customHeight="false" outlineLevel="0" collapsed="false">
      <c r="A1860" s="0" t="s">
        <v>3762</v>
      </c>
      <c r="B1860" s="0" t="s">
        <v>3763</v>
      </c>
      <c r="C1860" s="0" t="s">
        <v>23</v>
      </c>
      <c r="D1860" s="0" t="s">
        <v>42</v>
      </c>
      <c r="E1860" s="10" t="n">
        <v>45798.7451388889</v>
      </c>
      <c r="F1860" s="10" t="n">
        <v>45800.4657523148</v>
      </c>
      <c r="G1860" s="0" t="n">
        <v>320.27</v>
      </c>
      <c r="H1860" s="0" t="n">
        <v>320.06</v>
      </c>
      <c r="I1860" s="11" t="n">
        <f aca="false">H1860-G1860</f>
        <v>-0.20999999999998</v>
      </c>
      <c r="J1860" s="5" t="n">
        <f aca="false">IF(G1860=0,"",I1860/G1860)</f>
        <v>-0.000655696755862177</v>
      </c>
      <c r="K1860" s="0" t="n">
        <v>85.4</v>
      </c>
      <c r="L1860" s="0" t="n">
        <v>41.29</v>
      </c>
      <c r="M1860" s="11" t="s">
        <v>2769</v>
      </c>
      <c r="N1860" s="12" t="n">
        <f aca="false">INT(E1860)</f>
        <v>45798</v>
      </c>
      <c r="O1860" s="12" t="n">
        <f aca="false">IF(F1860="","",INT(F1860))</f>
        <v>45800</v>
      </c>
    </row>
    <row r="1861" customFormat="false" ht="15" hidden="false" customHeight="false" outlineLevel="0" collapsed="false">
      <c r="A1861" s="0" t="s">
        <v>3764</v>
      </c>
      <c r="B1861" s="0" t="s">
        <v>3765</v>
      </c>
      <c r="C1861" s="0" t="s">
        <v>22</v>
      </c>
      <c r="D1861" s="0" t="s">
        <v>42</v>
      </c>
      <c r="E1861" s="10" t="n">
        <v>45798.7652777778</v>
      </c>
      <c r="F1861" s="10" t="n">
        <v>45799.0173611111</v>
      </c>
      <c r="G1861" s="0" t="n">
        <v>709.35</v>
      </c>
      <c r="H1861" s="0" t="n">
        <v>709.82</v>
      </c>
      <c r="I1861" s="11" t="n">
        <f aca="false">H1861-G1861</f>
        <v>0.470000000000027</v>
      </c>
      <c r="J1861" s="5" t="n">
        <f aca="false">IF(G1861=0,"",I1861/G1861)</f>
        <v>0.000662578416860545</v>
      </c>
      <c r="K1861" s="0" t="n">
        <v>87.4</v>
      </c>
      <c r="L1861" s="0" t="n">
        <v>6.05</v>
      </c>
      <c r="M1861" s="11" t="s">
        <v>2769</v>
      </c>
      <c r="N1861" s="12" t="n">
        <f aca="false">INT(E1861)</f>
        <v>45798</v>
      </c>
      <c r="O1861" s="12" t="n">
        <f aca="false">IF(F1861="","",INT(F1861))</f>
        <v>45799</v>
      </c>
    </row>
    <row r="1862" customFormat="false" ht="15" hidden="false" customHeight="false" outlineLevel="0" collapsed="false">
      <c r="A1862" s="0" t="s">
        <v>3766</v>
      </c>
      <c r="B1862" s="0" t="s">
        <v>3767</v>
      </c>
      <c r="C1862" s="0" t="s">
        <v>20</v>
      </c>
      <c r="D1862" s="0" t="s">
        <v>42</v>
      </c>
      <c r="E1862" s="10" t="n">
        <v>45799.3020833333</v>
      </c>
      <c r="F1862" s="10" t="n">
        <v>45799.9597222222</v>
      </c>
      <c r="G1862" s="0" t="n">
        <v>721.9</v>
      </c>
      <c r="H1862" s="0" t="n">
        <v>717.86</v>
      </c>
      <c r="I1862" s="11" t="n">
        <f aca="false">H1862-G1862</f>
        <v>-4.03999999999996</v>
      </c>
      <c r="J1862" s="5" t="n">
        <f aca="false">IF(G1862=0,"",I1862/G1862)</f>
        <v>-0.00559634298379272</v>
      </c>
      <c r="K1862" s="0" t="n">
        <v>72.7</v>
      </c>
      <c r="L1862" s="0" t="n">
        <v>15.78</v>
      </c>
      <c r="M1862" s="11" t="s">
        <v>2769</v>
      </c>
      <c r="N1862" s="12" t="n">
        <f aca="false">INT(E1862)</f>
        <v>45799</v>
      </c>
      <c r="O1862" s="12" t="n">
        <f aca="false">IF(F1862="","",INT(F1862))</f>
        <v>45799</v>
      </c>
    </row>
    <row r="1863" customFormat="false" ht="15" hidden="false" customHeight="false" outlineLevel="0" collapsed="false">
      <c r="A1863" s="0" t="s">
        <v>3768</v>
      </c>
      <c r="B1863" s="0" t="s">
        <v>3769</v>
      </c>
      <c r="C1863" s="0" t="s">
        <v>22</v>
      </c>
      <c r="D1863" s="0" t="s">
        <v>42</v>
      </c>
      <c r="E1863" s="10" t="n">
        <v>45799.3041666667</v>
      </c>
      <c r="F1863" s="10" t="n">
        <v>45800.9429513889</v>
      </c>
      <c r="G1863" s="0" t="n">
        <v>1909.24</v>
      </c>
      <c r="H1863" s="0" t="n">
        <v>1958.59</v>
      </c>
      <c r="I1863" s="11" t="n">
        <f aca="false">H1863-G1863</f>
        <v>49.3499999999999</v>
      </c>
      <c r="J1863" s="5" t="n">
        <f aca="false">IF(G1863=0,"",I1863/G1863)</f>
        <v>0.0258479813957386</v>
      </c>
      <c r="K1863" s="0" t="n">
        <v>288.4</v>
      </c>
      <c r="L1863" s="0" t="n">
        <v>39.33</v>
      </c>
      <c r="M1863" s="11" t="s">
        <v>2769</v>
      </c>
      <c r="N1863" s="12" t="n">
        <f aca="false">INT(E1863)</f>
        <v>45799</v>
      </c>
      <c r="O1863" s="12" t="n">
        <f aca="false">IF(F1863="","",INT(F1863))</f>
        <v>45800</v>
      </c>
    </row>
    <row r="1864" customFormat="false" ht="15" hidden="false" customHeight="false" outlineLevel="0" collapsed="false">
      <c r="A1864" s="0" t="s">
        <v>3770</v>
      </c>
      <c r="B1864" s="0" t="s">
        <v>3771</v>
      </c>
      <c r="C1864" s="0" t="s">
        <v>20</v>
      </c>
      <c r="D1864" s="0" t="s">
        <v>42</v>
      </c>
      <c r="E1864" s="10" t="n">
        <v>45799.3222222222</v>
      </c>
      <c r="F1864" s="10" t="n">
        <v>45800.0213078704</v>
      </c>
      <c r="G1864" s="0" t="n">
        <v>273.92</v>
      </c>
      <c r="H1864" s="0" t="n">
        <v>268.38</v>
      </c>
      <c r="I1864" s="11" t="n">
        <f aca="false">H1864-G1864</f>
        <v>-5.54000000000002</v>
      </c>
      <c r="J1864" s="5" t="n">
        <f aca="false">IF(G1864=0,"",I1864/G1864)</f>
        <v>-0.0202248831775702</v>
      </c>
      <c r="K1864" s="0" t="n">
        <v>27.4</v>
      </c>
      <c r="L1864" s="0" t="n">
        <v>16.78</v>
      </c>
      <c r="M1864" s="11" t="s">
        <v>2769</v>
      </c>
      <c r="N1864" s="12" t="n">
        <f aca="false">INT(E1864)</f>
        <v>45799</v>
      </c>
      <c r="O1864" s="12" t="n">
        <f aca="false">IF(F1864="","",INT(F1864))</f>
        <v>45800</v>
      </c>
    </row>
    <row r="1865" customFormat="false" ht="15" hidden="false" customHeight="false" outlineLevel="0" collapsed="false">
      <c r="A1865" s="0" t="s">
        <v>3772</v>
      </c>
      <c r="B1865" s="0" t="s">
        <v>3773</v>
      </c>
      <c r="C1865" s="0" t="s">
        <v>20</v>
      </c>
      <c r="D1865" s="0" t="s">
        <v>42</v>
      </c>
      <c r="E1865" s="10" t="n">
        <v>45799.325</v>
      </c>
      <c r="F1865" s="10" t="n">
        <v>45801.6796527778</v>
      </c>
      <c r="G1865" s="0" t="n">
        <v>468.89</v>
      </c>
      <c r="H1865" s="0" t="n">
        <v>467.52</v>
      </c>
      <c r="I1865" s="11" t="n">
        <f aca="false">H1865-G1865</f>
        <v>-1.37</v>
      </c>
      <c r="J1865" s="5" t="n">
        <f aca="false">IF(G1865=0,"",I1865/G1865)</f>
        <v>-0.00292179402418479</v>
      </c>
      <c r="K1865" s="0" t="n">
        <v>77.9</v>
      </c>
      <c r="L1865" s="0" t="n">
        <v>40.2</v>
      </c>
      <c r="M1865" s="11" t="s">
        <v>2769</v>
      </c>
      <c r="N1865" s="12" t="n">
        <f aca="false">INT(E1865)</f>
        <v>45799</v>
      </c>
      <c r="O1865" s="12" t="n">
        <f aca="false">IF(F1865="","",INT(F1865))</f>
        <v>45801</v>
      </c>
    </row>
    <row r="1866" customFormat="false" ht="15" hidden="false" customHeight="false" outlineLevel="0" collapsed="false">
      <c r="A1866" s="0" t="s">
        <v>3774</v>
      </c>
      <c r="B1866" s="0" t="s">
        <v>3775</v>
      </c>
      <c r="C1866" s="0" t="s">
        <v>19</v>
      </c>
      <c r="D1866" s="0" t="s">
        <v>42</v>
      </c>
      <c r="E1866" s="10" t="n">
        <v>45799.3395833333</v>
      </c>
      <c r="F1866" s="10" t="n">
        <v>45800.4038078704</v>
      </c>
      <c r="G1866" s="0" t="n">
        <v>160.15</v>
      </c>
      <c r="H1866" s="0" t="n">
        <v>156.46</v>
      </c>
      <c r="I1866" s="11" t="n">
        <f aca="false">H1866-G1866</f>
        <v>-3.69</v>
      </c>
      <c r="J1866" s="5" t="n">
        <f aca="false">IF(G1866=0,"",I1866/G1866)</f>
        <v>-0.0230408991570403</v>
      </c>
      <c r="K1866" s="0" t="n">
        <v>21.3</v>
      </c>
      <c r="L1866" s="0" t="n">
        <v>25.54</v>
      </c>
      <c r="M1866" s="11" t="s">
        <v>2769</v>
      </c>
      <c r="N1866" s="12" t="n">
        <f aca="false">INT(E1866)</f>
        <v>45799</v>
      </c>
      <c r="O1866" s="12" t="n">
        <f aca="false">IF(F1866="","",INT(F1866))</f>
        <v>45800</v>
      </c>
    </row>
    <row r="1867" customFormat="false" ht="15" hidden="false" customHeight="false" outlineLevel="0" collapsed="false">
      <c r="A1867" s="0" t="s">
        <v>3776</v>
      </c>
      <c r="B1867" s="0" t="s">
        <v>3777</v>
      </c>
      <c r="C1867" s="0" t="s">
        <v>22</v>
      </c>
      <c r="D1867" s="0" t="s">
        <v>42</v>
      </c>
      <c r="E1867" s="10" t="n">
        <v>45799.34375</v>
      </c>
      <c r="F1867" s="10" t="n">
        <v>45800.0465277778</v>
      </c>
      <c r="G1867" s="0" t="n">
        <v>142.68</v>
      </c>
      <c r="H1867" s="0" t="n">
        <v>142.13</v>
      </c>
      <c r="I1867" s="11" t="n">
        <f aca="false">H1867-G1867</f>
        <v>-0.550000000000011</v>
      </c>
      <c r="J1867" s="5" t="n">
        <f aca="false">IF(G1867=0,"",I1867/G1867)</f>
        <v>-0.0038547799271097</v>
      </c>
      <c r="K1867" s="0" t="n">
        <v>15</v>
      </c>
      <c r="L1867" s="0" t="n">
        <v>16.87</v>
      </c>
      <c r="M1867" s="11" t="s">
        <v>2769</v>
      </c>
      <c r="N1867" s="12" t="n">
        <f aca="false">INT(E1867)</f>
        <v>45799</v>
      </c>
      <c r="O1867" s="12" t="n">
        <f aca="false">IF(F1867="","",INT(F1867))</f>
        <v>45800</v>
      </c>
    </row>
    <row r="1868" customFormat="false" ht="15" hidden="false" customHeight="false" outlineLevel="0" collapsed="false">
      <c r="A1868" s="0" t="s">
        <v>3778</v>
      </c>
      <c r="B1868" s="0" t="s">
        <v>3779</v>
      </c>
      <c r="C1868" s="0" t="s">
        <v>20</v>
      </c>
      <c r="D1868" s="0" t="s">
        <v>303</v>
      </c>
      <c r="E1868" s="10" t="n">
        <v>45799.3631944444</v>
      </c>
      <c r="F1868" s="10"/>
      <c r="G1868" s="0" t="n">
        <v>609.32</v>
      </c>
      <c r="H1868" s="0" t="n">
        <v>601.57</v>
      </c>
      <c r="I1868" s="11" t="n">
        <f aca="false">H1868-G1868</f>
        <v>-7.75</v>
      </c>
      <c r="J1868" s="5" t="n">
        <f aca="false">IF(G1868=0,"",I1868/G1868)</f>
        <v>-0.0127190966979584</v>
      </c>
      <c r="K1868" s="0" t="n">
        <v>100.6</v>
      </c>
      <c r="M1868" s="11" t="s">
        <v>2769</v>
      </c>
      <c r="N1868" s="12" t="n">
        <f aca="false">INT(E1868)</f>
        <v>45799</v>
      </c>
      <c r="O1868" s="12" t="str">
        <f aca="false">IF(F1868="","",INT(F1868))</f>
        <v/>
      </c>
    </row>
    <row r="1869" customFormat="false" ht="15" hidden="false" customHeight="false" outlineLevel="0" collapsed="false">
      <c r="A1869" s="0" t="s">
        <v>3780</v>
      </c>
      <c r="B1869" s="0" t="s">
        <v>3781</v>
      </c>
      <c r="C1869" s="0" t="s">
        <v>21</v>
      </c>
      <c r="D1869" s="0" t="s">
        <v>48</v>
      </c>
      <c r="E1869" s="10" t="n">
        <v>45799.3756944445</v>
      </c>
      <c r="F1869" s="10"/>
      <c r="G1869" s="0" t="n">
        <v>395.13</v>
      </c>
      <c r="H1869" s="0" t="n">
        <v>396.97</v>
      </c>
      <c r="I1869" s="11" t="n">
        <f aca="false">H1869-G1869</f>
        <v>1.84000000000003</v>
      </c>
      <c r="J1869" s="5" t="n">
        <f aca="false">IF(G1869=0,"",I1869/G1869)</f>
        <v>0.00465669526484962</v>
      </c>
      <c r="K1869" s="0" t="n">
        <v>49.8</v>
      </c>
      <c r="M1869" s="11" t="s">
        <v>2769</v>
      </c>
      <c r="N1869" s="12" t="n">
        <f aca="false">INT(E1869)</f>
        <v>45799</v>
      </c>
      <c r="O1869" s="12" t="str">
        <f aca="false">IF(F1869="","",INT(F1869))</f>
        <v/>
      </c>
    </row>
    <row r="1870" customFormat="false" ht="15" hidden="false" customHeight="false" outlineLevel="0" collapsed="false">
      <c r="A1870" s="0" t="s">
        <v>3782</v>
      </c>
      <c r="B1870" s="0" t="s">
        <v>3783</v>
      </c>
      <c r="C1870" s="0" t="s">
        <v>21</v>
      </c>
      <c r="D1870" s="0" t="s">
        <v>42</v>
      </c>
      <c r="E1870" s="10" t="n">
        <v>45799.3763888889</v>
      </c>
      <c r="F1870" s="10" t="n">
        <v>45799.9694444445</v>
      </c>
      <c r="G1870" s="0" t="n">
        <v>115.13</v>
      </c>
      <c r="H1870" s="0" t="n">
        <v>114.15</v>
      </c>
      <c r="I1870" s="11" t="n">
        <f aca="false">H1870-G1870</f>
        <v>-0.97999999999999</v>
      </c>
      <c r="J1870" s="5" t="n">
        <f aca="false">IF(G1870=0,"",I1870/G1870)</f>
        <v>-0.00851211673760089</v>
      </c>
      <c r="K1870" s="0" t="n">
        <v>29.8</v>
      </c>
      <c r="L1870" s="0" t="n">
        <v>14.23</v>
      </c>
      <c r="M1870" s="11" t="s">
        <v>2769</v>
      </c>
      <c r="N1870" s="12" t="n">
        <f aca="false">INT(E1870)</f>
        <v>45799</v>
      </c>
      <c r="O1870" s="12" t="n">
        <f aca="false">IF(F1870="","",INT(F1870))</f>
        <v>45799</v>
      </c>
    </row>
    <row r="1871" customFormat="false" ht="15" hidden="false" customHeight="false" outlineLevel="0" collapsed="false">
      <c r="A1871" s="0" t="s">
        <v>3784</v>
      </c>
      <c r="B1871" s="0" t="s">
        <v>3785</v>
      </c>
      <c r="C1871" s="0" t="s">
        <v>19</v>
      </c>
      <c r="D1871" s="0" t="s">
        <v>42</v>
      </c>
      <c r="E1871" s="10" t="n">
        <v>45799.3916666667</v>
      </c>
      <c r="F1871" s="10" t="n">
        <v>45800.625</v>
      </c>
      <c r="G1871" s="0" t="n">
        <v>1536.53</v>
      </c>
      <c r="H1871" s="0" t="n">
        <v>1553.41</v>
      </c>
      <c r="I1871" s="11" t="n">
        <f aca="false">H1871-G1871</f>
        <v>16.8800000000001</v>
      </c>
      <c r="J1871" s="5" t="n">
        <f aca="false">IF(G1871=0,"",I1871/G1871)</f>
        <v>0.0109857926626881</v>
      </c>
      <c r="K1871" s="0" t="n">
        <v>188.9</v>
      </c>
      <c r="L1871" s="0" t="n">
        <v>29.6</v>
      </c>
      <c r="M1871" s="11" t="s">
        <v>2769</v>
      </c>
      <c r="N1871" s="12" t="n">
        <f aca="false">INT(E1871)</f>
        <v>45799</v>
      </c>
      <c r="O1871" s="12" t="n">
        <f aca="false">IF(F1871="","",INT(F1871))</f>
        <v>45800</v>
      </c>
    </row>
    <row r="1872" customFormat="false" ht="15" hidden="false" customHeight="false" outlineLevel="0" collapsed="false">
      <c r="A1872" s="0" t="s">
        <v>3786</v>
      </c>
      <c r="B1872" s="0" t="s">
        <v>3787</v>
      </c>
      <c r="C1872" s="0" t="s">
        <v>21</v>
      </c>
      <c r="D1872" s="0" t="s">
        <v>42</v>
      </c>
      <c r="E1872" s="10" t="n">
        <v>45799.3944444444</v>
      </c>
      <c r="F1872" s="10" t="n">
        <v>45800.551400463</v>
      </c>
      <c r="G1872" s="0" t="n">
        <v>448.07</v>
      </c>
      <c r="H1872" s="0" t="n">
        <v>454.03</v>
      </c>
      <c r="I1872" s="11" t="n">
        <f aca="false">H1872-G1872</f>
        <v>5.95999999999998</v>
      </c>
      <c r="J1872" s="5" t="n">
        <f aca="false">IF(G1872=0,"",I1872/G1872)</f>
        <v>0.0133014930702792</v>
      </c>
      <c r="K1872" s="0" t="n">
        <v>55.4</v>
      </c>
      <c r="L1872" s="0" t="n">
        <v>27.77</v>
      </c>
      <c r="M1872" s="11" t="s">
        <v>2769</v>
      </c>
      <c r="N1872" s="12" t="n">
        <f aca="false">INT(E1872)</f>
        <v>45799</v>
      </c>
      <c r="O1872" s="12" t="n">
        <f aca="false">IF(F1872="","",INT(F1872))</f>
        <v>45800</v>
      </c>
    </row>
    <row r="1873" customFormat="false" ht="15" hidden="false" customHeight="false" outlineLevel="0" collapsed="false">
      <c r="A1873" s="0" t="s">
        <v>3788</v>
      </c>
      <c r="B1873" s="0" t="s">
        <v>3789</v>
      </c>
      <c r="C1873" s="0" t="s">
        <v>24</v>
      </c>
      <c r="D1873" s="0" t="s">
        <v>42</v>
      </c>
      <c r="E1873" s="10" t="n">
        <v>45799.4013888889</v>
      </c>
      <c r="F1873" s="10" t="n">
        <v>45800.4172453704</v>
      </c>
      <c r="G1873" s="0" t="n">
        <v>302.35</v>
      </c>
      <c r="H1873" s="0" t="n">
        <v>307.62</v>
      </c>
      <c r="I1873" s="11" t="n">
        <f aca="false">H1873-G1873</f>
        <v>5.26999999999998</v>
      </c>
      <c r="J1873" s="5" t="n">
        <f aca="false">IF(G1873=0,"",I1873/G1873)</f>
        <v>0.0174301306432941</v>
      </c>
      <c r="K1873" s="0" t="n">
        <v>98.8</v>
      </c>
      <c r="L1873" s="0" t="n">
        <v>24.38</v>
      </c>
      <c r="M1873" s="11" t="s">
        <v>2769</v>
      </c>
      <c r="N1873" s="12" t="n">
        <f aca="false">INT(E1873)</f>
        <v>45799</v>
      </c>
      <c r="O1873" s="12" t="n">
        <f aca="false">IF(F1873="","",INT(F1873))</f>
        <v>45800</v>
      </c>
    </row>
    <row r="1874" customFormat="false" ht="15" hidden="false" customHeight="false" outlineLevel="0" collapsed="false">
      <c r="A1874" s="0" t="s">
        <v>3790</v>
      </c>
      <c r="B1874" s="0" t="s">
        <v>3791</v>
      </c>
      <c r="C1874" s="0" t="s">
        <v>19</v>
      </c>
      <c r="D1874" s="0" t="s">
        <v>42</v>
      </c>
      <c r="E1874" s="10" t="n">
        <v>45799.4041666667</v>
      </c>
      <c r="F1874" s="10" t="n">
        <v>45802.6403125</v>
      </c>
      <c r="G1874" s="0" t="n">
        <v>192.83</v>
      </c>
      <c r="H1874" s="0" t="n">
        <v>199.95</v>
      </c>
      <c r="I1874" s="11" t="n">
        <f aca="false">H1874-G1874</f>
        <v>7.11999999999998</v>
      </c>
      <c r="J1874" s="5" t="n">
        <f aca="false">IF(G1874=0,"",I1874/G1874)</f>
        <v>0.0369237151895451</v>
      </c>
      <c r="K1874" s="0" t="n">
        <v>23.2</v>
      </c>
      <c r="L1874" s="0" t="n">
        <v>38.3</v>
      </c>
      <c r="M1874" s="11" t="s">
        <v>2769</v>
      </c>
      <c r="N1874" s="12" t="n">
        <f aca="false">INT(E1874)</f>
        <v>45799</v>
      </c>
      <c r="O1874" s="12" t="n">
        <f aca="false">IF(F1874="","",INT(F1874))</f>
        <v>45802</v>
      </c>
    </row>
    <row r="1875" customFormat="false" ht="15" hidden="false" customHeight="false" outlineLevel="0" collapsed="false">
      <c r="A1875" s="0" t="s">
        <v>3792</v>
      </c>
      <c r="B1875" s="0" t="s">
        <v>3793</v>
      </c>
      <c r="C1875" s="0" t="s">
        <v>23</v>
      </c>
      <c r="D1875" s="0" t="s">
        <v>42</v>
      </c>
      <c r="E1875" s="10" t="n">
        <v>45799.4243055556</v>
      </c>
      <c r="F1875" s="10" t="n">
        <v>45799.9634375</v>
      </c>
      <c r="G1875" s="0" t="n">
        <v>495.86</v>
      </c>
      <c r="H1875" s="0" t="n">
        <v>360.91</v>
      </c>
      <c r="I1875" s="11" t="n">
        <f aca="false">H1875-G1875</f>
        <v>-134.95</v>
      </c>
      <c r="J1875" s="5" t="n">
        <f aca="false">IF(G1875=0,"",I1875/G1875)</f>
        <v>-0.272153430403743</v>
      </c>
      <c r="K1875" s="0" t="n">
        <v>196.3</v>
      </c>
      <c r="L1875" s="0" t="n">
        <v>12.94</v>
      </c>
      <c r="M1875" s="11" t="s">
        <v>2769</v>
      </c>
      <c r="N1875" s="12" t="n">
        <f aca="false">INT(E1875)</f>
        <v>45799</v>
      </c>
      <c r="O1875" s="12" t="n">
        <f aca="false">IF(F1875="","",INT(F1875))</f>
        <v>45799</v>
      </c>
    </row>
    <row r="1876" customFormat="false" ht="15" hidden="false" customHeight="false" outlineLevel="0" collapsed="false">
      <c r="A1876" s="0" t="s">
        <v>3794</v>
      </c>
      <c r="B1876" s="0" t="s">
        <v>3795</v>
      </c>
      <c r="C1876" s="0" t="s">
        <v>20</v>
      </c>
      <c r="D1876" s="0" t="s">
        <v>42</v>
      </c>
      <c r="E1876" s="10" t="n">
        <v>45799.4326388889</v>
      </c>
      <c r="F1876" s="10" t="n">
        <v>45800.2993981482</v>
      </c>
      <c r="G1876" s="0" t="n">
        <v>533.3</v>
      </c>
      <c r="H1876" s="0" t="n">
        <v>514.87</v>
      </c>
      <c r="I1876" s="11" t="n">
        <f aca="false">H1876-G1876</f>
        <v>-18.43</v>
      </c>
      <c r="J1876" s="5" t="n">
        <f aca="false">IF(G1876=0,"",I1876/G1876)</f>
        <v>-0.0345584099006187</v>
      </c>
      <c r="K1876" s="0" t="n">
        <v>55.6</v>
      </c>
      <c r="L1876" s="0" t="n">
        <v>20.8</v>
      </c>
      <c r="M1876" s="11" t="s">
        <v>2769</v>
      </c>
      <c r="N1876" s="12" t="n">
        <f aca="false">INT(E1876)</f>
        <v>45799</v>
      </c>
      <c r="O1876" s="12" t="n">
        <f aca="false">IF(F1876="","",INT(F1876))</f>
        <v>45800</v>
      </c>
    </row>
    <row r="1877" customFormat="false" ht="15" hidden="false" customHeight="false" outlineLevel="0" collapsed="false">
      <c r="A1877" s="0" t="s">
        <v>3796</v>
      </c>
      <c r="B1877" s="0" t="s">
        <v>3797</v>
      </c>
      <c r="C1877" s="0" t="s">
        <v>22</v>
      </c>
      <c r="D1877" s="0" t="s">
        <v>42</v>
      </c>
      <c r="E1877" s="10" t="n">
        <v>45799.4569444444</v>
      </c>
      <c r="F1877" s="10" t="n">
        <v>45800.0100925926</v>
      </c>
      <c r="G1877" s="0" t="n">
        <v>459.44</v>
      </c>
      <c r="H1877" s="0" t="n">
        <v>457.01</v>
      </c>
      <c r="I1877" s="11" t="n">
        <f aca="false">H1877-G1877</f>
        <v>-2.43000000000001</v>
      </c>
      <c r="J1877" s="5" t="n">
        <f aca="false">IF(G1877=0,"",I1877/G1877)</f>
        <v>-0.00528904753613096</v>
      </c>
      <c r="K1877" s="0" t="n">
        <v>53.3</v>
      </c>
      <c r="L1877" s="0" t="n">
        <v>13.28</v>
      </c>
      <c r="M1877" s="11" t="s">
        <v>2769</v>
      </c>
      <c r="N1877" s="12" t="n">
        <f aca="false">INT(E1877)</f>
        <v>45799</v>
      </c>
      <c r="O1877" s="12" t="n">
        <f aca="false">IF(F1877="","",INT(F1877))</f>
        <v>45800</v>
      </c>
    </row>
    <row r="1878" customFormat="false" ht="15" hidden="false" customHeight="false" outlineLevel="0" collapsed="false">
      <c r="A1878" s="0" t="s">
        <v>3798</v>
      </c>
      <c r="B1878" s="0" t="s">
        <v>3799</v>
      </c>
      <c r="C1878" s="0" t="s">
        <v>21</v>
      </c>
      <c r="D1878" s="0" t="s">
        <v>42</v>
      </c>
      <c r="E1878" s="10" t="n">
        <v>45799.4618055556</v>
      </c>
      <c r="F1878" s="10" t="n">
        <v>45799.9277430556</v>
      </c>
      <c r="G1878" s="0" t="n">
        <v>537.03</v>
      </c>
      <c r="H1878" s="0" t="n">
        <v>538.22</v>
      </c>
      <c r="I1878" s="11" t="n">
        <f aca="false">H1878-G1878</f>
        <v>1.19000000000005</v>
      </c>
      <c r="J1878" s="5" t="n">
        <f aca="false">IF(G1878=0,"",I1878/G1878)</f>
        <v>0.0022158911047801</v>
      </c>
      <c r="K1878" s="0" t="n">
        <v>97.2</v>
      </c>
      <c r="L1878" s="0" t="n">
        <v>11.18</v>
      </c>
      <c r="M1878" s="11" t="s">
        <v>2769</v>
      </c>
      <c r="N1878" s="12" t="n">
        <f aca="false">INT(E1878)</f>
        <v>45799</v>
      </c>
      <c r="O1878" s="12" t="n">
        <f aca="false">IF(F1878="","",INT(F1878))</f>
        <v>45799</v>
      </c>
    </row>
    <row r="1879" customFormat="false" ht="15" hidden="false" customHeight="false" outlineLevel="0" collapsed="false">
      <c r="A1879" s="0" t="s">
        <v>3800</v>
      </c>
      <c r="B1879" s="0" t="s">
        <v>3801</v>
      </c>
      <c r="C1879" s="0" t="s">
        <v>22</v>
      </c>
      <c r="D1879" s="0" t="s">
        <v>42</v>
      </c>
      <c r="E1879" s="10" t="n">
        <v>45799.5048611111</v>
      </c>
      <c r="F1879" s="10" t="n">
        <v>45799.9969907407</v>
      </c>
      <c r="G1879" s="0" t="n">
        <v>511.46</v>
      </c>
      <c r="H1879" s="0" t="n">
        <v>507.58</v>
      </c>
      <c r="I1879" s="11" t="n">
        <f aca="false">H1879-G1879</f>
        <v>-3.88</v>
      </c>
      <c r="J1879" s="5" t="n">
        <f aca="false">IF(G1879=0,"",I1879/G1879)</f>
        <v>-0.00758612599225745</v>
      </c>
      <c r="K1879" s="0" t="n">
        <v>90.9</v>
      </c>
      <c r="L1879" s="0" t="n">
        <v>11.81</v>
      </c>
      <c r="M1879" s="11" t="s">
        <v>2769</v>
      </c>
      <c r="N1879" s="12" t="n">
        <f aca="false">INT(E1879)</f>
        <v>45799</v>
      </c>
      <c r="O1879" s="12" t="n">
        <f aca="false">IF(F1879="","",INT(F1879))</f>
        <v>45799</v>
      </c>
    </row>
    <row r="1880" customFormat="false" ht="15" hidden="false" customHeight="false" outlineLevel="0" collapsed="false">
      <c r="A1880" s="0" t="s">
        <v>3802</v>
      </c>
      <c r="B1880" s="0" t="s">
        <v>3803</v>
      </c>
      <c r="C1880" s="0" t="s">
        <v>19</v>
      </c>
      <c r="D1880" s="0" t="s">
        <v>42</v>
      </c>
      <c r="E1880" s="10" t="n">
        <v>45799.5097222222</v>
      </c>
      <c r="F1880" s="10" t="n">
        <v>45799.9159722222</v>
      </c>
      <c r="G1880" s="0" t="n">
        <v>96.04</v>
      </c>
      <c r="H1880" s="0" t="n">
        <v>98.38</v>
      </c>
      <c r="I1880" s="11" t="n">
        <f aca="false">H1880-G1880</f>
        <v>2.33999999999999</v>
      </c>
      <c r="J1880" s="5" t="n">
        <f aca="false">IF(G1880=0,"",I1880/G1880)</f>
        <v>0.0243648479800082</v>
      </c>
      <c r="K1880" s="0" t="n">
        <v>10.6</v>
      </c>
      <c r="L1880" s="0" t="n">
        <v>9.75</v>
      </c>
      <c r="M1880" s="11" t="s">
        <v>2769</v>
      </c>
      <c r="N1880" s="12" t="n">
        <f aca="false">INT(E1880)</f>
        <v>45799</v>
      </c>
      <c r="O1880" s="12" t="n">
        <f aca="false">IF(F1880="","",INT(F1880))</f>
        <v>45799</v>
      </c>
    </row>
    <row r="1881" customFormat="false" ht="15" hidden="false" customHeight="false" outlineLevel="0" collapsed="false">
      <c r="A1881" s="0" t="s">
        <v>3804</v>
      </c>
      <c r="B1881" s="0" t="s">
        <v>3805</v>
      </c>
      <c r="C1881" s="0" t="s">
        <v>23</v>
      </c>
      <c r="D1881" s="0" t="s">
        <v>42</v>
      </c>
      <c r="E1881" s="10" t="n">
        <v>45799.5326388889</v>
      </c>
      <c r="F1881" s="10" t="n">
        <v>45803.6251273148</v>
      </c>
      <c r="G1881" s="0" t="n">
        <v>458.96</v>
      </c>
      <c r="H1881" s="0" t="n">
        <v>452.31</v>
      </c>
      <c r="I1881" s="11" t="n">
        <f aca="false">H1881-G1881</f>
        <v>-6.64999999999998</v>
      </c>
      <c r="J1881" s="5" t="n">
        <f aca="false">IF(G1881=0,"",I1881/G1881)</f>
        <v>-0.0144892801115565</v>
      </c>
      <c r="K1881" s="0" t="n">
        <v>181.5</v>
      </c>
      <c r="L1881" s="0" t="n">
        <v>50.22</v>
      </c>
      <c r="M1881" s="11" t="s">
        <v>2769</v>
      </c>
      <c r="N1881" s="12" t="n">
        <f aca="false">INT(E1881)</f>
        <v>45799</v>
      </c>
      <c r="O1881" s="12" t="n">
        <f aca="false">IF(F1881="","",INT(F1881))</f>
        <v>45803</v>
      </c>
    </row>
    <row r="1882" customFormat="false" ht="15" hidden="false" customHeight="false" outlineLevel="0" collapsed="false">
      <c r="A1882" s="0" t="s">
        <v>3806</v>
      </c>
      <c r="B1882" s="0" t="s">
        <v>3807</v>
      </c>
      <c r="C1882" s="0" t="s">
        <v>22</v>
      </c>
      <c r="D1882" s="0" t="s">
        <v>42</v>
      </c>
      <c r="E1882" s="10" t="n">
        <v>45799.5729166667</v>
      </c>
      <c r="F1882" s="10" t="n">
        <v>45800.1608680556</v>
      </c>
      <c r="G1882" s="0" t="n">
        <v>332.22</v>
      </c>
      <c r="H1882" s="0" t="n">
        <v>333.81</v>
      </c>
      <c r="I1882" s="11" t="n">
        <f aca="false">H1882-G1882</f>
        <v>1.58999999999998</v>
      </c>
      <c r="J1882" s="5" t="n">
        <f aca="false">IF(G1882=0,"",I1882/G1882)</f>
        <v>0.00478598519053632</v>
      </c>
      <c r="K1882" s="0" t="n">
        <v>38.6</v>
      </c>
      <c r="L1882" s="0" t="n">
        <v>14.11</v>
      </c>
      <c r="M1882" s="11" t="s">
        <v>2769</v>
      </c>
      <c r="N1882" s="12" t="n">
        <f aca="false">INT(E1882)</f>
        <v>45799</v>
      </c>
      <c r="O1882" s="12" t="n">
        <f aca="false">IF(F1882="","",INT(F1882))</f>
        <v>45800</v>
      </c>
    </row>
    <row r="1883" customFormat="false" ht="15" hidden="false" customHeight="false" outlineLevel="0" collapsed="false">
      <c r="A1883" s="0" t="s">
        <v>3808</v>
      </c>
      <c r="B1883" s="0" t="s">
        <v>3809</v>
      </c>
      <c r="C1883" s="0" t="s">
        <v>21</v>
      </c>
      <c r="D1883" s="0" t="s">
        <v>42</v>
      </c>
      <c r="E1883" s="10" t="n">
        <v>45799.5819444444</v>
      </c>
      <c r="F1883" s="10" t="n">
        <v>45800.2811226852</v>
      </c>
      <c r="G1883" s="0" t="n">
        <v>94.94</v>
      </c>
      <c r="H1883" s="0" t="n">
        <v>97.65</v>
      </c>
      <c r="I1883" s="11" t="n">
        <f aca="false">H1883-G1883</f>
        <v>2.71000000000001</v>
      </c>
      <c r="J1883" s="5" t="n">
        <f aca="false">IF(G1883=0,"",I1883/G1883)</f>
        <v>0.0285443437960818</v>
      </c>
      <c r="K1883" s="0" t="n">
        <v>24.3</v>
      </c>
      <c r="L1883" s="0" t="n">
        <v>16.78</v>
      </c>
      <c r="M1883" s="11" t="s">
        <v>2769</v>
      </c>
      <c r="N1883" s="12" t="n">
        <f aca="false">INT(E1883)</f>
        <v>45799</v>
      </c>
      <c r="O1883" s="12" t="n">
        <f aca="false">IF(F1883="","",INT(F1883))</f>
        <v>45800</v>
      </c>
    </row>
    <row r="1884" customFormat="false" ht="15" hidden="false" customHeight="false" outlineLevel="0" collapsed="false">
      <c r="A1884" s="0" t="s">
        <v>3810</v>
      </c>
      <c r="B1884" s="0" t="s">
        <v>3811</v>
      </c>
      <c r="C1884" s="0" t="s">
        <v>24</v>
      </c>
      <c r="D1884" s="0" t="s">
        <v>42</v>
      </c>
      <c r="E1884" s="10" t="n">
        <v>45799.5916666667</v>
      </c>
      <c r="F1884" s="10" t="n">
        <v>45800.7848958333</v>
      </c>
      <c r="G1884" s="0" t="n">
        <v>975.33</v>
      </c>
      <c r="H1884" s="0" t="n">
        <v>1005.11</v>
      </c>
      <c r="I1884" s="11" t="n">
        <f aca="false">H1884-G1884</f>
        <v>29.78</v>
      </c>
      <c r="J1884" s="5" t="n">
        <f aca="false">IF(G1884=0,"",I1884/G1884)</f>
        <v>0.0305332554109891</v>
      </c>
      <c r="K1884" s="0" t="n">
        <v>375.4</v>
      </c>
      <c r="L1884" s="0" t="n">
        <v>28.64</v>
      </c>
      <c r="M1884" s="11" t="s">
        <v>2769</v>
      </c>
      <c r="N1884" s="12" t="n">
        <f aca="false">INT(E1884)</f>
        <v>45799</v>
      </c>
      <c r="O1884" s="12" t="n">
        <f aca="false">IF(F1884="","",INT(F1884))</f>
        <v>45800</v>
      </c>
    </row>
    <row r="1885" customFormat="false" ht="15" hidden="false" customHeight="false" outlineLevel="0" collapsed="false">
      <c r="A1885" s="0" t="s">
        <v>3812</v>
      </c>
      <c r="B1885" s="0" t="s">
        <v>3813</v>
      </c>
      <c r="C1885" s="0" t="s">
        <v>22</v>
      </c>
      <c r="D1885" s="0" t="s">
        <v>42</v>
      </c>
      <c r="E1885" s="10" t="n">
        <v>45799.5993055556</v>
      </c>
      <c r="F1885" s="10" t="n">
        <v>45800.6993055556</v>
      </c>
      <c r="G1885" s="0" t="n">
        <v>96.55</v>
      </c>
      <c r="H1885" s="0" t="n">
        <v>96.35</v>
      </c>
      <c r="I1885" s="11" t="n">
        <f aca="false">H1885-G1885</f>
        <v>-0.200000000000003</v>
      </c>
      <c r="J1885" s="5" t="n">
        <f aca="false">IF(G1885=0,"",I1885/G1885)</f>
        <v>-0.00207146556188506</v>
      </c>
      <c r="K1885" s="0" t="n">
        <v>20.2</v>
      </c>
      <c r="L1885" s="0" t="n">
        <v>26.4</v>
      </c>
      <c r="M1885" s="11" t="s">
        <v>2769</v>
      </c>
      <c r="N1885" s="12" t="n">
        <f aca="false">INT(E1885)</f>
        <v>45799</v>
      </c>
      <c r="O1885" s="12" t="n">
        <f aca="false">IF(F1885="","",INT(F1885))</f>
        <v>45800</v>
      </c>
    </row>
    <row r="1886" customFormat="false" ht="15" hidden="false" customHeight="false" outlineLevel="0" collapsed="false">
      <c r="A1886" s="0" t="s">
        <v>3814</v>
      </c>
      <c r="B1886" s="0" t="s">
        <v>3815</v>
      </c>
      <c r="C1886" s="0" t="s">
        <v>20</v>
      </c>
      <c r="D1886" s="0" t="s">
        <v>42</v>
      </c>
      <c r="E1886" s="10" t="n">
        <v>45799.6055555556</v>
      </c>
      <c r="F1886" s="10" t="n">
        <v>45801.7003009259</v>
      </c>
      <c r="G1886" s="0" t="n">
        <v>272.6</v>
      </c>
      <c r="H1886" s="0" t="n">
        <v>275.61</v>
      </c>
      <c r="I1886" s="11" t="n">
        <f aca="false">H1886-G1886</f>
        <v>3.00999999999999</v>
      </c>
      <c r="J1886" s="5" t="n">
        <f aca="false">IF(G1886=0,"",I1886/G1886)</f>
        <v>0.011041819515774</v>
      </c>
      <c r="K1886" s="0" t="n">
        <v>33.4</v>
      </c>
      <c r="L1886" s="0" t="n">
        <v>33.47</v>
      </c>
      <c r="M1886" s="11" t="s">
        <v>2769</v>
      </c>
      <c r="N1886" s="12" t="n">
        <f aca="false">INT(E1886)</f>
        <v>45799</v>
      </c>
      <c r="O1886" s="12" t="n">
        <f aca="false">IF(F1886="","",INT(F1886))</f>
        <v>45801</v>
      </c>
    </row>
    <row r="1887" customFormat="false" ht="15" hidden="false" customHeight="false" outlineLevel="0" collapsed="false">
      <c r="A1887" s="0" t="s">
        <v>3816</v>
      </c>
      <c r="B1887" s="0" t="s">
        <v>3817</v>
      </c>
      <c r="C1887" s="0" t="s">
        <v>22</v>
      </c>
      <c r="D1887" s="0" t="s">
        <v>42</v>
      </c>
      <c r="E1887" s="10" t="n">
        <v>45799.6229166667</v>
      </c>
      <c r="F1887" s="10" t="n">
        <v>45802.1807060185</v>
      </c>
      <c r="G1887" s="0" t="n">
        <v>1131.47</v>
      </c>
      <c r="H1887" s="0" t="n">
        <v>1164.21</v>
      </c>
      <c r="I1887" s="11" t="n">
        <f aca="false">H1887-G1887</f>
        <v>32.74</v>
      </c>
      <c r="J1887" s="5" t="n">
        <f aca="false">IF(G1887=0,"",I1887/G1887)</f>
        <v>0.0289358091686037</v>
      </c>
      <c r="K1887" s="0" t="n">
        <v>176.4</v>
      </c>
      <c r="L1887" s="0" t="n">
        <v>33.05</v>
      </c>
      <c r="M1887" s="11" t="s">
        <v>2769</v>
      </c>
      <c r="N1887" s="12" t="n">
        <f aca="false">INT(E1887)</f>
        <v>45799</v>
      </c>
      <c r="O1887" s="12" t="n">
        <f aca="false">IF(F1887="","",INT(F1887))</f>
        <v>45802</v>
      </c>
    </row>
    <row r="1888" customFormat="false" ht="15" hidden="false" customHeight="false" outlineLevel="0" collapsed="false">
      <c r="A1888" s="0" t="s">
        <v>3818</v>
      </c>
      <c r="B1888" s="0" t="s">
        <v>3819</v>
      </c>
      <c r="C1888" s="0" t="s">
        <v>23</v>
      </c>
      <c r="D1888" s="0" t="s">
        <v>42</v>
      </c>
      <c r="E1888" s="10" t="n">
        <v>45799.6263888889</v>
      </c>
      <c r="F1888" s="10" t="n">
        <v>45802.2106712963</v>
      </c>
      <c r="G1888" s="0" t="n">
        <v>176.17</v>
      </c>
      <c r="H1888" s="0" t="n">
        <v>177.56</v>
      </c>
      <c r="I1888" s="11" t="n">
        <f aca="false">H1888-G1888</f>
        <v>1.39000000000001</v>
      </c>
      <c r="J1888" s="5" t="n">
        <f aca="false">IF(G1888=0,"",I1888/G1888)</f>
        <v>0.00789010614747128</v>
      </c>
      <c r="K1888" s="0" t="n">
        <v>63.6</v>
      </c>
      <c r="L1888" s="0" t="n">
        <v>32.97</v>
      </c>
      <c r="M1888" s="11" t="s">
        <v>2769</v>
      </c>
      <c r="N1888" s="12" t="n">
        <f aca="false">INT(E1888)</f>
        <v>45799</v>
      </c>
      <c r="O1888" s="12" t="n">
        <f aca="false">IF(F1888="","",INT(F1888))</f>
        <v>45802</v>
      </c>
    </row>
    <row r="1889" customFormat="false" ht="15" hidden="false" customHeight="false" outlineLevel="0" collapsed="false">
      <c r="A1889" s="0" t="s">
        <v>3820</v>
      </c>
      <c r="B1889" s="0" t="s">
        <v>3821</v>
      </c>
      <c r="C1889" s="0" t="s">
        <v>23</v>
      </c>
      <c r="D1889" s="0" t="s">
        <v>48</v>
      </c>
      <c r="E1889" s="10" t="n">
        <v>45799.6305555556</v>
      </c>
      <c r="F1889" s="10"/>
      <c r="G1889" s="0" t="n">
        <v>573.73</v>
      </c>
      <c r="H1889" s="0" t="n">
        <v>585.37</v>
      </c>
      <c r="I1889" s="11" t="n">
        <f aca="false">H1889-G1889</f>
        <v>11.64</v>
      </c>
      <c r="J1889" s="5" t="n">
        <f aca="false">IF(G1889=0,"",I1889/G1889)</f>
        <v>0.0202882889163892</v>
      </c>
      <c r="K1889" s="0" t="n">
        <v>157.6</v>
      </c>
      <c r="M1889" s="11" t="s">
        <v>2769</v>
      </c>
      <c r="N1889" s="12" t="n">
        <f aca="false">INT(E1889)</f>
        <v>45799</v>
      </c>
      <c r="O1889" s="12" t="str">
        <f aca="false">IF(F1889="","",INT(F1889))</f>
        <v/>
      </c>
    </row>
    <row r="1890" customFormat="false" ht="15" hidden="false" customHeight="false" outlineLevel="0" collapsed="false">
      <c r="A1890" s="0" t="s">
        <v>3822</v>
      </c>
      <c r="B1890" s="0" t="s">
        <v>3823</v>
      </c>
      <c r="C1890" s="0" t="s">
        <v>21</v>
      </c>
      <c r="D1890" s="0" t="s">
        <v>42</v>
      </c>
      <c r="E1890" s="10" t="n">
        <v>45799.6423611111</v>
      </c>
      <c r="F1890" s="10" t="n">
        <v>45799.8944444444</v>
      </c>
      <c r="G1890" s="0" t="n">
        <v>137.22</v>
      </c>
      <c r="H1890" s="0" t="n">
        <v>142.62</v>
      </c>
      <c r="I1890" s="11" t="n">
        <f aca="false">H1890-G1890</f>
        <v>5.40000000000001</v>
      </c>
      <c r="J1890" s="5" t="n">
        <f aca="false">IF(G1890=0,"",I1890/G1890)</f>
        <v>0.0393528640139922</v>
      </c>
      <c r="K1890" s="0" t="n">
        <v>19.7</v>
      </c>
      <c r="L1890" s="0" t="n">
        <v>6.05</v>
      </c>
      <c r="M1890" s="11" t="s">
        <v>2769</v>
      </c>
      <c r="N1890" s="12" t="n">
        <f aca="false">INT(E1890)</f>
        <v>45799</v>
      </c>
      <c r="O1890" s="12" t="n">
        <f aca="false">IF(F1890="","",INT(F1890))</f>
        <v>45799</v>
      </c>
    </row>
    <row r="1891" customFormat="false" ht="15" hidden="false" customHeight="false" outlineLevel="0" collapsed="false">
      <c r="A1891" s="0" t="s">
        <v>3824</v>
      </c>
      <c r="B1891" s="0" t="s">
        <v>3825</v>
      </c>
      <c r="C1891" s="0" t="s">
        <v>23</v>
      </c>
      <c r="D1891" s="0" t="s">
        <v>42</v>
      </c>
      <c r="E1891" s="10" t="n">
        <v>45799.6638888889</v>
      </c>
      <c r="F1891" s="10" t="n">
        <v>45801.2236111111</v>
      </c>
      <c r="G1891" s="0" t="n">
        <v>240.96</v>
      </c>
      <c r="H1891" s="0" t="n">
        <v>268.88</v>
      </c>
      <c r="I1891" s="11" t="n">
        <f aca="false">H1891-G1891</f>
        <v>27.92</v>
      </c>
      <c r="J1891" s="5" t="n">
        <f aca="false">IF(G1891=0,"",I1891/G1891)</f>
        <v>0.115869853917663</v>
      </c>
      <c r="K1891" s="0" t="n">
        <v>70.5</v>
      </c>
      <c r="L1891" s="0" t="n">
        <v>32.07</v>
      </c>
      <c r="M1891" s="11" t="s">
        <v>2769</v>
      </c>
      <c r="N1891" s="12" t="n">
        <f aca="false">INT(E1891)</f>
        <v>45799</v>
      </c>
      <c r="O1891" s="12" t="n">
        <f aca="false">IF(F1891="","",INT(F1891))</f>
        <v>45801</v>
      </c>
    </row>
    <row r="1892" customFormat="false" ht="15" hidden="false" customHeight="false" outlineLevel="0" collapsed="false">
      <c r="A1892" s="0" t="s">
        <v>3826</v>
      </c>
      <c r="B1892" s="0" t="s">
        <v>3827</v>
      </c>
      <c r="C1892" s="0" t="s">
        <v>23</v>
      </c>
      <c r="D1892" s="0" t="s">
        <v>42</v>
      </c>
      <c r="E1892" s="10" t="n">
        <v>45799.7173611111</v>
      </c>
      <c r="F1892" s="10" t="n">
        <v>45800.4722222222</v>
      </c>
      <c r="G1892" s="0" t="n">
        <v>560.76</v>
      </c>
      <c r="H1892" s="0" t="n">
        <v>564.38</v>
      </c>
      <c r="I1892" s="11" t="n">
        <f aca="false">H1892-G1892</f>
        <v>3.62</v>
      </c>
      <c r="J1892" s="5" t="n">
        <f aca="false">IF(G1892=0,"",I1892/G1892)</f>
        <v>0.00645552464512448</v>
      </c>
      <c r="K1892" s="0" t="n">
        <v>224.7</v>
      </c>
      <c r="L1892" s="0" t="n">
        <v>18.12</v>
      </c>
      <c r="M1892" s="11" t="s">
        <v>2769</v>
      </c>
      <c r="N1892" s="12" t="n">
        <f aca="false">INT(E1892)</f>
        <v>45799</v>
      </c>
      <c r="O1892" s="12" t="n">
        <f aca="false">IF(F1892="","",INT(F1892))</f>
        <v>45800</v>
      </c>
    </row>
    <row r="1893" customFormat="false" ht="15" hidden="false" customHeight="false" outlineLevel="0" collapsed="false">
      <c r="A1893" s="0" t="s">
        <v>3828</v>
      </c>
      <c r="B1893" s="0" t="s">
        <v>3829</v>
      </c>
      <c r="C1893" s="0" t="s">
        <v>23</v>
      </c>
      <c r="D1893" s="0" t="s">
        <v>42</v>
      </c>
      <c r="E1893" s="10" t="n">
        <v>45799.7458333333</v>
      </c>
      <c r="F1893" s="10" t="n">
        <v>45800.4201388889</v>
      </c>
      <c r="G1893" s="0" t="n">
        <v>302.45</v>
      </c>
      <c r="H1893" s="0" t="n">
        <v>308.62</v>
      </c>
      <c r="I1893" s="11" t="n">
        <f aca="false">H1893-G1893</f>
        <v>6.17000000000002</v>
      </c>
      <c r="J1893" s="5" t="n">
        <f aca="false">IF(G1893=0,"",I1893/G1893)</f>
        <v>0.0204000661266326</v>
      </c>
      <c r="K1893" s="0" t="n">
        <v>92.4</v>
      </c>
      <c r="L1893" s="0" t="n">
        <v>16.18</v>
      </c>
      <c r="M1893" s="11" t="s">
        <v>2769</v>
      </c>
      <c r="N1893" s="12" t="n">
        <f aca="false">INT(E1893)</f>
        <v>45799</v>
      </c>
      <c r="O1893" s="12" t="n">
        <f aca="false">IF(F1893="","",INT(F1893))</f>
        <v>45800</v>
      </c>
    </row>
    <row r="1894" customFormat="false" ht="15" hidden="false" customHeight="false" outlineLevel="0" collapsed="false">
      <c r="A1894" s="0" t="s">
        <v>3830</v>
      </c>
      <c r="B1894" s="0" t="s">
        <v>3831</v>
      </c>
      <c r="C1894" s="0" t="s">
        <v>24</v>
      </c>
      <c r="D1894" s="0" t="s">
        <v>42</v>
      </c>
      <c r="E1894" s="10" t="n">
        <v>45799.7708333333</v>
      </c>
      <c r="F1894" s="10" t="n">
        <v>45801.2111111111</v>
      </c>
      <c r="G1894" s="0" t="n">
        <v>137.74</v>
      </c>
      <c r="H1894" s="0" t="n">
        <v>135.38</v>
      </c>
      <c r="I1894" s="11" t="n">
        <f aca="false">H1894-G1894</f>
        <v>-2.36000000000001</v>
      </c>
      <c r="J1894" s="5" t="n">
        <f aca="false">IF(G1894=0,"",I1894/G1894)</f>
        <v>-0.0171337302163497</v>
      </c>
      <c r="K1894" s="0" t="n">
        <v>49</v>
      </c>
      <c r="L1894" s="0" t="n">
        <v>29.5</v>
      </c>
      <c r="M1894" s="11" t="s">
        <v>2769</v>
      </c>
      <c r="N1894" s="12" t="n">
        <f aca="false">INT(E1894)</f>
        <v>45799</v>
      </c>
      <c r="O1894" s="12" t="n">
        <f aca="false">IF(F1894="","",INT(F1894))</f>
        <v>45801</v>
      </c>
    </row>
    <row r="1895" customFormat="false" ht="15" hidden="false" customHeight="false" outlineLevel="0" collapsed="false">
      <c r="A1895" s="0" t="s">
        <v>3832</v>
      </c>
      <c r="B1895" s="0" t="s">
        <v>3833</v>
      </c>
      <c r="C1895" s="0" t="s">
        <v>22</v>
      </c>
      <c r="D1895" s="0" t="s">
        <v>42</v>
      </c>
      <c r="E1895" s="10" t="n">
        <v>45799.7888888889</v>
      </c>
      <c r="F1895" s="10" t="n">
        <v>45800.4270833333</v>
      </c>
      <c r="G1895" s="0" t="n">
        <v>127.12</v>
      </c>
      <c r="H1895" s="0" t="n">
        <v>119.46</v>
      </c>
      <c r="I1895" s="11" t="n">
        <f aca="false">H1895-G1895</f>
        <v>-7.66000000000001</v>
      </c>
      <c r="J1895" s="5" t="n">
        <f aca="false">IF(G1895=0,"",I1895/G1895)</f>
        <v>-0.0602580239144117</v>
      </c>
      <c r="K1895" s="0" t="n">
        <v>24.2</v>
      </c>
      <c r="L1895" s="0" t="n">
        <v>15.32</v>
      </c>
      <c r="M1895" s="11" t="s">
        <v>2769</v>
      </c>
      <c r="N1895" s="12" t="n">
        <f aca="false">INT(E1895)</f>
        <v>45799</v>
      </c>
      <c r="O1895" s="12" t="n">
        <f aca="false">IF(F1895="","",INT(F1895))</f>
        <v>45800</v>
      </c>
    </row>
    <row r="1896" customFormat="false" ht="15" hidden="false" customHeight="false" outlineLevel="0" collapsed="false">
      <c r="A1896" s="0" t="s">
        <v>3834</v>
      </c>
      <c r="B1896" s="0" t="s">
        <v>3835</v>
      </c>
      <c r="C1896" s="0" t="s">
        <v>19</v>
      </c>
      <c r="D1896" s="0" t="s">
        <v>42</v>
      </c>
      <c r="E1896" s="10" t="n">
        <v>45800.3138888889</v>
      </c>
      <c r="F1896" s="10" t="n">
        <v>45800.9201388889</v>
      </c>
      <c r="G1896" s="0" t="n">
        <v>65.6</v>
      </c>
      <c r="H1896" s="0" t="n">
        <v>66.76</v>
      </c>
      <c r="I1896" s="11" t="n">
        <f aca="false">H1896-G1896</f>
        <v>1.16000000000001</v>
      </c>
      <c r="J1896" s="5" t="n">
        <f aca="false">IF(G1896=0,"",I1896/G1896)</f>
        <v>0.0176829268292685</v>
      </c>
      <c r="K1896" s="0" t="n">
        <v>7</v>
      </c>
      <c r="L1896" s="0" t="n">
        <v>14.55</v>
      </c>
      <c r="M1896" s="11" t="s">
        <v>2769</v>
      </c>
      <c r="N1896" s="12" t="n">
        <f aca="false">INT(E1896)</f>
        <v>45800</v>
      </c>
      <c r="O1896" s="12" t="n">
        <f aca="false">IF(F1896="","",INT(F1896))</f>
        <v>45800</v>
      </c>
    </row>
    <row r="1897" customFormat="false" ht="15" hidden="false" customHeight="false" outlineLevel="0" collapsed="false">
      <c r="A1897" s="0" t="s">
        <v>3836</v>
      </c>
      <c r="B1897" s="0" t="s">
        <v>3837</v>
      </c>
      <c r="C1897" s="0" t="s">
        <v>21</v>
      </c>
      <c r="D1897" s="0" t="s">
        <v>42</v>
      </c>
      <c r="E1897" s="10" t="n">
        <v>45800.3527777778</v>
      </c>
      <c r="F1897" s="10" t="n">
        <v>45800.7854166667</v>
      </c>
      <c r="G1897" s="0" t="n">
        <v>886.82</v>
      </c>
      <c r="H1897" s="0" t="n">
        <v>906.95</v>
      </c>
      <c r="I1897" s="11" t="n">
        <f aca="false">H1897-G1897</f>
        <v>20.13</v>
      </c>
      <c r="J1897" s="5" t="n">
        <f aca="false">IF(G1897=0,"",I1897/G1897)</f>
        <v>0.0226990821136194</v>
      </c>
      <c r="K1897" s="0" t="n">
        <v>211.2</v>
      </c>
      <c r="L1897" s="0" t="n">
        <v>10.38</v>
      </c>
      <c r="M1897" s="11" t="s">
        <v>2769</v>
      </c>
      <c r="N1897" s="12" t="n">
        <f aca="false">INT(E1897)</f>
        <v>45800</v>
      </c>
      <c r="O1897" s="12" t="n">
        <f aca="false">IF(F1897="","",INT(F1897))</f>
        <v>45800</v>
      </c>
    </row>
    <row r="1898" customFormat="false" ht="15" hidden="false" customHeight="false" outlineLevel="0" collapsed="false">
      <c r="A1898" s="0" t="s">
        <v>3838</v>
      </c>
      <c r="B1898" s="0" t="s">
        <v>3839</v>
      </c>
      <c r="C1898" s="0" t="s">
        <v>23</v>
      </c>
      <c r="D1898" s="0" t="s">
        <v>42</v>
      </c>
      <c r="E1898" s="10" t="n">
        <v>45800.3590277778</v>
      </c>
      <c r="F1898" s="10" t="n">
        <v>45801.3583333333</v>
      </c>
      <c r="G1898" s="0" t="n">
        <v>273.85</v>
      </c>
      <c r="H1898" s="0" t="n">
        <v>268.49</v>
      </c>
      <c r="I1898" s="11" t="n">
        <f aca="false">H1898-G1898</f>
        <v>-5.36000000000001</v>
      </c>
      <c r="J1898" s="5" t="n">
        <f aca="false">IF(G1898=0,"",I1898/G1898)</f>
        <v>-0.0195727588095673</v>
      </c>
      <c r="K1898" s="0" t="n">
        <v>60.9</v>
      </c>
      <c r="L1898" s="0" t="n">
        <v>15.38</v>
      </c>
      <c r="M1898" s="11" t="s">
        <v>2769</v>
      </c>
      <c r="N1898" s="12" t="n">
        <f aca="false">INT(E1898)</f>
        <v>45800</v>
      </c>
      <c r="O1898" s="12" t="n">
        <f aca="false">IF(F1898="","",INT(F1898))</f>
        <v>45801</v>
      </c>
    </row>
    <row r="1899" customFormat="false" ht="15" hidden="false" customHeight="false" outlineLevel="0" collapsed="false">
      <c r="A1899" s="0" t="s">
        <v>3840</v>
      </c>
      <c r="B1899" s="0" t="s">
        <v>3841</v>
      </c>
      <c r="C1899" s="0" t="s">
        <v>20</v>
      </c>
      <c r="D1899" s="0" t="s">
        <v>42</v>
      </c>
      <c r="E1899" s="10" t="n">
        <v>45800.3791666667</v>
      </c>
      <c r="F1899" s="10" t="n">
        <v>45800.9180555556</v>
      </c>
      <c r="G1899" s="0" t="n">
        <v>792.78</v>
      </c>
      <c r="H1899" s="0" t="n">
        <v>803.27</v>
      </c>
      <c r="I1899" s="11" t="n">
        <f aca="false">H1899-G1899</f>
        <v>10.49</v>
      </c>
      <c r="J1899" s="5" t="n">
        <f aca="false">IF(G1899=0,"",I1899/G1899)</f>
        <v>0.013231918060496</v>
      </c>
      <c r="K1899" s="0" t="n">
        <v>88.1</v>
      </c>
      <c r="L1899" s="0" t="n">
        <v>12.93</v>
      </c>
      <c r="M1899" s="11" t="s">
        <v>2769</v>
      </c>
      <c r="N1899" s="12" t="n">
        <f aca="false">INT(E1899)</f>
        <v>45800</v>
      </c>
      <c r="O1899" s="12" t="n">
        <f aca="false">IF(F1899="","",INT(F1899))</f>
        <v>45800</v>
      </c>
    </row>
    <row r="1900" customFormat="false" ht="15" hidden="false" customHeight="false" outlineLevel="0" collapsed="false">
      <c r="A1900" s="0" t="s">
        <v>3842</v>
      </c>
      <c r="B1900" s="0" t="s">
        <v>3843</v>
      </c>
      <c r="C1900" s="0" t="s">
        <v>19</v>
      </c>
      <c r="D1900" s="0" t="s">
        <v>42</v>
      </c>
      <c r="E1900" s="10" t="n">
        <v>45800.3819444445</v>
      </c>
      <c r="F1900" s="10" t="n">
        <v>45801.5222222222</v>
      </c>
      <c r="G1900" s="0" t="n">
        <v>160.01</v>
      </c>
      <c r="H1900" s="0" t="n">
        <v>159.03</v>
      </c>
      <c r="I1900" s="11" t="n">
        <f aca="false">H1900-G1900</f>
        <v>-0.97999999999999</v>
      </c>
      <c r="J1900" s="5" t="n">
        <f aca="false">IF(G1900=0,"",I1900/G1900)</f>
        <v>-0.00612461721142422</v>
      </c>
      <c r="K1900" s="0" t="n">
        <v>20.3</v>
      </c>
      <c r="L1900" s="0" t="n">
        <v>14.83</v>
      </c>
      <c r="M1900" s="11" t="s">
        <v>2769</v>
      </c>
      <c r="N1900" s="12" t="n">
        <f aca="false">INT(E1900)</f>
        <v>45800</v>
      </c>
      <c r="O1900" s="12" t="n">
        <f aca="false">IF(F1900="","",INT(F1900))</f>
        <v>45801</v>
      </c>
    </row>
    <row r="1901" customFormat="false" ht="15" hidden="false" customHeight="false" outlineLevel="0" collapsed="false">
      <c r="A1901" s="0" t="s">
        <v>3844</v>
      </c>
      <c r="B1901" s="0" t="s">
        <v>3845</v>
      </c>
      <c r="C1901" s="0" t="s">
        <v>19</v>
      </c>
      <c r="D1901" s="0" t="s">
        <v>42</v>
      </c>
      <c r="E1901" s="10" t="n">
        <v>45800.4145833333</v>
      </c>
      <c r="F1901" s="10" t="n">
        <v>45801.0520833333</v>
      </c>
      <c r="G1901" s="0" t="n">
        <v>545.71</v>
      </c>
      <c r="H1901" s="0" t="n">
        <v>550.27</v>
      </c>
      <c r="I1901" s="11" t="n">
        <f aca="false">H1901-G1901</f>
        <v>4.55999999999995</v>
      </c>
      <c r="J1901" s="5" t="n">
        <f aca="false">IF(G1901=0,"",I1901/G1901)</f>
        <v>0.00835608656612476</v>
      </c>
      <c r="K1901" s="0" t="n">
        <v>70.6</v>
      </c>
      <c r="L1901" s="0" t="n">
        <v>14.05</v>
      </c>
      <c r="M1901" s="11" t="s">
        <v>2769</v>
      </c>
      <c r="N1901" s="12" t="n">
        <f aca="false">INT(E1901)</f>
        <v>45800</v>
      </c>
      <c r="O1901" s="12" t="n">
        <f aca="false">IF(F1901="","",INT(F1901))</f>
        <v>45801</v>
      </c>
    </row>
    <row r="1902" customFormat="false" ht="15" hidden="false" customHeight="false" outlineLevel="0" collapsed="false">
      <c r="A1902" s="0" t="s">
        <v>3846</v>
      </c>
      <c r="B1902" s="0" t="s">
        <v>3847</v>
      </c>
      <c r="C1902" s="0" t="s">
        <v>21</v>
      </c>
      <c r="D1902" s="0" t="s">
        <v>42</v>
      </c>
      <c r="E1902" s="10" t="n">
        <v>45800.4263888889</v>
      </c>
      <c r="F1902" s="10" t="n">
        <v>45801.0965277778</v>
      </c>
      <c r="G1902" s="0" t="n">
        <v>455.47</v>
      </c>
      <c r="H1902" s="0" t="n">
        <v>465.53</v>
      </c>
      <c r="I1902" s="11" t="n">
        <f aca="false">H1902-G1902</f>
        <v>10.0599999999999</v>
      </c>
      <c r="J1902" s="5" t="n">
        <f aca="false">IF(G1902=0,"",I1902/G1902)</f>
        <v>0.0220870748896743</v>
      </c>
      <c r="K1902" s="0" t="n">
        <v>68</v>
      </c>
      <c r="L1902" s="0" t="n">
        <v>13.77</v>
      </c>
      <c r="M1902" s="11" t="s">
        <v>2769</v>
      </c>
      <c r="N1902" s="12" t="n">
        <f aca="false">INT(E1902)</f>
        <v>45800</v>
      </c>
      <c r="O1902" s="12" t="n">
        <f aca="false">IF(F1902="","",INT(F1902))</f>
        <v>45801</v>
      </c>
    </row>
    <row r="1903" customFormat="false" ht="15" hidden="false" customHeight="false" outlineLevel="0" collapsed="false">
      <c r="A1903" s="0" t="s">
        <v>3848</v>
      </c>
      <c r="B1903" s="0" t="s">
        <v>3849</v>
      </c>
      <c r="C1903" s="0" t="s">
        <v>21</v>
      </c>
      <c r="D1903" s="0" t="s">
        <v>42</v>
      </c>
      <c r="E1903" s="10" t="n">
        <v>45800.4444444445</v>
      </c>
      <c r="F1903" s="10" t="n">
        <v>45800.7090277778</v>
      </c>
      <c r="G1903" s="0" t="n">
        <v>166.71</v>
      </c>
      <c r="H1903" s="0" t="n">
        <v>166.92</v>
      </c>
      <c r="I1903" s="11" t="n">
        <f aca="false">H1903-G1903</f>
        <v>0.20999999999998</v>
      </c>
      <c r="J1903" s="5" t="n">
        <f aca="false">IF(G1903=0,"",I1903/G1903)</f>
        <v>0.00125967248515374</v>
      </c>
      <c r="K1903" s="0" t="n">
        <v>31.8</v>
      </c>
      <c r="L1903" s="0" t="n">
        <v>6.35</v>
      </c>
      <c r="M1903" s="11" t="s">
        <v>2769</v>
      </c>
      <c r="N1903" s="12" t="n">
        <f aca="false">INT(E1903)</f>
        <v>45800</v>
      </c>
      <c r="O1903" s="12" t="n">
        <f aca="false">IF(F1903="","",INT(F1903))</f>
        <v>45800</v>
      </c>
    </row>
    <row r="1904" customFormat="false" ht="15" hidden="false" customHeight="false" outlineLevel="0" collapsed="false">
      <c r="A1904" s="0" t="s">
        <v>3850</v>
      </c>
      <c r="B1904" s="0" t="s">
        <v>3851</v>
      </c>
      <c r="C1904" s="0" t="s">
        <v>21</v>
      </c>
      <c r="D1904" s="0" t="s">
        <v>42</v>
      </c>
      <c r="E1904" s="10" t="n">
        <v>45800.4479166667</v>
      </c>
      <c r="F1904" s="10" t="n">
        <v>45801.0483217593</v>
      </c>
      <c r="G1904" s="0" t="n">
        <v>930.03</v>
      </c>
      <c r="H1904" s="0" t="n">
        <v>924.62</v>
      </c>
      <c r="I1904" s="11" t="n">
        <f aca="false">H1904-G1904</f>
        <v>-5.40999999999997</v>
      </c>
      <c r="J1904" s="5" t="n">
        <f aca="false">IF(G1904=0,"",I1904/G1904)</f>
        <v>-0.00581701665537667</v>
      </c>
      <c r="K1904" s="0" t="n">
        <v>257.7</v>
      </c>
      <c r="L1904" s="0" t="n">
        <v>13.25</v>
      </c>
      <c r="M1904" s="11" t="s">
        <v>2769</v>
      </c>
      <c r="N1904" s="12" t="n">
        <f aca="false">INT(E1904)</f>
        <v>45800</v>
      </c>
      <c r="O1904" s="12" t="n">
        <f aca="false">IF(F1904="","",INT(F1904))</f>
        <v>45801</v>
      </c>
    </row>
    <row r="1905" customFormat="false" ht="15" hidden="false" customHeight="false" outlineLevel="0" collapsed="false">
      <c r="A1905" s="0" t="s">
        <v>3852</v>
      </c>
      <c r="B1905" s="0" t="s">
        <v>3853</v>
      </c>
      <c r="C1905" s="0" t="s">
        <v>20</v>
      </c>
      <c r="D1905" s="0" t="s">
        <v>42</v>
      </c>
      <c r="E1905" s="10" t="n">
        <v>45800.46875</v>
      </c>
      <c r="F1905" s="10" t="n">
        <v>45801.0986111111</v>
      </c>
      <c r="G1905" s="0" t="n">
        <v>769.8</v>
      </c>
      <c r="H1905" s="0" t="n">
        <v>776.09</v>
      </c>
      <c r="I1905" s="11" t="n">
        <f aca="false">H1905-G1905</f>
        <v>6.29000000000008</v>
      </c>
      <c r="J1905" s="5" t="n">
        <f aca="false">IF(G1905=0,"",I1905/G1905)</f>
        <v>0.00817095349441424</v>
      </c>
      <c r="K1905" s="0" t="n">
        <v>89.2</v>
      </c>
      <c r="L1905" s="0" t="n">
        <v>12.75</v>
      </c>
      <c r="M1905" s="11" t="s">
        <v>2769</v>
      </c>
      <c r="N1905" s="12" t="n">
        <f aca="false">INT(E1905)</f>
        <v>45800</v>
      </c>
      <c r="O1905" s="12" t="n">
        <f aca="false">IF(F1905="","",INT(F1905))</f>
        <v>45801</v>
      </c>
    </row>
    <row r="1906" customFormat="false" ht="15" hidden="false" customHeight="false" outlineLevel="0" collapsed="false">
      <c r="A1906" s="0" t="s">
        <v>3854</v>
      </c>
      <c r="B1906" s="0" t="s">
        <v>3855</v>
      </c>
      <c r="C1906" s="0" t="s">
        <v>21</v>
      </c>
      <c r="D1906" s="0" t="s">
        <v>42</v>
      </c>
      <c r="E1906" s="10" t="n">
        <v>45800.4875</v>
      </c>
      <c r="F1906" s="10" t="n">
        <v>45801.3713657407</v>
      </c>
      <c r="G1906" s="0" t="n">
        <v>236.69</v>
      </c>
      <c r="H1906" s="0" t="n">
        <v>234.44</v>
      </c>
      <c r="I1906" s="11" t="n">
        <f aca="false">H1906-G1906</f>
        <v>-2.25</v>
      </c>
      <c r="J1906" s="5" t="n">
        <f aca="false">IF(G1906=0,"",I1906/G1906)</f>
        <v>-0.00950610503189826</v>
      </c>
      <c r="K1906" s="0" t="n">
        <v>37.5</v>
      </c>
      <c r="L1906" s="0" t="n">
        <v>12.3</v>
      </c>
      <c r="M1906" s="11" t="s">
        <v>2769</v>
      </c>
      <c r="N1906" s="12" t="n">
        <f aca="false">INT(E1906)</f>
        <v>45800</v>
      </c>
      <c r="O1906" s="12" t="n">
        <f aca="false">IF(F1906="","",INT(F1906))</f>
        <v>45801</v>
      </c>
    </row>
    <row r="1907" customFormat="false" ht="15" hidden="false" customHeight="false" outlineLevel="0" collapsed="false">
      <c r="A1907" s="0" t="s">
        <v>3856</v>
      </c>
      <c r="B1907" s="0" t="s">
        <v>3857</v>
      </c>
      <c r="C1907" s="0" t="s">
        <v>21</v>
      </c>
      <c r="D1907" s="0" t="s">
        <v>42</v>
      </c>
      <c r="E1907" s="10" t="n">
        <v>45800.4881944444</v>
      </c>
      <c r="F1907" s="10" t="n">
        <v>45800.9382638889</v>
      </c>
      <c r="G1907" s="0" t="n">
        <v>488.08</v>
      </c>
      <c r="H1907" s="0" t="n">
        <v>504.84</v>
      </c>
      <c r="I1907" s="11" t="n">
        <f aca="false">H1907-G1907</f>
        <v>16.76</v>
      </c>
      <c r="J1907" s="5" t="n">
        <f aca="false">IF(G1907=0,"",I1907/G1907)</f>
        <v>0.0343386330109818</v>
      </c>
      <c r="K1907" s="0" t="n">
        <v>122.6</v>
      </c>
      <c r="L1907" s="0" t="n">
        <v>10.8</v>
      </c>
      <c r="M1907" s="11" t="s">
        <v>2769</v>
      </c>
      <c r="N1907" s="12" t="n">
        <f aca="false">INT(E1907)</f>
        <v>45800</v>
      </c>
      <c r="O1907" s="12" t="n">
        <f aca="false">IF(F1907="","",INT(F1907))</f>
        <v>45800</v>
      </c>
    </row>
    <row r="1908" customFormat="false" ht="15" hidden="false" customHeight="false" outlineLevel="0" collapsed="false">
      <c r="A1908" s="0" t="s">
        <v>3858</v>
      </c>
      <c r="B1908" s="0" t="s">
        <v>3859</v>
      </c>
      <c r="C1908" s="0" t="s">
        <v>20</v>
      </c>
      <c r="D1908" s="0" t="s">
        <v>42</v>
      </c>
      <c r="E1908" s="10" t="n">
        <v>45800.5027777778</v>
      </c>
      <c r="F1908" s="10" t="n">
        <v>45802.5458333333</v>
      </c>
      <c r="G1908" s="0" t="n">
        <v>480.67</v>
      </c>
      <c r="H1908" s="0" t="n">
        <v>477.42</v>
      </c>
      <c r="I1908" s="11" t="n">
        <f aca="false">H1908-G1908</f>
        <v>-3.25</v>
      </c>
      <c r="J1908" s="5" t="n">
        <f aca="false">IF(G1908=0,"",I1908/G1908)</f>
        <v>-0.00676139555204194</v>
      </c>
      <c r="K1908" s="0" t="n">
        <v>90.5</v>
      </c>
      <c r="L1908" s="0" t="n">
        <v>11.93</v>
      </c>
      <c r="M1908" s="11" t="s">
        <v>2769</v>
      </c>
      <c r="N1908" s="12" t="n">
        <f aca="false">INT(E1908)</f>
        <v>45800</v>
      </c>
      <c r="O1908" s="12" t="n">
        <f aca="false">IF(F1908="","",INT(F1908))</f>
        <v>45802</v>
      </c>
    </row>
    <row r="1909" customFormat="false" ht="15" hidden="false" customHeight="false" outlineLevel="0" collapsed="false">
      <c r="A1909" s="0" t="s">
        <v>3860</v>
      </c>
      <c r="B1909" s="0" t="s">
        <v>3861</v>
      </c>
      <c r="C1909" s="0" t="s">
        <v>22</v>
      </c>
      <c r="D1909" s="0" t="s">
        <v>42</v>
      </c>
      <c r="E1909" s="10" t="n">
        <v>45800.5145833333</v>
      </c>
      <c r="F1909" s="10" t="n">
        <v>45800.9263888889</v>
      </c>
      <c r="G1909" s="0" t="n">
        <v>730.14</v>
      </c>
      <c r="H1909" s="0" t="n">
        <v>726.45</v>
      </c>
      <c r="I1909" s="11" t="n">
        <f aca="false">H1909-G1909</f>
        <v>-3.68999999999994</v>
      </c>
      <c r="J1909" s="5" t="n">
        <f aca="false">IF(G1909=0,"",I1909/G1909)</f>
        <v>-0.00505382529377919</v>
      </c>
      <c r="K1909" s="0" t="n">
        <v>133.7</v>
      </c>
      <c r="L1909" s="0" t="n">
        <v>9.88</v>
      </c>
      <c r="M1909" s="11" t="s">
        <v>2769</v>
      </c>
      <c r="N1909" s="12" t="n">
        <f aca="false">INT(E1909)</f>
        <v>45800</v>
      </c>
      <c r="O1909" s="12" t="n">
        <f aca="false">IF(F1909="","",INT(F1909))</f>
        <v>45800</v>
      </c>
    </row>
    <row r="1910" customFormat="false" ht="15" hidden="false" customHeight="false" outlineLevel="0" collapsed="false">
      <c r="A1910" s="0" t="s">
        <v>3862</v>
      </c>
      <c r="B1910" s="0" t="s">
        <v>3863</v>
      </c>
      <c r="C1910" s="0" t="s">
        <v>20</v>
      </c>
      <c r="D1910" s="0" t="s">
        <v>42</v>
      </c>
      <c r="E1910" s="10" t="n">
        <v>45800.5319444445</v>
      </c>
      <c r="F1910" s="10" t="n">
        <v>45801.7756944444</v>
      </c>
      <c r="G1910" s="0" t="n">
        <v>339.63</v>
      </c>
      <c r="H1910" s="0" t="n">
        <v>343.92</v>
      </c>
      <c r="I1910" s="11" t="n">
        <f aca="false">H1910-G1910</f>
        <v>4.29000000000002</v>
      </c>
      <c r="J1910" s="5" t="n">
        <f aca="false">IF(G1910=0,"",I1910/G1910)</f>
        <v>0.0126313929864854</v>
      </c>
      <c r="K1910" s="0" t="n">
        <v>75.9</v>
      </c>
      <c r="L1910" s="0" t="n">
        <v>11.23</v>
      </c>
      <c r="M1910" s="11" t="s">
        <v>2769</v>
      </c>
      <c r="N1910" s="12" t="n">
        <f aca="false">INT(E1910)</f>
        <v>45800</v>
      </c>
      <c r="O1910" s="12" t="n">
        <f aca="false">IF(F1910="","",INT(F1910))</f>
        <v>45801</v>
      </c>
    </row>
    <row r="1911" customFormat="false" ht="15" hidden="false" customHeight="false" outlineLevel="0" collapsed="false">
      <c r="A1911" s="0" t="s">
        <v>3864</v>
      </c>
      <c r="B1911" s="0" t="s">
        <v>3865</v>
      </c>
      <c r="C1911" s="0" t="s">
        <v>20</v>
      </c>
      <c r="D1911" s="0" t="s">
        <v>42</v>
      </c>
      <c r="E1911" s="10" t="n">
        <v>45800.5347222222</v>
      </c>
      <c r="F1911" s="10" t="n">
        <v>45802.5298611111</v>
      </c>
      <c r="G1911" s="0" t="n">
        <v>274.51</v>
      </c>
      <c r="H1911" s="0" t="n">
        <v>266.77</v>
      </c>
      <c r="I1911" s="11" t="n">
        <f aca="false">H1911-G1911</f>
        <v>-7.74000000000001</v>
      </c>
      <c r="J1911" s="5" t="n">
        <f aca="false">IF(G1911=0,"",I1911/G1911)</f>
        <v>-0.0281956941459328</v>
      </c>
      <c r="K1911" s="0" t="n">
        <v>34.4</v>
      </c>
      <c r="L1911" s="0" t="n">
        <v>11.17</v>
      </c>
      <c r="M1911" s="11" t="s">
        <v>2769</v>
      </c>
      <c r="N1911" s="12" t="n">
        <f aca="false">INT(E1911)</f>
        <v>45800</v>
      </c>
      <c r="O1911" s="12" t="n">
        <f aca="false">IF(F1911="","",INT(F1911))</f>
        <v>45802</v>
      </c>
    </row>
    <row r="1912" customFormat="false" ht="15" hidden="false" customHeight="false" outlineLevel="0" collapsed="false">
      <c r="A1912" s="0" t="s">
        <v>3866</v>
      </c>
      <c r="B1912" s="0" t="s">
        <v>3867</v>
      </c>
      <c r="C1912" s="0" t="s">
        <v>22</v>
      </c>
      <c r="D1912" s="0" t="s">
        <v>42</v>
      </c>
      <c r="E1912" s="10" t="n">
        <v>45800.5423611111</v>
      </c>
      <c r="F1912" s="10" t="n">
        <v>45801.4131944445</v>
      </c>
      <c r="G1912" s="0" t="n">
        <v>2176.22</v>
      </c>
      <c r="H1912" s="0" t="n">
        <v>2260.3</v>
      </c>
      <c r="I1912" s="11" t="n">
        <f aca="false">H1912-G1912</f>
        <v>84.0800000000004</v>
      </c>
      <c r="J1912" s="5" t="n">
        <f aca="false">IF(G1912=0,"",I1912/G1912)</f>
        <v>0.0386357996893698</v>
      </c>
      <c r="K1912" s="0" t="n">
        <v>252.9</v>
      </c>
      <c r="L1912" s="0" t="n">
        <v>10.98</v>
      </c>
      <c r="M1912" s="11" t="s">
        <v>2769</v>
      </c>
      <c r="N1912" s="12" t="n">
        <f aca="false">INT(E1912)</f>
        <v>45800</v>
      </c>
      <c r="O1912" s="12" t="n">
        <f aca="false">IF(F1912="","",INT(F1912))</f>
        <v>45801</v>
      </c>
    </row>
    <row r="1913" customFormat="false" ht="15" hidden="false" customHeight="false" outlineLevel="0" collapsed="false">
      <c r="A1913" s="0" t="s">
        <v>3868</v>
      </c>
      <c r="B1913" s="0" t="s">
        <v>3869</v>
      </c>
      <c r="C1913" s="0" t="s">
        <v>22</v>
      </c>
      <c r="D1913" s="0" t="s">
        <v>42</v>
      </c>
      <c r="E1913" s="10" t="n">
        <v>45800.5472222222</v>
      </c>
      <c r="F1913" s="10" t="n">
        <v>45800.9826388889</v>
      </c>
      <c r="G1913" s="0" t="n">
        <v>614.39</v>
      </c>
      <c r="H1913" s="0" t="n">
        <v>622.73</v>
      </c>
      <c r="I1913" s="11" t="n">
        <f aca="false">H1913-G1913</f>
        <v>8.34000000000003</v>
      </c>
      <c r="J1913" s="5" t="n">
        <f aca="false">IF(G1913=0,"",I1913/G1913)</f>
        <v>0.013574439688146</v>
      </c>
      <c r="K1913" s="0" t="n">
        <v>74.3</v>
      </c>
      <c r="L1913" s="0" t="n">
        <v>10.45</v>
      </c>
      <c r="M1913" s="11" t="s">
        <v>2769</v>
      </c>
      <c r="N1913" s="12" t="n">
        <f aca="false">INT(E1913)</f>
        <v>45800</v>
      </c>
      <c r="O1913" s="12" t="n">
        <f aca="false">IF(F1913="","",INT(F1913))</f>
        <v>45800</v>
      </c>
    </row>
    <row r="1914" customFormat="false" ht="15" hidden="false" customHeight="false" outlineLevel="0" collapsed="false">
      <c r="A1914" s="0" t="s">
        <v>3870</v>
      </c>
      <c r="B1914" s="0" t="s">
        <v>3871</v>
      </c>
      <c r="C1914" s="0" t="s">
        <v>21</v>
      </c>
      <c r="D1914" s="0" t="s">
        <v>42</v>
      </c>
      <c r="E1914" s="10" t="n">
        <v>45800.5541666667</v>
      </c>
      <c r="F1914" s="10" t="n">
        <v>45801.5354166667</v>
      </c>
      <c r="G1914" s="0" t="n">
        <v>224.52</v>
      </c>
      <c r="H1914" s="0" t="n">
        <v>219.48</v>
      </c>
      <c r="I1914" s="11" t="n">
        <f aca="false">H1914-G1914</f>
        <v>-5.04000000000002</v>
      </c>
      <c r="J1914" s="5" t="n">
        <f aca="false">IF(G1914=0,"",I1914/G1914)</f>
        <v>-0.022447888829503</v>
      </c>
      <c r="K1914" s="0" t="n">
        <v>36.6</v>
      </c>
      <c r="L1914" s="0" t="n">
        <v>10.7</v>
      </c>
      <c r="M1914" s="11" t="s">
        <v>2769</v>
      </c>
      <c r="N1914" s="12" t="n">
        <f aca="false">INT(E1914)</f>
        <v>45800</v>
      </c>
      <c r="O1914" s="12" t="n">
        <f aca="false">IF(F1914="","",INT(F1914))</f>
        <v>45801</v>
      </c>
    </row>
    <row r="1915" customFormat="false" ht="15" hidden="false" customHeight="false" outlineLevel="0" collapsed="false">
      <c r="A1915" s="0" t="s">
        <v>3872</v>
      </c>
      <c r="B1915" s="0" t="s">
        <v>3873</v>
      </c>
      <c r="C1915" s="0" t="s">
        <v>20</v>
      </c>
      <c r="D1915" s="0" t="s">
        <v>42</v>
      </c>
      <c r="E1915" s="10" t="n">
        <v>45800.5569444444</v>
      </c>
      <c r="F1915" s="10" t="n">
        <v>45801.1604166667</v>
      </c>
      <c r="G1915" s="0" t="n">
        <v>771.33</v>
      </c>
      <c r="H1915" s="0" t="n">
        <v>775.08</v>
      </c>
      <c r="I1915" s="11" t="n">
        <f aca="false">H1915-G1915</f>
        <v>3.75</v>
      </c>
      <c r="J1915" s="5" t="n">
        <f aca="false">IF(G1915=0,"",I1915/G1915)</f>
        <v>0.0048617323324647</v>
      </c>
      <c r="K1915" s="0" t="n">
        <v>114.1</v>
      </c>
      <c r="L1915" s="0" t="n">
        <v>10.63</v>
      </c>
      <c r="M1915" s="11" t="s">
        <v>2769</v>
      </c>
      <c r="N1915" s="12" t="n">
        <f aca="false">INT(E1915)</f>
        <v>45800</v>
      </c>
      <c r="O1915" s="12" t="n">
        <f aca="false">IF(F1915="","",INT(F1915))</f>
        <v>45801</v>
      </c>
    </row>
    <row r="1916" customFormat="false" ht="15" hidden="false" customHeight="false" outlineLevel="0" collapsed="false">
      <c r="A1916" s="0" t="s">
        <v>3874</v>
      </c>
      <c r="B1916" s="0" t="s">
        <v>3875</v>
      </c>
      <c r="C1916" s="0" t="s">
        <v>24</v>
      </c>
      <c r="D1916" s="0" t="s">
        <v>42</v>
      </c>
      <c r="E1916" s="10" t="n">
        <v>45800.5819444444</v>
      </c>
      <c r="F1916" s="10" t="n">
        <v>45801.44375</v>
      </c>
      <c r="G1916" s="0" t="n">
        <v>430.8</v>
      </c>
      <c r="H1916" s="0" t="n">
        <v>440.15</v>
      </c>
      <c r="I1916" s="11" t="n">
        <f aca="false">H1916-G1916</f>
        <v>9.34999999999997</v>
      </c>
      <c r="J1916" s="5" t="n">
        <f aca="false">IF(G1916=0,"",I1916/G1916)</f>
        <v>0.0217038068709377</v>
      </c>
      <c r="K1916" s="0" t="n">
        <v>151.5</v>
      </c>
      <c r="L1916" s="0" t="n">
        <v>10.03</v>
      </c>
      <c r="M1916" s="11" t="s">
        <v>2769</v>
      </c>
      <c r="N1916" s="12" t="n">
        <f aca="false">INT(E1916)</f>
        <v>45800</v>
      </c>
      <c r="O1916" s="12" t="n">
        <f aca="false">IF(F1916="","",INT(F1916))</f>
        <v>45801</v>
      </c>
    </row>
    <row r="1917" customFormat="false" ht="15" hidden="false" customHeight="false" outlineLevel="0" collapsed="false">
      <c r="A1917" s="0" t="s">
        <v>3876</v>
      </c>
      <c r="B1917" s="0" t="s">
        <v>3877</v>
      </c>
      <c r="C1917" s="0" t="s">
        <v>20</v>
      </c>
      <c r="D1917" s="0" t="s">
        <v>42</v>
      </c>
      <c r="E1917" s="10" t="n">
        <v>45800.5819444444</v>
      </c>
      <c r="F1917" s="10" t="n">
        <v>45800.825</v>
      </c>
      <c r="G1917" s="0" t="n">
        <v>466.12</v>
      </c>
      <c r="H1917" s="0" t="n">
        <v>458.51</v>
      </c>
      <c r="I1917" s="11" t="n">
        <f aca="false">H1917-G1917</f>
        <v>-7.61000000000001</v>
      </c>
      <c r="J1917" s="5" t="n">
        <f aca="false">IF(G1917=0,"",I1917/G1917)</f>
        <v>-0.016326267913842</v>
      </c>
      <c r="K1917" s="0" t="n">
        <v>61.1</v>
      </c>
      <c r="L1917" s="0" t="n">
        <v>5.83</v>
      </c>
      <c r="M1917" s="11" t="s">
        <v>2769</v>
      </c>
      <c r="N1917" s="12" t="n">
        <f aca="false">INT(E1917)</f>
        <v>45800</v>
      </c>
      <c r="O1917" s="12" t="n">
        <f aca="false">IF(F1917="","",INT(F1917))</f>
        <v>45800</v>
      </c>
    </row>
    <row r="1918" customFormat="false" ht="15" hidden="false" customHeight="false" outlineLevel="0" collapsed="false">
      <c r="A1918" s="0" t="s">
        <v>3878</v>
      </c>
      <c r="B1918" s="0" t="s">
        <v>3879</v>
      </c>
      <c r="C1918" s="0" t="s">
        <v>20</v>
      </c>
      <c r="D1918" s="0" t="s">
        <v>42</v>
      </c>
      <c r="E1918" s="10" t="n">
        <v>45800.6027777778</v>
      </c>
      <c r="F1918" s="10" t="n">
        <v>45801.5041666667</v>
      </c>
      <c r="G1918" s="0" t="n">
        <v>450.41</v>
      </c>
      <c r="H1918" s="0" t="n">
        <v>434.64</v>
      </c>
      <c r="I1918" s="11" t="n">
        <f aca="false">H1918-G1918</f>
        <v>-15.77</v>
      </c>
      <c r="J1918" s="5" t="n">
        <f aca="false">IF(G1918=0,"",I1918/G1918)</f>
        <v>-0.0350125441264626</v>
      </c>
      <c r="K1918" s="0" t="n">
        <v>74.7</v>
      </c>
      <c r="L1918" s="0" t="n">
        <v>9.53</v>
      </c>
      <c r="M1918" s="11" t="s">
        <v>2769</v>
      </c>
      <c r="N1918" s="12" t="n">
        <f aca="false">INT(E1918)</f>
        <v>45800</v>
      </c>
      <c r="O1918" s="12" t="n">
        <f aca="false">IF(F1918="","",INT(F1918))</f>
        <v>45801</v>
      </c>
    </row>
    <row r="1919" customFormat="false" ht="15" hidden="false" customHeight="false" outlineLevel="0" collapsed="false">
      <c r="A1919" s="0" t="s">
        <v>3880</v>
      </c>
      <c r="B1919" s="0" t="s">
        <v>3881</v>
      </c>
      <c r="C1919" s="0" t="s">
        <v>23</v>
      </c>
      <c r="D1919" s="0" t="s">
        <v>42</v>
      </c>
      <c r="E1919" s="10" t="n">
        <v>45800.6069444444</v>
      </c>
      <c r="F1919" s="10" t="n">
        <v>45806.380625</v>
      </c>
      <c r="G1919" s="0" t="n">
        <v>737.09</v>
      </c>
      <c r="H1919" s="0" t="n">
        <v>745</v>
      </c>
      <c r="I1919" s="11" t="n">
        <f aca="false">H1919-G1919</f>
        <v>7.90999999999997</v>
      </c>
      <c r="J1919" s="5" t="n">
        <f aca="false">IF(G1919=0,"",I1919/G1919)</f>
        <v>0.0107313896539092</v>
      </c>
      <c r="K1919" s="0" t="n">
        <v>172.4</v>
      </c>
      <c r="L1919" s="0" t="n">
        <v>90.57</v>
      </c>
      <c r="M1919" s="11" t="s">
        <v>2769</v>
      </c>
      <c r="N1919" s="12" t="n">
        <f aca="false">INT(E1919)</f>
        <v>45800</v>
      </c>
      <c r="O1919" s="12" t="n">
        <f aca="false">IF(F1919="","",INT(F1919))</f>
        <v>45806</v>
      </c>
    </row>
    <row r="1920" customFormat="false" ht="15" hidden="false" customHeight="false" outlineLevel="0" collapsed="false">
      <c r="A1920" s="0" t="s">
        <v>3882</v>
      </c>
      <c r="B1920" s="0" t="s">
        <v>3883</v>
      </c>
      <c r="C1920" s="0" t="s">
        <v>23</v>
      </c>
      <c r="D1920" s="0" t="s">
        <v>42</v>
      </c>
      <c r="E1920" s="10" t="n">
        <v>45800.6138888889</v>
      </c>
      <c r="F1920" s="10" t="n">
        <v>45802.5168287037</v>
      </c>
      <c r="G1920" s="0" t="n">
        <v>356.36</v>
      </c>
      <c r="H1920" s="0" t="n">
        <v>355.07</v>
      </c>
      <c r="I1920" s="11" t="n">
        <f aca="false">H1920-G1920</f>
        <v>-1.29000000000002</v>
      </c>
      <c r="J1920" s="5" t="n">
        <f aca="false">IF(G1920=0,"",I1920/G1920)</f>
        <v>-0.00361993489729493</v>
      </c>
      <c r="K1920" s="0" t="n">
        <v>149.9</v>
      </c>
      <c r="L1920" s="0" t="n">
        <v>9.27</v>
      </c>
      <c r="M1920" s="11" t="s">
        <v>2769</v>
      </c>
      <c r="N1920" s="12" t="n">
        <f aca="false">INT(E1920)</f>
        <v>45800</v>
      </c>
      <c r="O1920" s="12" t="n">
        <f aca="false">IF(F1920="","",INT(F1920))</f>
        <v>45802</v>
      </c>
    </row>
    <row r="1921" customFormat="false" ht="15" hidden="false" customHeight="false" outlineLevel="0" collapsed="false">
      <c r="A1921" s="0" t="s">
        <v>3884</v>
      </c>
      <c r="B1921" s="0" t="s">
        <v>3885</v>
      </c>
      <c r="C1921" s="0" t="s">
        <v>23</v>
      </c>
      <c r="D1921" s="0" t="s">
        <v>42</v>
      </c>
      <c r="E1921" s="10" t="n">
        <v>45800.6291666667</v>
      </c>
      <c r="F1921" s="10" t="n">
        <v>45803.0402777778</v>
      </c>
      <c r="G1921" s="0" t="n">
        <v>113.35</v>
      </c>
      <c r="H1921" s="0" t="n">
        <v>117.42</v>
      </c>
      <c r="I1921" s="11" t="n">
        <f aca="false">H1921-G1921</f>
        <v>4.07000000000001</v>
      </c>
      <c r="J1921" s="5" t="n">
        <f aca="false">IF(G1921=0,"",I1921/G1921)</f>
        <v>0.0359064843405382</v>
      </c>
      <c r="K1921" s="0" t="n">
        <v>40</v>
      </c>
      <c r="L1921" s="0" t="n">
        <v>9.87</v>
      </c>
      <c r="M1921" s="11" t="s">
        <v>2769</v>
      </c>
      <c r="N1921" s="12" t="n">
        <f aca="false">INT(E1921)</f>
        <v>45800</v>
      </c>
      <c r="O1921" s="12" t="n">
        <f aca="false">IF(F1921="","",INT(F1921))</f>
        <v>45803</v>
      </c>
    </row>
    <row r="1922" customFormat="false" ht="15" hidden="false" customHeight="false" outlineLevel="0" collapsed="false">
      <c r="A1922" s="0" t="s">
        <v>3886</v>
      </c>
      <c r="B1922" s="0" t="s">
        <v>3887</v>
      </c>
      <c r="C1922" s="0" t="s">
        <v>21</v>
      </c>
      <c r="D1922" s="0" t="s">
        <v>42</v>
      </c>
      <c r="E1922" s="10" t="n">
        <v>45800.6347222222</v>
      </c>
      <c r="F1922" s="10" t="n">
        <v>45801.0439583333</v>
      </c>
      <c r="G1922" s="0" t="n">
        <v>35.21</v>
      </c>
      <c r="H1922" s="0" t="n">
        <v>34.4</v>
      </c>
      <c r="I1922" s="11" t="n">
        <f aca="false">H1922-G1922</f>
        <v>-0.810000000000002</v>
      </c>
      <c r="J1922" s="5" t="n">
        <f aca="false">IF(G1922=0,"",I1922/G1922)</f>
        <v>-0.0230048281738143</v>
      </c>
      <c r="K1922" s="0" t="n">
        <v>7.9</v>
      </c>
      <c r="L1922" s="0" t="n">
        <v>8.77</v>
      </c>
      <c r="M1922" s="11" t="s">
        <v>2769</v>
      </c>
      <c r="N1922" s="12" t="n">
        <f aca="false">INT(E1922)</f>
        <v>45800</v>
      </c>
      <c r="O1922" s="12" t="n">
        <f aca="false">IF(F1922="","",INT(F1922))</f>
        <v>45801</v>
      </c>
    </row>
    <row r="1923" customFormat="false" ht="15" hidden="false" customHeight="false" outlineLevel="0" collapsed="false">
      <c r="A1923" s="0" t="s">
        <v>3888</v>
      </c>
      <c r="B1923" s="0" t="s">
        <v>3889</v>
      </c>
      <c r="C1923" s="0" t="s">
        <v>20</v>
      </c>
      <c r="D1923" s="0" t="s">
        <v>42</v>
      </c>
      <c r="E1923" s="10" t="n">
        <v>45800.65625</v>
      </c>
      <c r="F1923" s="10" t="n">
        <v>45801.3731481481</v>
      </c>
      <c r="G1923" s="0" t="n">
        <v>121.18</v>
      </c>
      <c r="H1923" s="0" t="n">
        <v>125.88</v>
      </c>
      <c r="I1923" s="11" t="n">
        <f aca="false">H1923-G1923</f>
        <v>4.69999999999999</v>
      </c>
      <c r="J1923" s="5" t="n">
        <f aca="false">IF(G1923=0,"",I1923/G1923)</f>
        <v>0.0387852780986961</v>
      </c>
      <c r="K1923" s="0" t="n">
        <v>24.3</v>
      </c>
      <c r="L1923" s="0" t="n">
        <v>8.25</v>
      </c>
      <c r="M1923" s="11" t="s">
        <v>2769</v>
      </c>
      <c r="N1923" s="12" t="n">
        <f aca="false">INT(E1923)</f>
        <v>45800</v>
      </c>
      <c r="O1923" s="12" t="n">
        <f aca="false">IF(F1923="","",INT(F1923))</f>
        <v>45801</v>
      </c>
    </row>
    <row r="1924" customFormat="false" ht="15" hidden="false" customHeight="false" outlineLevel="0" collapsed="false">
      <c r="A1924" s="0" t="s">
        <v>3890</v>
      </c>
      <c r="B1924" s="0" t="s">
        <v>3891</v>
      </c>
      <c r="C1924" s="0" t="s">
        <v>20</v>
      </c>
      <c r="D1924" s="0" t="s">
        <v>42</v>
      </c>
      <c r="E1924" s="10" t="n">
        <v>45800.7131944444</v>
      </c>
      <c r="F1924" s="10" t="n">
        <v>45801.5112962963</v>
      </c>
      <c r="G1924" s="0" t="n">
        <v>539.84</v>
      </c>
      <c r="H1924" s="0" t="n">
        <v>542.8</v>
      </c>
      <c r="I1924" s="11" t="n">
        <f aca="false">H1924-G1924</f>
        <v>2.95999999999992</v>
      </c>
      <c r="J1924" s="5" t="n">
        <f aca="false">IF(G1924=0,"",I1924/G1924)</f>
        <v>0.0054831061055126</v>
      </c>
      <c r="K1924" s="0" t="n">
        <v>55.8</v>
      </c>
      <c r="L1924" s="0" t="n">
        <v>6.88</v>
      </c>
      <c r="M1924" s="11" t="s">
        <v>2769</v>
      </c>
      <c r="N1924" s="12" t="n">
        <f aca="false">INT(E1924)</f>
        <v>45800</v>
      </c>
      <c r="O1924" s="12" t="n">
        <f aca="false">IF(F1924="","",INT(F1924))</f>
        <v>45801</v>
      </c>
    </row>
    <row r="1925" customFormat="false" ht="15" hidden="false" customHeight="false" outlineLevel="0" collapsed="false">
      <c r="A1925" s="0" t="s">
        <v>3892</v>
      </c>
      <c r="B1925" s="0" t="s">
        <v>3893</v>
      </c>
      <c r="C1925" s="0" t="s">
        <v>20</v>
      </c>
      <c r="D1925" s="0" t="s">
        <v>42</v>
      </c>
      <c r="E1925" s="10" t="n">
        <v>45800.7194444445</v>
      </c>
      <c r="F1925" s="10" t="n">
        <v>45803.1014467593</v>
      </c>
      <c r="G1925" s="0" t="n">
        <v>407.66</v>
      </c>
      <c r="H1925" s="0" t="n">
        <v>403.86</v>
      </c>
      <c r="I1925" s="11" t="n">
        <f aca="false">H1925-G1925</f>
        <v>-3.80000000000001</v>
      </c>
      <c r="J1925" s="5" t="n">
        <f aca="false">IF(G1925=0,"",I1925/G1925)</f>
        <v>-0.00932149340136391</v>
      </c>
      <c r="K1925" s="0" t="n">
        <v>77.6</v>
      </c>
      <c r="L1925" s="0" t="n">
        <v>9.17</v>
      </c>
      <c r="M1925" s="11" t="s">
        <v>2769</v>
      </c>
      <c r="N1925" s="12" t="n">
        <f aca="false">INT(E1925)</f>
        <v>45800</v>
      </c>
      <c r="O1925" s="12" t="n">
        <f aca="false">IF(F1925="","",INT(F1925))</f>
        <v>45803</v>
      </c>
    </row>
    <row r="1926" customFormat="false" ht="15" hidden="false" customHeight="false" outlineLevel="0" collapsed="false">
      <c r="A1926" s="0" t="s">
        <v>3894</v>
      </c>
      <c r="B1926" s="0" t="s">
        <v>3895</v>
      </c>
      <c r="C1926" s="0" t="s">
        <v>24</v>
      </c>
      <c r="D1926" s="0" t="s">
        <v>42</v>
      </c>
      <c r="E1926" s="10" t="n">
        <v>45803.3</v>
      </c>
      <c r="F1926" s="10" t="n">
        <v>45804.5627430556</v>
      </c>
      <c r="G1926" s="0" t="n">
        <v>352.17</v>
      </c>
      <c r="H1926" s="0" t="n">
        <v>360</v>
      </c>
      <c r="I1926" s="11" t="n">
        <f aca="false">H1926-G1926</f>
        <v>7.82999999999998</v>
      </c>
      <c r="J1926" s="5" t="n">
        <f aca="false">IF(G1926=0,"",I1926/G1926)</f>
        <v>0.0222335803731152</v>
      </c>
      <c r="K1926" s="0" t="n">
        <v>141.3</v>
      </c>
      <c r="L1926" s="0" t="n">
        <v>30.31</v>
      </c>
      <c r="M1926" s="11" t="s">
        <v>2769</v>
      </c>
      <c r="N1926" s="12" t="n">
        <f aca="false">INT(E1926)</f>
        <v>45803</v>
      </c>
      <c r="O1926" s="12" t="n">
        <f aca="false">IF(F1926="","",INT(F1926))</f>
        <v>45804</v>
      </c>
    </row>
    <row r="1927" customFormat="false" ht="15" hidden="false" customHeight="false" outlineLevel="0" collapsed="false">
      <c r="A1927" s="0" t="s">
        <v>3896</v>
      </c>
      <c r="B1927" s="0" t="s">
        <v>3897</v>
      </c>
      <c r="C1927" s="0" t="s">
        <v>20</v>
      </c>
      <c r="D1927" s="0" t="s">
        <v>42</v>
      </c>
      <c r="E1927" s="10" t="n">
        <v>45803.3576388889</v>
      </c>
      <c r="F1927" s="10" t="n">
        <v>45806.1512731482</v>
      </c>
      <c r="G1927" s="0" t="n">
        <v>204.87</v>
      </c>
      <c r="H1927" s="0" t="n">
        <v>204.82</v>
      </c>
      <c r="I1927" s="11" t="n">
        <f aca="false">H1927-G1927</f>
        <v>-0.0500000000000114</v>
      </c>
      <c r="J1927" s="5" t="n">
        <f aca="false">IF(G1927=0,"",I1927/G1927)</f>
        <v>-0.000244057207009378</v>
      </c>
      <c r="K1927" s="0" t="n">
        <v>21.1</v>
      </c>
      <c r="L1927" s="0" t="n">
        <v>67.05</v>
      </c>
      <c r="M1927" s="11" t="s">
        <v>2769</v>
      </c>
      <c r="N1927" s="12" t="n">
        <f aca="false">INT(E1927)</f>
        <v>45803</v>
      </c>
      <c r="O1927" s="12" t="n">
        <f aca="false">IF(F1927="","",INT(F1927))</f>
        <v>45806</v>
      </c>
    </row>
    <row r="1928" customFormat="false" ht="15" hidden="false" customHeight="false" outlineLevel="0" collapsed="false">
      <c r="A1928" s="0" t="s">
        <v>3898</v>
      </c>
      <c r="B1928" s="0" t="s">
        <v>3899</v>
      </c>
      <c r="C1928" s="0" t="s">
        <v>21</v>
      </c>
      <c r="D1928" s="0" t="s">
        <v>42</v>
      </c>
      <c r="E1928" s="10" t="n">
        <v>45803.3819444445</v>
      </c>
      <c r="F1928" s="10" t="n">
        <v>45804.0027893519</v>
      </c>
      <c r="G1928" s="0" t="n">
        <v>285.94</v>
      </c>
      <c r="H1928" s="0" t="n">
        <v>223.23</v>
      </c>
      <c r="I1928" s="11" t="n">
        <f aca="false">H1928-G1928</f>
        <v>-62.71</v>
      </c>
      <c r="J1928" s="5" t="n">
        <f aca="false">IF(G1928=0,"",I1928/G1928)</f>
        <v>-0.219311743722459</v>
      </c>
      <c r="K1928" s="0" t="n">
        <v>73</v>
      </c>
      <c r="L1928" s="0" t="n">
        <v>14.9</v>
      </c>
      <c r="M1928" s="11" t="s">
        <v>2769</v>
      </c>
      <c r="N1928" s="12" t="n">
        <f aca="false">INT(E1928)</f>
        <v>45803</v>
      </c>
      <c r="O1928" s="12" t="n">
        <f aca="false">IF(F1928="","",INT(F1928))</f>
        <v>45804</v>
      </c>
    </row>
    <row r="1929" customFormat="false" ht="15" hidden="false" customHeight="false" outlineLevel="0" collapsed="false">
      <c r="A1929" s="0" t="s">
        <v>3900</v>
      </c>
      <c r="B1929" s="0" t="s">
        <v>3901</v>
      </c>
      <c r="C1929" s="0" t="s">
        <v>19</v>
      </c>
      <c r="D1929" s="0" t="s">
        <v>42</v>
      </c>
      <c r="E1929" s="10" t="n">
        <v>45803.3888888889</v>
      </c>
      <c r="F1929" s="10" t="n">
        <v>45803.7564351852</v>
      </c>
      <c r="G1929" s="0" t="n">
        <v>358.12</v>
      </c>
      <c r="H1929" s="0" t="n">
        <v>358.03</v>
      </c>
      <c r="I1929" s="11" t="n">
        <f aca="false">H1929-G1929</f>
        <v>-0.0900000000000318</v>
      </c>
      <c r="J1929" s="5" t="n">
        <f aca="false">IF(G1929=0,"",I1929/G1929)</f>
        <v>-0.000251312409248386</v>
      </c>
      <c r="K1929" s="0" t="n">
        <v>56.5</v>
      </c>
      <c r="L1929" s="0" t="n">
        <v>8.82</v>
      </c>
      <c r="M1929" s="11" t="s">
        <v>2769</v>
      </c>
      <c r="N1929" s="12" t="n">
        <f aca="false">INT(E1929)</f>
        <v>45803</v>
      </c>
      <c r="O1929" s="12" t="n">
        <f aca="false">IF(F1929="","",INT(F1929))</f>
        <v>45803</v>
      </c>
    </row>
    <row r="1930" customFormat="false" ht="15" hidden="false" customHeight="false" outlineLevel="0" collapsed="false">
      <c r="A1930" s="0" t="s">
        <v>3902</v>
      </c>
      <c r="B1930" s="0" t="s">
        <v>3903</v>
      </c>
      <c r="C1930" s="0" t="s">
        <v>24</v>
      </c>
      <c r="D1930" s="0" t="s">
        <v>42</v>
      </c>
      <c r="E1930" s="10" t="n">
        <v>45803.3958333333</v>
      </c>
      <c r="F1930" s="10" t="n">
        <v>45804.8566666667</v>
      </c>
      <c r="G1930" s="0" t="n">
        <v>1051.85</v>
      </c>
      <c r="H1930" s="0" t="n">
        <v>1068.7</v>
      </c>
      <c r="I1930" s="11" t="n">
        <f aca="false">H1930-G1930</f>
        <v>16.8500000000001</v>
      </c>
      <c r="J1930" s="5" t="n">
        <f aca="false">IF(G1930=0,"",I1930/G1930)</f>
        <v>0.0160193944003424</v>
      </c>
      <c r="K1930" s="0" t="n">
        <v>265.5</v>
      </c>
      <c r="L1930" s="0" t="n">
        <v>35.06</v>
      </c>
      <c r="M1930" s="11" t="s">
        <v>2769</v>
      </c>
      <c r="N1930" s="12" t="n">
        <f aca="false">INT(E1930)</f>
        <v>45803</v>
      </c>
      <c r="O1930" s="12" t="n">
        <f aca="false">IF(F1930="","",INT(F1930))</f>
        <v>45804</v>
      </c>
    </row>
    <row r="1931" customFormat="false" ht="15" hidden="false" customHeight="false" outlineLevel="0" collapsed="false">
      <c r="A1931" s="0" t="s">
        <v>3904</v>
      </c>
      <c r="B1931" s="0" t="s">
        <v>3905</v>
      </c>
      <c r="C1931" s="0" t="s">
        <v>21</v>
      </c>
      <c r="D1931" s="0" t="s">
        <v>42</v>
      </c>
      <c r="E1931" s="10" t="n">
        <v>45803.3972222222</v>
      </c>
      <c r="F1931" s="10" t="n">
        <v>45803.8256944444</v>
      </c>
      <c r="G1931" s="0" t="n">
        <v>700.5</v>
      </c>
      <c r="H1931" s="0" t="n">
        <v>719.33</v>
      </c>
      <c r="I1931" s="11" t="n">
        <f aca="false">H1931-G1931</f>
        <v>18.83</v>
      </c>
      <c r="J1931" s="5" t="n">
        <f aca="false">IF(G1931=0,"",I1931/G1931)</f>
        <v>0.0268807994289794</v>
      </c>
      <c r="K1931" s="0" t="n">
        <v>93.3</v>
      </c>
      <c r="L1931" s="0" t="n">
        <v>10.28</v>
      </c>
      <c r="M1931" s="11" t="s">
        <v>2769</v>
      </c>
      <c r="N1931" s="12" t="n">
        <f aca="false">INT(E1931)</f>
        <v>45803</v>
      </c>
      <c r="O1931" s="12" t="n">
        <f aca="false">IF(F1931="","",INT(F1931))</f>
        <v>45803</v>
      </c>
    </row>
    <row r="1932" customFormat="false" ht="15" hidden="false" customHeight="false" outlineLevel="0" collapsed="false">
      <c r="A1932" s="0" t="s">
        <v>3906</v>
      </c>
      <c r="B1932" s="0" t="s">
        <v>3907</v>
      </c>
      <c r="C1932" s="0" t="s">
        <v>23</v>
      </c>
      <c r="D1932" s="0" t="s">
        <v>42</v>
      </c>
      <c r="E1932" s="10" t="n">
        <v>45803.41875</v>
      </c>
      <c r="F1932" s="10" t="n">
        <v>45804.2930555556</v>
      </c>
      <c r="G1932" s="0" t="n">
        <v>472.92</v>
      </c>
      <c r="H1932" s="0" t="n">
        <v>478.68</v>
      </c>
      <c r="I1932" s="11" t="n">
        <f aca="false">H1932-G1932</f>
        <v>5.75999999999999</v>
      </c>
      <c r="J1932" s="5" t="n">
        <f aca="false">IF(G1932=0,"",I1932/G1932)</f>
        <v>0.0121796498350672</v>
      </c>
      <c r="K1932" s="0" t="n">
        <v>132.3</v>
      </c>
      <c r="L1932" s="0" t="n">
        <v>20.98</v>
      </c>
      <c r="M1932" s="11" t="s">
        <v>2769</v>
      </c>
      <c r="N1932" s="12" t="n">
        <f aca="false">INT(E1932)</f>
        <v>45803</v>
      </c>
      <c r="O1932" s="12" t="n">
        <f aca="false">IF(F1932="","",INT(F1932))</f>
        <v>45804</v>
      </c>
    </row>
    <row r="1933" customFormat="false" ht="15" hidden="false" customHeight="false" outlineLevel="0" collapsed="false">
      <c r="A1933" s="0" t="s">
        <v>3908</v>
      </c>
      <c r="B1933" s="0" t="s">
        <v>3909</v>
      </c>
      <c r="C1933" s="0" t="s">
        <v>21</v>
      </c>
      <c r="D1933" s="0" t="s">
        <v>42</v>
      </c>
      <c r="E1933" s="10" t="n">
        <v>45803.4326388889</v>
      </c>
      <c r="F1933" s="10" t="n">
        <v>45804.2652777778</v>
      </c>
      <c r="G1933" s="0" t="n">
        <v>162.05</v>
      </c>
      <c r="H1933" s="0" t="n">
        <v>163.61</v>
      </c>
      <c r="I1933" s="11" t="n">
        <f aca="false">H1933-G1933</f>
        <v>1.56</v>
      </c>
      <c r="J1933" s="5" t="n">
        <f aca="false">IF(G1933=0,"",I1933/G1933)</f>
        <v>0.00962665843875349</v>
      </c>
      <c r="K1933" s="0" t="n">
        <v>41</v>
      </c>
      <c r="L1933" s="0" t="n">
        <v>19.98</v>
      </c>
      <c r="M1933" s="11" t="s">
        <v>2769</v>
      </c>
      <c r="N1933" s="12" t="n">
        <f aca="false">INT(E1933)</f>
        <v>45803</v>
      </c>
      <c r="O1933" s="12" t="n">
        <f aca="false">IF(F1933="","",INT(F1933))</f>
        <v>45804</v>
      </c>
    </row>
    <row r="1934" customFormat="false" ht="15" hidden="false" customHeight="false" outlineLevel="0" collapsed="false">
      <c r="A1934" s="0" t="s">
        <v>3910</v>
      </c>
      <c r="B1934" s="0" t="s">
        <v>3911</v>
      </c>
      <c r="C1934" s="0" t="s">
        <v>22</v>
      </c>
      <c r="D1934" s="0" t="s">
        <v>42</v>
      </c>
      <c r="E1934" s="10" t="n">
        <v>45803.4368055556</v>
      </c>
      <c r="F1934" s="10" t="n">
        <v>45805.0550462963</v>
      </c>
      <c r="G1934" s="0" t="n">
        <v>339.67</v>
      </c>
      <c r="H1934" s="0" t="n">
        <v>336.2</v>
      </c>
      <c r="I1934" s="11" t="n">
        <f aca="false">H1934-G1934</f>
        <v>-3.47000000000003</v>
      </c>
      <c r="J1934" s="5" t="n">
        <f aca="false">IF(G1934=0,"",I1934/G1934)</f>
        <v>-0.0102157976859894</v>
      </c>
      <c r="K1934" s="0" t="n">
        <v>68.9</v>
      </c>
      <c r="L1934" s="0" t="n">
        <v>38.84</v>
      </c>
      <c r="M1934" s="11" t="s">
        <v>2769</v>
      </c>
      <c r="N1934" s="12" t="n">
        <f aca="false">INT(E1934)</f>
        <v>45803</v>
      </c>
      <c r="O1934" s="12" t="n">
        <f aca="false">IF(F1934="","",INT(F1934))</f>
        <v>45805</v>
      </c>
    </row>
    <row r="1935" customFormat="false" ht="15" hidden="false" customHeight="false" outlineLevel="0" collapsed="false">
      <c r="A1935" s="0" t="s">
        <v>3912</v>
      </c>
      <c r="B1935" s="0" t="s">
        <v>3913</v>
      </c>
      <c r="C1935" s="0" t="s">
        <v>21</v>
      </c>
      <c r="D1935" s="0" t="s">
        <v>42</v>
      </c>
      <c r="E1935" s="10" t="n">
        <v>45803.4611111111</v>
      </c>
      <c r="F1935" s="10" t="n">
        <v>45804.1076388889</v>
      </c>
      <c r="G1935" s="0" t="n">
        <v>181.25</v>
      </c>
      <c r="H1935" s="0" t="n">
        <v>186.29</v>
      </c>
      <c r="I1935" s="11" t="n">
        <f aca="false">H1935-G1935</f>
        <v>5.03999999999999</v>
      </c>
      <c r="J1935" s="5" t="n">
        <f aca="false">IF(G1935=0,"",I1935/G1935)</f>
        <v>0.0278068965517241</v>
      </c>
      <c r="K1935" s="0" t="n">
        <v>50.4</v>
      </c>
      <c r="L1935" s="0" t="n">
        <v>15.52</v>
      </c>
      <c r="M1935" s="11" t="s">
        <v>2769</v>
      </c>
      <c r="N1935" s="12" t="n">
        <f aca="false">INT(E1935)</f>
        <v>45803</v>
      </c>
      <c r="O1935" s="12" t="n">
        <f aca="false">IF(F1935="","",INT(F1935))</f>
        <v>45804</v>
      </c>
    </row>
    <row r="1936" customFormat="false" ht="15" hidden="false" customHeight="false" outlineLevel="0" collapsed="false">
      <c r="A1936" s="0" t="s">
        <v>3914</v>
      </c>
      <c r="B1936" s="0" t="s">
        <v>3915</v>
      </c>
      <c r="C1936" s="0" t="s">
        <v>20</v>
      </c>
      <c r="D1936" s="0" t="s">
        <v>42</v>
      </c>
      <c r="E1936" s="10" t="n">
        <v>45803.4986111111</v>
      </c>
      <c r="F1936" s="10" t="n">
        <v>45805.2410185185</v>
      </c>
      <c r="G1936" s="0" t="n">
        <v>232.08</v>
      </c>
      <c r="H1936" s="0" t="n">
        <v>234.16</v>
      </c>
      <c r="I1936" s="11" t="n">
        <f aca="false">H1936-G1936</f>
        <v>2.07999999999998</v>
      </c>
      <c r="J1936" s="5" t="n">
        <f aca="false">IF(G1936=0,"",I1936/G1936)</f>
        <v>0.00896242674939669</v>
      </c>
      <c r="K1936" s="0" t="n">
        <v>52</v>
      </c>
      <c r="L1936" s="0" t="n">
        <v>41.82</v>
      </c>
      <c r="M1936" s="11" t="s">
        <v>2769</v>
      </c>
      <c r="N1936" s="12" t="n">
        <f aca="false">INT(E1936)</f>
        <v>45803</v>
      </c>
      <c r="O1936" s="12" t="n">
        <f aca="false">IF(F1936="","",INT(F1936))</f>
        <v>45805</v>
      </c>
    </row>
    <row r="1937" customFormat="false" ht="15" hidden="false" customHeight="false" outlineLevel="0" collapsed="false">
      <c r="A1937" s="0" t="s">
        <v>3916</v>
      </c>
      <c r="B1937" s="0" t="s">
        <v>3917</v>
      </c>
      <c r="C1937" s="0" t="s">
        <v>23</v>
      </c>
      <c r="D1937" s="0" t="s">
        <v>42</v>
      </c>
      <c r="E1937" s="10" t="n">
        <v>45803.5048611111</v>
      </c>
      <c r="F1937" s="10" t="n">
        <v>45804.5013888889</v>
      </c>
      <c r="G1937" s="0" t="n">
        <v>1149.9</v>
      </c>
      <c r="H1937" s="0" t="n">
        <v>1162.57</v>
      </c>
      <c r="I1937" s="11" t="n">
        <f aca="false">H1937-G1937</f>
        <v>12.6699999999998</v>
      </c>
      <c r="J1937" s="5" t="n">
        <f aca="false">IF(G1937=0,"",I1937/G1937)</f>
        <v>0.0110183494216887</v>
      </c>
      <c r="K1937" s="0" t="n">
        <v>496.4</v>
      </c>
      <c r="L1937" s="0" t="n">
        <v>23.92</v>
      </c>
      <c r="M1937" s="11" t="s">
        <v>2769</v>
      </c>
      <c r="N1937" s="12" t="n">
        <f aca="false">INT(E1937)</f>
        <v>45803</v>
      </c>
      <c r="O1937" s="12" t="n">
        <f aca="false">IF(F1937="","",INT(F1937))</f>
        <v>45804</v>
      </c>
    </row>
    <row r="1938" customFormat="false" ht="15" hidden="false" customHeight="false" outlineLevel="0" collapsed="false">
      <c r="A1938" s="0" t="s">
        <v>3918</v>
      </c>
      <c r="B1938" s="0" t="s">
        <v>3919</v>
      </c>
      <c r="C1938" s="0" t="s">
        <v>23</v>
      </c>
      <c r="D1938" s="0" t="s">
        <v>42</v>
      </c>
      <c r="E1938" s="10" t="n">
        <v>45803.5388888889</v>
      </c>
      <c r="F1938" s="10" t="n">
        <v>45804.6611111111</v>
      </c>
      <c r="G1938" s="0" t="n">
        <v>411.68</v>
      </c>
      <c r="H1938" s="0" t="n">
        <v>398.57</v>
      </c>
      <c r="I1938" s="11" t="n">
        <f aca="false">H1938-G1938</f>
        <v>-13.11</v>
      </c>
      <c r="J1938" s="5" t="n">
        <f aca="false">IF(G1938=0,"",I1938/G1938)</f>
        <v>-0.0318451224251846</v>
      </c>
      <c r="K1938" s="0" t="n">
        <v>88.3</v>
      </c>
      <c r="L1938" s="0" t="n">
        <v>26.93</v>
      </c>
      <c r="M1938" s="11" t="s">
        <v>2769</v>
      </c>
      <c r="N1938" s="12" t="n">
        <f aca="false">INT(E1938)</f>
        <v>45803</v>
      </c>
      <c r="O1938" s="12" t="n">
        <f aca="false">IF(F1938="","",INT(F1938))</f>
        <v>45804</v>
      </c>
    </row>
    <row r="1939" customFormat="false" ht="15" hidden="false" customHeight="false" outlineLevel="0" collapsed="false">
      <c r="A1939" s="0" t="s">
        <v>3920</v>
      </c>
      <c r="B1939" s="0" t="s">
        <v>3921</v>
      </c>
      <c r="C1939" s="0" t="s">
        <v>22</v>
      </c>
      <c r="D1939" s="0" t="s">
        <v>303</v>
      </c>
      <c r="E1939" s="10" t="n">
        <v>45803.5416666667</v>
      </c>
      <c r="F1939" s="10"/>
      <c r="G1939" s="0" t="n">
        <v>218.89</v>
      </c>
      <c r="H1939" s="0" t="n">
        <v>223.34</v>
      </c>
      <c r="I1939" s="11" t="n">
        <f aca="false">H1939-G1939</f>
        <v>4.45000000000002</v>
      </c>
      <c r="J1939" s="5" t="n">
        <f aca="false">IF(G1939=0,"",I1939/G1939)</f>
        <v>0.0203298460413907</v>
      </c>
      <c r="K1939" s="0" t="n">
        <v>22.5</v>
      </c>
      <c r="M1939" s="11" t="s">
        <v>2769</v>
      </c>
      <c r="N1939" s="12" t="n">
        <f aca="false">INT(E1939)</f>
        <v>45803</v>
      </c>
      <c r="O1939" s="12" t="str">
        <f aca="false">IF(F1939="","",INT(F1939))</f>
        <v/>
      </c>
    </row>
    <row r="1940" customFormat="false" ht="15" hidden="false" customHeight="false" outlineLevel="0" collapsed="false">
      <c r="A1940" s="0" t="s">
        <v>3922</v>
      </c>
      <c r="B1940" s="0" t="s">
        <v>3923</v>
      </c>
      <c r="C1940" s="0" t="s">
        <v>23</v>
      </c>
      <c r="D1940" s="0" t="s">
        <v>42</v>
      </c>
      <c r="E1940" s="10" t="n">
        <v>45803.5916666667</v>
      </c>
      <c r="F1940" s="10" t="n">
        <v>45804.1994675926</v>
      </c>
      <c r="G1940" s="0" t="n">
        <v>238.85</v>
      </c>
      <c r="H1940" s="0" t="n">
        <v>248.74</v>
      </c>
      <c r="I1940" s="11" t="n">
        <f aca="false">H1940-G1940</f>
        <v>9.89000000000002</v>
      </c>
      <c r="J1940" s="5" t="n">
        <f aca="false">IF(G1940=0,"",I1940/G1940)</f>
        <v>0.041406740632196</v>
      </c>
      <c r="K1940" s="0" t="n">
        <v>58.9</v>
      </c>
      <c r="L1940" s="0" t="n">
        <v>14.59</v>
      </c>
      <c r="M1940" s="11" t="s">
        <v>2769</v>
      </c>
      <c r="N1940" s="12" t="n">
        <f aca="false">INT(E1940)</f>
        <v>45803</v>
      </c>
      <c r="O1940" s="12" t="n">
        <f aca="false">IF(F1940="","",INT(F1940))</f>
        <v>45804</v>
      </c>
    </row>
    <row r="1941" customFormat="false" ht="15" hidden="false" customHeight="false" outlineLevel="0" collapsed="false">
      <c r="A1941" s="0" t="s">
        <v>3924</v>
      </c>
      <c r="B1941" s="0" t="s">
        <v>3925</v>
      </c>
      <c r="C1941" s="0" t="s">
        <v>19</v>
      </c>
      <c r="D1941" s="0" t="s">
        <v>42</v>
      </c>
      <c r="E1941" s="10" t="n">
        <v>45803.5951388889</v>
      </c>
      <c r="F1941" s="10" t="n">
        <v>45803.9826388889</v>
      </c>
      <c r="G1941" s="0" t="n">
        <v>269.42</v>
      </c>
      <c r="H1941" s="0" t="n">
        <v>265.57</v>
      </c>
      <c r="I1941" s="11" t="n">
        <f aca="false">H1941-G1941</f>
        <v>-3.85000000000002</v>
      </c>
      <c r="J1941" s="5" t="n">
        <f aca="false">IF(G1941=0,"",I1941/G1941)</f>
        <v>-0.0142899562022122</v>
      </c>
      <c r="K1941" s="0" t="n">
        <v>27.6</v>
      </c>
      <c r="L1941" s="0" t="n">
        <v>9.3</v>
      </c>
      <c r="M1941" s="11" t="s">
        <v>2769</v>
      </c>
      <c r="N1941" s="12" t="n">
        <f aca="false">INT(E1941)</f>
        <v>45803</v>
      </c>
      <c r="O1941" s="12" t="n">
        <f aca="false">IF(F1941="","",INT(F1941))</f>
        <v>45803</v>
      </c>
    </row>
    <row r="1942" customFormat="false" ht="15" hidden="false" customHeight="false" outlineLevel="0" collapsed="false">
      <c r="A1942" s="0" t="s">
        <v>3926</v>
      </c>
      <c r="B1942" s="0" t="s">
        <v>3927</v>
      </c>
      <c r="C1942" s="0" t="s">
        <v>21</v>
      </c>
      <c r="D1942" s="0" t="s">
        <v>42</v>
      </c>
      <c r="E1942" s="10" t="n">
        <v>45803.6361111111</v>
      </c>
      <c r="F1942" s="10" t="n">
        <v>45804.1523726852</v>
      </c>
      <c r="G1942" s="0" t="n">
        <v>716.12</v>
      </c>
      <c r="H1942" s="0" t="n">
        <v>699.66</v>
      </c>
      <c r="I1942" s="11" t="n">
        <f aca="false">H1942-G1942</f>
        <v>-16.46</v>
      </c>
      <c r="J1942" s="5" t="n">
        <f aca="false">IF(G1942=0,"",I1942/G1942)</f>
        <v>-0.0229849745852651</v>
      </c>
      <c r="K1942" s="0" t="n">
        <v>96.7</v>
      </c>
      <c r="L1942" s="0" t="n">
        <v>12.39</v>
      </c>
      <c r="M1942" s="11" t="s">
        <v>2769</v>
      </c>
      <c r="N1942" s="12" t="n">
        <f aca="false">INT(E1942)</f>
        <v>45803</v>
      </c>
      <c r="O1942" s="12" t="n">
        <f aca="false">IF(F1942="","",INT(F1942))</f>
        <v>45804</v>
      </c>
    </row>
    <row r="1943" customFormat="false" ht="15" hidden="false" customHeight="false" outlineLevel="0" collapsed="false">
      <c r="A1943" s="0" t="s">
        <v>3928</v>
      </c>
      <c r="B1943" s="0" t="s">
        <v>3929</v>
      </c>
      <c r="C1943" s="0" t="s">
        <v>20</v>
      </c>
      <c r="D1943" s="0" t="s">
        <v>42</v>
      </c>
      <c r="E1943" s="10" t="n">
        <v>45803.6555555556</v>
      </c>
      <c r="F1943" s="10" t="n">
        <v>45804.0184953704</v>
      </c>
      <c r="G1943" s="0" t="n">
        <v>1403.14</v>
      </c>
      <c r="H1943" s="0" t="n">
        <v>1373.91</v>
      </c>
      <c r="I1943" s="11" t="n">
        <f aca="false">H1943-G1943</f>
        <v>-29.23</v>
      </c>
      <c r="J1943" s="5" t="n">
        <f aca="false">IF(G1943=0,"",I1943/G1943)</f>
        <v>-0.0208318485682113</v>
      </c>
      <c r="K1943" s="0" t="n">
        <v>267</v>
      </c>
      <c r="L1943" s="0" t="n">
        <v>8.71</v>
      </c>
      <c r="M1943" s="11" t="s">
        <v>2769</v>
      </c>
      <c r="N1943" s="12" t="n">
        <f aca="false">INT(E1943)</f>
        <v>45803</v>
      </c>
      <c r="O1943" s="12" t="n">
        <f aca="false">IF(F1943="","",INT(F1943))</f>
        <v>45804</v>
      </c>
    </row>
    <row r="1944" customFormat="false" ht="15" hidden="false" customHeight="false" outlineLevel="0" collapsed="false">
      <c r="A1944" s="0" t="s">
        <v>3930</v>
      </c>
      <c r="B1944" s="0" t="s">
        <v>3931</v>
      </c>
      <c r="C1944" s="0" t="s">
        <v>23</v>
      </c>
      <c r="D1944" s="0" t="s">
        <v>42</v>
      </c>
      <c r="E1944" s="10" t="n">
        <v>45803.6847222222</v>
      </c>
      <c r="F1944" s="10" t="n">
        <v>45804.6020833333</v>
      </c>
      <c r="G1944" s="0" t="n">
        <v>191.78</v>
      </c>
      <c r="H1944" s="0" t="n">
        <v>196.61</v>
      </c>
      <c r="I1944" s="11" t="n">
        <f aca="false">H1944-G1944</f>
        <v>4.83000000000001</v>
      </c>
      <c r="J1944" s="5" t="n">
        <f aca="false">IF(G1944=0,"",I1944/G1944)</f>
        <v>0.0251851079361769</v>
      </c>
      <c r="K1944" s="0" t="n">
        <v>39.3</v>
      </c>
      <c r="L1944" s="0" t="n">
        <v>22.02</v>
      </c>
      <c r="M1944" s="11" t="s">
        <v>2769</v>
      </c>
      <c r="N1944" s="12" t="n">
        <f aca="false">INT(E1944)</f>
        <v>45803</v>
      </c>
      <c r="O1944" s="12" t="n">
        <f aca="false">IF(F1944="","",INT(F1944))</f>
        <v>45804</v>
      </c>
    </row>
    <row r="1945" customFormat="false" ht="15" hidden="false" customHeight="false" outlineLevel="0" collapsed="false">
      <c r="A1945" s="0" t="s">
        <v>3932</v>
      </c>
      <c r="B1945" s="0" t="s">
        <v>3933</v>
      </c>
      <c r="C1945" s="0" t="s">
        <v>20</v>
      </c>
      <c r="D1945" s="0" t="s">
        <v>42</v>
      </c>
      <c r="E1945" s="10" t="n">
        <v>45803.7020833333</v>
      </c>
      <c r="F1945" s="10" t="n">
        <v>45805.2986111111</v>
      </c>
      <c r="G1945" s="0" t="n">
        <v>239.53</v>
      </c>
      <c r="H1945" s="0" t="n">
        <v>246.12</v>
      </c>
      <c r="I1945" s="11" t="n">
        <f aca="false">H1945-G1945</f>
        <v>6.59</v>
      </c>
      <c r="J1945" s="5" t="n">
        <f aca="false">IF(G1945=0,"",I1945/G1945)</f>
        <v>0.0275122114140191</v>
      </c>
      <c r="K1945" s="0" t="n">
        <v>33.9</v>
      </c>
      <c r="L1945" s="0" t="n">
        <v>38.32</v>
      </c>
      <c r="M1945" s="11" t="s">
        <v>2769</v>
      </c>
      <c r="N1945" s="12" t="n">
        <f aca="false">INT(E1945)</f>
        <v>45803</v>
      </c>
      <c r="O1945" s="12" t="n">
        <f aca="false">IF(F1945="","",INT(F1945))</f>
        <v>45805</v>
      </c>
    </row>
    <row r="1946" customFormat="false" ht="15" hidden="false" customHeight="false" outlineLevel="0" collapsed="false">
      <c r="A1946" s="0" t="s">
        <v>3934</v>
      </c>
      <c r="B1946" s="0" t="s">
        <v>3935</v>
      </c>
      <c r="C1946" s="0" t="s">
        <v>23</v>
      </c>
      <c r="D1946" s="0" t="s">
        <v>42</v>
      </c>
      <c r="E1946" s="10" t="n">
        <v>45803.7055555556</v>
      </c>
      <c r="F1946" s="10" t="n">
        <v>45804.833287037</v>
      </c>
      <c r="G1946" s="0" t="n">
        <v>69.52</v>
      </c>
      <c r="H1946" s="0" t="n">
        <v>71.4</v>
      </c>
      <c r="I1946" s="11" t="n">
        <f aca="false">H1946-G1946</f>
        <v>1.88000000000001</v>
      </c>
      <c r="J1946" s="5" t="n">
        <f aca="false">IF(G1946=0,"",I1946/G1946)</f>
        <v>0.0270425776754892</v>
      </c>
      <c r="K1946" s="0" t="n">
        <v>21.3</v>
      </c>
      <c r="L1946" s="0" t="n">
        <v>27.07</v>
      </c>
      <c r="M1946" s="11" t="s">
        <v>2769</v>
      </c>
      <c r="N1946" s="12" t="n">
        <f aca="false">INT(E1946)</f>
        <v>45803</v>
      </c>
      <c r="O1946" s="12" t="n">
        <f aca="false">IF(F1946="","",INT(F1946))</f>
        <v>45804</v>
      </c>
    </row>
    <row r="1947" customFormat="false" ht="15" hidden="false" customHeight="false" outlineLevel="0" collapsed="false">
      <c r="A1947" s="0" t="s">
        <v>3936</v>
      </c>
      <c r="B1947" s="0" t="s">
        <v>3937</v>
      </c>
      <c r="C1947" s="0" t="s">
        <v>24</v>
      </c>
      <c r="D1947" s="0" t="s">
        <v>42</v>
      </c>
      <c r="E1947" s="10" t="n">
        <v>45803.7083333333</v>
      </c>
      <c r="F1947" s="10" t="n">
        <v>45805.5361111111</v>
      </c>
      <c r="G1947" s="0" t="n">
        <v>179.46</v>
      </c>
      <c r="H1947" s="0" t="n">
        <v>185.17</v>
      </c>
      <c r="I1947" s="11" t="n">
        <f aca="false">H1947-G1947</f>
        <v>5.70999999999998</v>
      </c>
      <c r="J1947" s="5" t="n">
        <f aca="false">IF(G1947=0,"",I1947/G1947)</f>
        <v>0.031817675247966</v>
      </c>
      <c r="K1947" s="0" t="n">
        <v>69.3</v>
      </c>
      <c r="L1947" s="0" t="n">
        <v>43.87</v>
      </c>
      <c r="M1947" s="11" t="s">
        <v>2769</v>
      </c>
      <c r="N1947" s="12" t="n">
        <f aca="false">INT(E1947)</f>
        <v>45803</v>
      </c>
      <c r="O1947" s="12" t="n">
        <f aca="false">IF(F1947="","",INT(F1947))</f>
        <v>45805</v>
      </c>
    </row>
    <row r="1948" customFormat="false" ht="15" hidden="false" customHeight="false" outlineLevel="0" collapsed="false">
      <c r="A1948" s="0" t="s">
        <v>3938</v>
      </c>
      <c r="B1948" s="0" t="s">
        <v>3939</v>
      </c>
      <c r="C1948" s="0" t="s">
        <v>24</v>
      </c>
      <c r="D1948" s="0" t="s">
        <v>48</v>
      </c>
      <c r="E1948" s="10" t="n">
        <v>45803.7194444445</v>
      </c>
      <c r="F1948" s="10"/>
      <c r="G1948" s="0" t="n">
        <v>197.35</v>
      </c>
      <c r="H1948" s="0" t="n">
        <v>203.17</v>
      </c>
      <c r="I1948" s="11" t="n">
        <f aca="false">H1948-G1948</f>
        <v>5.81999999999999</v>
      </c>
      <c r="J1948" s="5" t="n">
        <f aca="false">IF(G1948=0,"",I1948/G1948)</f>
        <v>0.0294907524702305</v>
      </c>
      <c r="K1948" s="0" t="n">
        <v>49.7</v>
      </c>
      <c r="M1948" s="11" t="s">
        <v>2769</v>
      </c>
      <c r="N1948" s="12" t="n">
        <f aca="false">INT(E1948)</f>
        <v>45803</v>
      </c>
      <c r="O1948" s="12" t="str">
        <f aca="false">IF(F1948="","",INT(F1948))</f>
        <v/>
      </c>
    </row>
    <row r="1949" customFormat="false" ht="15" hidden="false" customHeight="false" outlineLevel="0" collapsed="false">
      <c r="A1949" s="0" t="s">
        <v>3940</v>
      </c>
      <c r="B1949" s="0" t="s">
        <v>3941</v>
      </c>
      <c r="C1949" s="0" t="s">
        <v>24</v>
      </c>
      <c r="D1949" s="0" t="s">
        <v>42</v>
      </c>
      <c r="E1949" s="10" t="n">
        <v>45803.7243055556</v>
      </c>
      <c r="F1949" s="10" t="n">
        <v>45804.4826388889</v>
      </c>
      <c r="G1949" s="0" t="n">
        <v>391.37</v>
      </c>
      <c r="H1949" s="0" t="n">
        <v>392.94</v>
      </c>
      <c r="I1949" s="11" t="n">
        <f aca="false">H1949-G1949</f>
        <v>1.56999999999999</v>
      </c>
      <c r="J1949" s="5" t="n">
        <f aca="false">IF(G1949=0,"",I1949/G1949)</f>
        <v>0.00401154917341644</v>
      </c>
      <c r="K1949" s="0" t="n">
        <v>74.4</v>
      </c>
      <c r="L1949" s="0" t="n">
        <v>18.2</v>
      </c>
      <c r="M1949" s="11" t="s">
        <v>2769</v>
      </c>
      <c r="N1949" s="12" t="n">
        <f aca="false">INT(E1949)</f>
        <v>45803</v>
      </c>
      <c r="O1949" s="12" t="n">
        <f aca="false">IF(F1949="","",INT(F1949))</f>
        <v>45804</v>
      </c>
    </row>
    <row r="1950" customFormat="false" ht="15" hidden="false" customHeight="false" outlineLevel="0" collapsed="false">
      <c r="A1950" s="0" t="s">
        <v>3942</v>
      </c>
      <c r="B1950" s="0" t="s">
        <v>3943</v>
      </c>
      <c r="C1950" s="0" t="s">
        <v>21</v>
      </c>
      <c r="D1950" s="0" t="s">
        <v>42</v>
      </c>
      <c r="E1950" s="10" t="n">
        <v>45803.7298611111</v>
      </c>
      <c r="F1950" s="10" t="n">
        <v>45804.1090972222</v>
      </c>
      <c r="G1950" s="0" t="n">
        <v>177.36</v>
      </c>
      <c r="H1950" s="0" t="n">
        <v>176.68</v>
      </c>
      <c r="I1950" s="11" t="n">
        <f aca="false">H1950-G1950</f>
        <v>-0.680000000000007</v>
      </c>
      <c r="J1950" s="5" t="n">
        <f aca="false">IF(G1950=0,"",I1950/G1950)</f>
        <v>-0.00383400992331984</v>
      </c>
      <c r="K1950" s="0" t="n">
        <v>37.5</v>
      </c>
      <c r="L1950" s="0" t="n">
        <v>9.1</v>
      </c>
      <c r="M1950" s="11" t="s">
        <v>2769</v>
      </c>
      <c r="N1950" s="12" t="n">
        <f aca="false">INT(E1950)</f>
        <v>45803</v>
      </c>
      <c r="O1950" s="12" t="n">
        <f aca="false">IF(F1950="","",INT(F1950))</f>
        <v>45804</v>
      </c>
    </row>
    <row r="1951" customFormat="false" ht="15" hidden="false" customHeight="false" outlineLevel="0" collapsed="false">
      <c r="A1951" s="0" t="s">
        <v>3944</v>
      </c>
      <c r="B1951" s="0" t="s">
        <v>3945</v>
      </c>
      <c r="C1951" s="0" t="s">
        <v>20</v>
      </c>
      <c r="D1951" s="0" t="s">
        <v>42</v>
      </c>
      <c r="E1951" s="10" t="n">
        <v>45803.7381944444</v>
      </c>
      <c r="F1951" s="10" t="n">
        <v>45804.5958333333</v>
      </c>
      <c r="G1951" s="0" t="n">
        <v>772.33</v>
      </c>
      <c r="H1951" s="0" t="n">
        <v>795.02</v>
      </c>
      <c r="I1951" s="11" t="n">
        <f aca="false">H1951-G1951</f>
        <v>22.6899999999999</v>
      </c>
      <c r="J1951" s="5" t="n">
        <f aca="false">IF(G1951=0,"",I1951/G1951)</f>
        <v>0.0293786334856861</v>
      </c>
      <c r="K1951" s="0" t="n">
        <v>167</v>
      </c>
      <c r="L1951" s="0" t="n">
        <v>20.58</v>
      </c>
      <c r="M1951" s="11" t="s">
        <v>2769</v>
      </c>
      <c r="N1951" s="12" t="n">
        <f aca="false">INT(E1951)</f>
        <v>45803</v>
      </c>
      <c r="O1951" s="12" t="n">
        <f aca="false">IF(F1951="","",INT(F1951))</f>
        <v>45804</v>
      </c>
    </row>
    <row r="1952" customFormat="false" ht="15" hidden="false" customHeight="false" outlineLevel="0" collapsed="false">
      <c r="A1952" s="0" t="s">
        <v>3946</v>
      </c>
      <c r="B1952" s="0" t="s">
        <v>3947</v>
      </c>
      <c r="C1952" s="0" t="s">
        <v>23</v>
      </c>
      <c r="D1952" s="0" t="s">
        <v>42</v>
      </c>
      <c r="E1952" s="10" t="n">
        <v>45803.7534722222</v>
      </c>
      <c r="F1952" s="10" t="n">
        <v>45805.289837963</v>
      </c>
      <c r="G1952" s="0" t="n">
        <v>192.38</v>
      </c>
      <c r="H1952" s="0" t="n">
        <v>189.6</v>
      </c>
      <c r="I1952" s="11" t="n">
        <f aca="false">H1952-G1952</f>
        <v>-2.78</v>
      </c>
      <c r="J1952" s="5" t="n">
        <f aca="false">IF(G1952=0,"",I1952/G1952)</f>
        <v>-0.0144505665869633</v>
      </c>
      <c r="K1952" s="0" t="n">
        <v>72.5</v>
      </c>
      <c r="L1952" s="0" t="n">
        <v>36.87</v>
      </c>
      <c r="M1952" s="11" t="s">
        <v>2769</v>
      </c>
      <c r="N1952" s="12" t="n">
        <f aca="false">INT(E1952)</f>
        <v>45803</v>
      </c>
      <c r="O1952" s="12" t="n">
        <f aca="false">IF(F1952="","",INT(F1952))</f>
        <v>45805</v>
      </c>
    </row>
    <row r="1953" customFormat="false" ht="15" hidden="false" customHeight="false" outlineLevel="0" collapsed="false">
      <c r="A1953" s="0" t="s">
        <v>3948</v>
      </c>
      <c r="B1953" s="0" t="s">
        <v>3949</v>
      </c>
      <c r="C1953" s="0" t="s">
        <v>22</v>
      </c>
      <c r="D1953" s="0" t="s">
        <v>42</v>
      </c>
      <c r="E1953" s="10" t="n">
        <v>45803.7638888889</v>
      </c>
      <c r="F1953" s="10" t="n">
        <v>45803.9576388889</v>
      </c>
      <c r="G1953" s="0" t="n">
        <v>447.16</v>
      </c>
      <c r="H1953" s="0" t="n">
        <v>456.84</v>
      </c>
      <c r="I1953" s="11" t="n">
        <f aca="false">H1953-G1953</f>
        <v>9.67999999999995</v>
      </c>
      <c r="J1953" s="5" t="n">
        <f aca="false">IF(G1953=0,"",I1953/G1953)</f>
        <v>0.021647732355309</v>
      </c>
      <c r="K1953" s="0" t="n">
        <v>59.1</v>
      </c>
      <c r="L1953" s="0" t="n">
        <v>4.65</v>
      </c>
      <c r="M1953" s="11" t="s">
        <v>2769</v>
      </c>
      <c r="N1953" s="12" t="n">
        <f aca="false">INT(E1953)</f>
        <v>45803</v>
      </c>
      <c r="O1953" s="12" t="n">
        <f aca="false">IF(F1953="","",INT(F1953))</f>
        <v>45803</v>
      </c>
    </row>
    <row r="1954" customFormat="false" ht="15" hidden="false" customHeight="false" outlineLevel="0" collapsed="false">
      <c r="A1954" s="0" t="s">
        <v>3950</v>
      </c>
      <c r="B1954" s="0" t="s">
        <v>3951</v>
      </c>
      <c r="C1954" s="0" t="s">
        <v>23</v>
      </c>
      <c r="D1954" s="0" t="s">
        <v>42</v>
      </c>
      <c r="E1954" s="10" t="n">
        <v>45803.775</v>
      </c>
      <c r="F1954" s="10" t="n">
        <v>45805.7128703704</v>
      </c>
      <c r="G1954" s="0" t="n">
        <v>345.48</v>
      </c>
      <c r="H1954" s="0" t="n">
        <v>336.99</v>
      </c>
      <c r="I1954" s="11" t="n">
        <f aca="false">H1954-G1954</f>
        <v>-8.49000000000001</v>
      </c>
      <c r="J1954" s="5" t="n">
        <f aca="false">IF(G1954=0,"",I1954/G1954)</f>
        <v>-0.024574505036471</v>
      </c>
      <c r="K1954" s="0" t="n">
        <v>119.7</v>
      </c>
      <c r="L1954" s="0" t="n">
        <v>46.51</v>
      </c>
      <c r="M1954" s="11" t="s">
        <v>2769</v>
      </c>
      <c r="N1954" s="12" t="n">
        <f aca="false">INT(E1954)</f>
        <v>45803</v>
      </c>
      <c r="O1954" s="12" t="n">
        <f aca="false">IF(F1954="","",INT(F1954))</f>
        <v>45805</v>
      </c>
    </row>
    <row r="1955" customFormat="false" ht="15" hidden="false" customHeight="false" outlineLevel="0" collapsed="false">
      <c r="A1955" s="0" t="s">
        <v>3952</v>
      </c>
      <c r="B1955" s="0" t="s">
        <v>3953</v>
      </c>
      <c r="C1955" s="0" t="s">
        <v>24</v>
      </c>
      <c r="D1955" s="0" t="s">
        <v>42</v>
      </c>
      <c r="E1955" s="10" t="n">
        <v>45804.29375</v>
      </c>
      <c r="F1955" s="10" t="n">
        <v>45805.2923611111</v>
      </c>
      <c r="G1955" s="0" t="n">
        <v>3022.91</v>
      </c>
      <c r="H1955" s="0" t="n">
        <v>2906.09</v>
      </c>
      <c r="I1955" s="11" t="n">
        <f aca="false">H1955-G1955</f>
        <v>-116.82</v>
      </c>
      <c r="J1955" s="5" t="n">
        <f aca="false">IF(G1955=0,"",I1955/G1955)</f>
        <v>-0.0386448819184163</v>
      </c>
      <c r="K1955" s="0" t="n">
        <v>590.7</v>
      </c>
      <c r="L1955" s="0" t="n">
        <v>23.97</v>
      </c>
      <c r="M1955" s="11" t="s">
        <v>2769</v>
      </c>
      <c r="N1955" s="12" t="n">
        <f aca="false">INT(E1955)</f>
        <v>45804</v>
      </c>
      <c r="O1955" s="12" t="n">
        <f aca="false">IF(F1955="","",INT(F1955))</f>
        <v>45805</v>
      </c>
    </row>
    <row r="1956" customFormat="false" ht="15" hidden="false" customHeight="false" outlineLevel="0" collapsed="false">
      <c r="A1956" s="0" t="s">
        <v>3954</v>
      </c>
      <c r="B1956" s="0" t="s">
        <v>3955</v>
      </c>
      <c r="C1956" s="0" t="s">
        <v>23</v>
      </c>
      <c r="D1956" s="0" t="s">
        <v>42</v>
      </c>
      <c r="E1956" s="10" t="n">
        <v>45804.2965277778</v>
      </c>
      <c r="F1956" s="10" t="n">
        <v>45805.05625</v>
      </c>
      <c r="G1956" s="0" t="n">
        <v>1150.18</v>
      </c>
      <c r="H1956" s="0" t="n">
        <v>1140.25</v>
      </c>
      <c r="I1956" s="11" t="n">
        <f aca="false">H1956-G1956</f>
        <v>-9.93000000000006</v>
      </c>
      <c r="J1956" s="5" t="n">
        <f aca="false">IF(G1956=0,"",I1956/G1956)</f>
        <v>-0.00863343128901569</v>
      </c>
      <c r="K1956" s="0" t="n">
        <v>284.5</v>
      </c>
      <c r="L1956" s="0" t="n">
        <v>18.23</v>
      </c>
      <c r="M1956" s="11" t="s">
        <v>2769</v>
      </c>
      <c r="N1956" s="12" t="n">
        <f aca="false">INT(E1956)</f>
        <v>45804</v>
      </c>
      <c r="O1956" s="12" t="n">
        <f aca="false">IF(F1956="","",INT(F1956))</f>
        <v>45805</v>
      </c>
    </row>
    <row r="1957" customFormat="false" ht="15" hidden="false" customHeight="false" outlineLevel="0" collapsed="false">
      <c r="A1957" s="0" t="s">
        <v>3956</v>
      </c>
      <c r="B1957" s="0" t="s">
        <v>3957</v>
      </c>
      <c r="C1957" s="0" t="s">
        <v>23</v>
      </c>
      <c r="D1957" s="0" t="s">
        <v>42</v>
      </c>
      <c r="E1957" s="10" t="n">
        <v>45804.3284722222</v>
      </c>
      <c r="F1957" s="10" t="n">
        <v>45808.6853472222</v>
      </c>
      <c r="G1957" s="0" t="n">
        <v>885.38</v>
      </c>
      <c r="H1957" s="0" t="n">
        <v>900.12</v>
      </c>
      <c r="I1957" s="11" t="n">
        <f aca="false">H1957-G1957</f>
        <v>14.74</v>
      </c>
      <c r="J1957" s="5" t="n">
        <f aca="false">IF(G1957=0,"",I1957/G1957)</f>
        <v>0.0166482188438863</v>
      </c>
      <c r="K1957" s="0" t="n">
        <v>205.5</v>
      </c>
      <c r="L1957" s="0" t="n">
        <v>88.12</v>
      </c>
      <c r="M1957" s="11" t="s">
        <v>2769</v>
      </c>
      <c r="N1957" s="12" t="n">
        <f aca="false">INT(E1957)</f>
        <v>45804</v>
      </c>
      <c r="O1957" s="12" t="n">
        <f aca="false">IF(F1957="","",INT(F1957))</f>
        <v>45808</v>
      </c>
    </row>
    <row r="1958" customFormat="false" ht="15" hidden="false" customHeight="false" outlineLevel="0" collapsed="false">
      <c r="A1958" s="0" t="s">
        <v>3958</v>
      </c>
      <c r="B1958" s="0" t="s">
        <v>3959</v>
      </c>
      <c r="C1958" s="0" t="s">
        <v>23</v>
      </c>
      <c r="D1958" s="0" t="s">
        <v>42</v>
      </c>
      <c r="E1958" s="10" t="n">
        <v>45804.3986111111</v>
      </c>
      <c r="F1958" s="10" t="n">
        <v>45805.5607523148</v>
      </c>
      <c r="G1958" s="0" t="n">
        <v>246.76</v>
      </c>
      <c r="H1958" s="0" t="n">
        <v>244.37</v>
      </c>
      <c r="I1958" s="11" t="n">
        <f aca="false">H1958-G1958</f>
        <v>-2.38999999999999</v>
      </c>
      <c r="J1958" s="5" t="n">
        <f aca="false">IF(G1958=0,"",I1958/G1958)</f>
        <v>-0.00968552439617437</v>
      </c>
      <c r="K1958" s="0" t="n">
        <v>99.5</v>
      </c>
      <c r="L1958" s="0" t="n">
        <v>27.89</v>
      </c>
      <c r="M1958" s="11" t="s">
        <v>2769</v>
      </c>
      <c r="N1958" s="12" t="n">
        <f aca="false">INT(E1958)</f>
        <v>45804</v>
      </c>
      <c r="O1958" s="12" t="n">
        <f aca="false">IF(F1958="","",INT(F1958))</f>
        <v>45805</v>
      </c>
    </row>
    <row r="1959" customFormat="false" ht="15" hidden="false" customHeight="false" outlineLevel="0" collapsed="false">
      <c r="A1959" s="0" t="s">
        <v>3960</v>
      </c>
      <c r="B1959" s="0" t="s">
        <v>3961</v>
      </c>
      <c r="C1959" s="0" t="s">
        <v>20</v>
      </c>
      <c r="D1959" s="0" t="s">
        <v>42</v>
      </c>
      <c r="E1959" s="10" t="n">
        <v>45804.3993055556</v>
      </c>
      <c r="F1959" s="10" t="n">
        <v>45805.1430555556</v>
      </c>
      <c r="G1959" s="0" t="n">
        <v>347.11</v>
      </c>
      <c r="H1959" s="0" t="n">
        <v>341.63</v>
      </c>
      <c r="I1959" s="11" t="n">
        <f aca="false">H1959-G1959</f>
        <v>-5.48000000000002</v>
      </c>
      <c r="J1959" s="5" t="n">
        <f aca="false">IF(G1959=0,"",I1959/G1959)</f>
        <v>-0.0157875025208148</v>
      </c>
      <c r="K1959" s="0" t="n">
        <v>58.7</v>
      </c>
      <c r="L1959" s="0" t="n">
        <v>17.85</v>
      </c>
      <c r="M1959" s="11" t="s">
        <v>2769</v>
      </c>
      <c r="N1959" s="12" t="n">
        <f aca="false">INT(E1959)</f>
        <v>45804</v>
      </c>
      <c r="O1959" s="12" t="n">
        <f aca="false">IF(F1959="","",INT(F1959))</f>
        <v>45805</v>
      </c>
    </row>
    <row r="1960" customFormat="false" ht="15" hidden="false" customHeight="false" outlineLevel="0" collapsed="false">
      <c r="A1960" s="0" t="s">
        <v>3962</v>
      </c>
      <c r="B1960" s="0" t="s">
        <v>3963</v>
      </c>
      <c r="C1960" s="0" t="s">
        <v>20</v>
      </c>
      <c r="D1960" s="0" t="s">
        <v>42</v>
      </c>
      <c r="E1960" s="10" t="n">
        <v>45804.4069444445</v>
      </c>
      <c r="F1960" s="10" t="n">
        <v>45805.9479166667</v>
      </c>
      <c r="G1960" s="0" t="n">
        <v>504.65</v>
      </c>
      <c r="H1960" s="0" t="n">
        <v>486.29</v>
      </c>
      <c r="I1960" s="11" t="n">
        <f aca="false">H1960-G1960</f>
        <v>-18.36</v>
      </c>
      <c r="J1960" s="5" t="n">
        <f aca="false">IF(G1960=0,"",I1960/G1960)</f>
        <v>-0.0363816506489645</v>
      </c>
      <c r="K1960" s="0" t="n">
        <v>102.8</v>
      </c>
      <c r="L1960" s="0" t="n">
        <v>36.98</v>
      </c>
      <c r="M1960" s="11" t="s">
        <v>2769</v>
      </c>
      <c r="N1960" s="12" t="n">
        <f aca="false">INT(E1960)</f>
        <v>45804</v>
      </c>
      <c r="O1960" s="12" t="n">
        <f aca="false">IF(F1960="","",INT(F1960))</f>
        <v>45805</v>
      </c>
    </row>
    <row r="1961" customFormat="false" ht="15" hidden="false" customHeight="false" outlineLevel="0" collapsed="false">
      <c r="A1961" s="0" t="s">
        <v>3964</v>
      </c>
      <c r="B1961" s="0" t="s">
        <v>3965</v>
      </c>
      <c r="C1961" s="0" t="s">
        <v>19</v>
      </c>
      <c r="D1961" s="0" t="s">
        <v>42</v>
      </c>
      <c r="E1961" s="10" t="n">
        <v>45804.4847222222</v>
      </c>
      <c r="F1961" s="10" t="n">
        <v>45805.4055555556</v>
      </c>
      <c r="G1961" s="0" t="n">
        <v>570.21</v>
      </c>
      <c r="H1961" s="0" t="n">
        <v>567.45</v>
      </c>
      <c r="I1961" s="11" t="n">
        <f aca="false">H1961-G1961</f>
        <v>-2.75999999999999</v>
      </c>
      <c r="J1961" s="5" t="n">
        <f aca="false">IF(G1961=0,"",I1961/G1961)</f>
        <v>-0.00484032198663649</v>
      </c>
      <c r="K1961" s="0" t="n">
        <v>66.9</v>
      </c>
      <c r="L1961" s="0" t="n">
        <v>22.1</v>
      </c>
      <c r="M1961" s="11" t="s">
        <v>2769</v>
      </c>
      <c r="N1961" s="12" t="n">
        <f aca="false">INT(E1961)</f>
        <v>45804</v>
      </c>
      <c r="O1961" s="12" t="n">
        <f aca="false">IF(F1961="","",INT(F1961))</f>
        <v>45805</v>
      </c>
    </row>
    <row r="1962" customFormat="false" ht="15" hidden="false" customHeight="false" outlineLevel="0" collapsed="false">
      <c r="A1962" s="0" t="s">
        <v>3966</v>
      </c>
      <c r="B1962" s="0" t="s">
        <v>3967</v>
      </c>
      <c r="C1962" s="0" t="s">
        <v>23</v>
      </c>
      <c r="D1962" s="0" t="s">
        <v>42</v>
      </c>
      <c r="E1962" s="10" t="n">
        <v>45804.4923611111</v>
      </c>
      <c r="F1962" s="10" t="n">
        <v>45805.267650463</v>
      </c>
      <c r="G1962" s="0" t="n">
        <v>484.74</v>
      </c>
      <c r="H1962" s="0" t="n">
        <v>491.84</v>
      </c>
      <c r="I1962" s="11" t="n">
        <f aca="false">H1962-G1962</f>
        <v>7.09999999999997</v>
      </c>
      <c r="J1962" s="5" t="n">
        <f aca="false">IF(G1962=0,"",I1962/G1962)</f>
        <v>0.0146470272723521</v>
      </c>
      <c r="K1962" s="0" t="n">
        <v>112.5</v>
      </c>
      <c r="L1962" s="0" t="n">
        <v>18.61</v>
      </c>
      <c r="M1962" s="11" t="s">
        <v>2769</v>
      </c>
      <c r="N1962" s="12" t="n">
        <f aca="false">INT(E1962)</f>
        <v>45804</v>
      </c>
      <c r="O1962" s="12" t="n">
        <f aca="false">IF(F1962="","",INT(F1962))</f>
        <v>45805</v>
      </c>
    </row>
    <row r="1963" customFormat="false" ht="15" hidden="false" customHeight="false" outlineLevel="0" collapsed="false">
      <c r="A1963" s="0" t="s">
        <v>3968</v>
      </c>
      <c r="B1963" s="0" t="s">
        <v>3969</v>
      </c>
      <c r="C1963" s="0" t="s">
        <v>21</v>
      </c>
      <c r="D1963" s="0" t="s">
        <v>42</v>
      </c>
      <c r="E1963" s="10" t="n">
        <v>45804.4986111111</v>
      </c>
      <c r="F1963" s="10" t="n">
        <v>45804.9506944444</v>
      </c>
      <c r="G1963" s="0" t="n">
        <v>214.23</v>
      </c>
      <c r="H1963" s="0" t="n">
        <v>253.51</v>
      </c>
      <c r="I1963" s="11" t="n">
        <f aca="false">H1963-G1963</f>
        <v>39.28</v>
      </c>
      <c r="J1963" s="5" t="n">
        <f aca="false">IF(G1963=0,"",I1963/G1963)</f>
        <v>0.183354338794753</v>
      </c>
      <c r="K1963" s="0" t="n">
        <v>33.1</v>
      </c>
      <c r="L1963" s="0" t="n">
        <v>10.85</v>
      </c>
      <c r="M1963" s="11" t="s">
        <v>2769</v>
      </c>
      <c r="N1963" s="12" t="n">
        <f aca="false">INT(E1963)</f>
        <v>45804</v>
      </c>
      <c r="O1963" s="12" t="n">
        <f aca="false">IF(F1963="","",INT(F1963))</f>
        <v>45804</v>
      </c>
    </row>
    <row r="1964" customFormat="false" ht="15" hidden="false" customHeight="false" outlineLevel="0" collapsed="false">
      <c r="A1964" s="0" t="s">
        <v>3970</v>
      </c>
      <c r="B1964" s="0" t="s">
        <v>3971</v>
      </c>
      <c r="C1964" s="0" t="s">
        <v>21</v>
      </c>
      <c r="D1964" s="0" t="s">
        <v>42</v>
      </c>
      <c r="E1964" s="10" t="n">
        <v>45804.4986111111</v>
      </c>
      <c r="F1964" s="10" t="n">
        <v>45805.0083333333</v>
      </c>
      <c r="G1964" s="0" t="n">
        <v>335.27</v>
      </c>
      <c r="H1964" s="0" t="n">
        <v>329.72</v>
      </c>
      <c r="I1964" s="11" t="n">
        <f aca="false">H1964-G1964</f>
        <v>-5.54999999999995</v>
      </c>
      <c r="J1964" s="5" t="n">
        <f aca="false">IF(G1964=0,"",I1964/G1964)</f>
        <v>-0.0165538222924806</v>
      </c>
      <c r="K1964" s="0" t="n">
        <v>84.7</v>
      </c>
      <c r="L1964" s="0" t="n">
        <v>12.23</v>
      </c>
      <c r="M1964" s="11" t="s">
        <v>2769</v>
      </c>
      <c r="N1964" s="12" t="n">
        <f aca="false">INT(E1964)</f>
        <v>45804</v>
      </c>
      <c r="O1964" s="12" t="n">
        <f aca="false">IF(F1964="","",INT(F1964))</f>
        <v>45805</v>
      </c>
    </row>
    <row r="1965" customFormat="false" ht="15" hidden="false" customHeight="false" outlineLevel="0" collapsed="false">
      <c r="A1965" s="0" t="s">
        <v>3972</v>
      </c>
      <c r="B1965" s="0" t="s">
        <v>3973</v>
      </c>
      <c r="C1965" s="0" t="s">
        <v>20</v>
      </c>
      <c r="D1965" s="0" t="s">
        <v>42</v>
      </c>
      <c r="E1965" s="10" t="n">
        <v>45804.5118055556</v>
      </c>
      <c r="F1965" s="10" t="n">
        <v>45807</v>
      </c>
      <c r="G1965" s="0" t="n">
        <v>895.2</v>
      </c>
      <c r="H1965" s="0" t="n">
        <v>875.09</v>
      </c>
      <c r="I1965" s="11" t="n">
        <f aca="false">H1965-G1965</f>
        <v>-20.11</v>
      </c>
      <c r="J1965" s="5" t="n">
        <f aca="false">IF(G1965=0,"",I1965/G1965)</f>
        <v>-0.022464253798034</v>
      </c>
      <c r="K1965" s="0" t="n">
        <v>150.5</v>
      </c>
      <c r="L1965" s="0" t="n">
        <v>59.72</v>
      </c>
      <c r="M1965" s="11" t="s">
        <v>2769</v>
      </c>
      <c r="N1965" s="12" t="n">
        <f aca="false">INT(E1965)</f>
        <v>45804</v>
      </c>
      <c r="O1965" s="12" t="n">
        <f aca="false">IF(F1965="","",INT(F1965))</f>
        <v>45807</v>
      </c>
    </row>
    <row r="1966" customFormat="false" ht="15" hidden="false" customHeight="false" outlineLevel="0" collapsed="false">
      <c r="A1966" s="0" t="s">
        <v>3974</v>
      </c>
      <c r="B1966" s="0" t="s">
        <v>3975</v>
      </c>
      <c r="C1966" s="0" t="s">
        <v>20</v>
      </c>
      <c r="D1966" s="0" t="s">
        <v>42</v>
      </c>
      <c r="E1966" s="10" t="n">
        <v>45804.5145833333</v>
      </c>
      <c r="F1966" s="10" t="n">
        <v>45805.7106944445</v>
      </c>
      <c r="G1966" s="0" t="n">
        <v>139.67</v>
      </c>
      <c r="H1966" s="0" t="n">
        <v>136.4</v>
      </c>
      <c r="I1966" s="11" t="n">
        <f aca="false">H1966-G1966</f>
        <v>-3.26999999999998</v>
      </c>
      <c r="J1966" s="5" t="n">
        <f aca="false">IF(G1966=0,"",I1966/G1966)</f>
        <v>-0.0234123290613588</v>
      </c>
      <c r="K1966" s="0" t="n">
        <v>20</v>
      </c>
      <c r="L1966" s="0" t="n">
        <v>28.71</v>
      </c>
      <c r="M1966" s="11" t="s">
        <v>2769</v>
      </c>
      <c r="N1966" s="12" t="n">
        <f aca="false">INT(E1966)</f>
        <v>45804</v>
      </c>
      <c r="O1966" s="12" t="n">
        <f aca="false">IF(F1966="","",INT(F1966))</f>
        <v>45805</v>
      </c>
    </row>
    <row r="1967" customFormat="false" ht="15" hidden="false" customHeight="false" outlineLevel="0" collapsed="false">
      <c r="A1967" s="0" t="s">
        <v>3976</v>
      </c>
      <c r="B1967" s="0" t="s">
        <v>3977</v>
      </c>
      <c r="C1967" s="0" t="s">
        <v>19</v>
      </c>
      <c r="D1967" s="0" t="s">
        <v>42</v>
      </c>
      <c r="E1967" s="10" t="n">
        <v>45804.5638888889</v>
      </c>
      <c r="F1967" s="10" t="n">
        <v>45806.5243865741</v>
      </c>
      <c r="G1967" s="0" t="n">
        <v>435.13</v>
      </c>
      <c r="H1967" s="0" t="n">
        <v>425.48</v>
      </c>
      <c r="I1967" s="11" t="n">
        <f aca="false">H1967-G1967</f>
        <v>-9.64999999999998</v>
      </c>
      <c r="J1967" s="5" t="n">
        <f aca="false">IF(G1967=0,"",I1967/G1967)</f>
        <v>-0.0221772803529979</v>
      </c>
      <c r="K1967" s="0" t="n">
        <v>42.9</v>
      </c>
      <c r="L1967" s="0" t="n">
        <v>47.05</v>
      </c>
      <c r="M1967" s="11" t="s">
        <v>2769</v>
      </c>
      <c r="N1967" s="12" t="n">
        <f aca="false">INT(E1967)</f>
        <v>45804</v>
      </c>
      <c r="O1967" s="12" t="n">
        <f aca="false">IF(F1967="","",INT(F1967))</f>
        <v>45806</v>
      </c>
    </row>
    <row r="1968" customFormat="false" ht="15" hidden="false" customHeight="false" outlineLevel="0" collapsed="false">
      <c r="A1968" s="0" t="s">
        <v>3978</v>
      </c>
      <c r="B1968" s="0" t="s">
        <v>3979</v>
      </c>
      <c r="C1968" s="0" t="s">
        <v>23</v>
      </c>
      <c r="D1968" s="0" t="s">
        <v>42</v>
      </c>
      <c r="E1968" s="10" t="n">
        <v>45804.5777777778</v>
      </c>
      <c r="F1968" s="10" t="n">
        <v>45805.9731481482</v>
      </c>
      <c r="G1968" s="0" t="n">
        <v>391.81</v>
      </c>
      <c r="H1968" s="0" t="n">
        <v>399.32</v>
      </c>
      <c r="I1968" s="11" t="n">
        <f aca="false">H1968-G1968</f>
        <v>7.50999999999999</v>
      </c>
      <c r="J1968" s="5" t="n">
        <f aca="false">IF(G1968=0,"",I1968/G1968)</f>
        <v>0.0191674536127204</v>
      </c>
      <c r="K1968" s="0" t="n">
        <v>84.3</v>
      </c>
      <c r="L1968" s="0" t="n">
        <v>33.49</v>
      </c>
      <c r="M1968" s="11" t="s">
        <v>2769</v>
      </c>
      <c r="N1968" s="12" t="n">
        <f aca="false">INT(E1968)</f>
        <v>45804</v>
      </c>
      <c r="O1968" s="12" t="n">
        <f aca="false">IF(F1968="","",INT(F1968))</f>
        <v>45805</v>
      </c>
    </row>
    <row r="1969" customFormat="false" ht="15" hidden="false" customHeight="false" outlineLevel="0" collapsed="false">
      <c r="A1969" s="0" t="s">
        <v>3980</v>
      </c>
      <c r="B1969" s="0" t="s">
        <v>3981</v>
      </c>
      <c r="C1969" s="0" t="s">
        <v>24</v>
      </c>
      <c r="D1969" s="0" t="s">
        <v>42</v>
      </c>
      <c r="E1969" s="10" t="n">
        <v>45804.5909722222</v>
      </c>
      <c r="F1969" s="10" t="n">
        <v>45805.7086574074</v>
      </c>
      <c r="G1969" s="0" t="n">
        <v>618.6</v>
      </c>
      <c r="H1969" s="0" t="n">
        <v>631.49</v>
      </c>
      <c r="I1969" s="11" t="n">
        <f aca="false">H1969-G1969</f>
        <v>12.89</v>
      </c>
      <c r="J1969" s="5" t="n">
        <f aca="false">IF(G1969=0,"",I1969/G1969)</f>
        <v>0.0208373747171031</v>
      </c>
      <c r="K1969" s="0" t="n">
        <v>183.4</v>
      </c>
      <c r="L1969" s="0" t="n">
        <v>26.82</v>
      </c>
      <c r="M1969" s="11" t="s">
        <v>2769</v>
      </c>
      <c r="N1969" s="12" t="n">
        <f aca="false">INT(E1969)</f>
        <v>45804</v>
      </c>
      <c r="O1969" s="12" t="n">
        <f aca="false">IF(F1969="","",INT(F1969))</f>
        <v>45805</v>
      </c>
    </row>
    <row r="1970" customFormat="false" ht="15" hidden="false" customHeight="false" outlineLevel="0" collapsed="false">
      <c r="A1970" s="0" t="s">
        <v>3982</v>
      </c>
      <c r="B1970" s="0" t="s">
        <v>3983</v>
      </c>
      <c r="C1970" s="0" t="s">
        <v>24</v>
      </c>
      <c r="D1970" s="0" t="s">
        <v>42</v>
      </c>
      <c r="E1970" s="10" t="n">
        <v>45804.6131944444</v>
      </c>
      <c r="F1970" s="10" t="n">
        <v>45805.4805555556</v>
      </c>
      <c r="G1970" s="0" t="n">
        <v>1650.28</v>
      </c>
      <c r="H1970" s="0" t="n">
        <v>1609.08</v>
      </c>
      <c r="I1970" s="11" t="n">
        <f aca="false">H1970-G1970</f>
        <v>-41.2</v>
      </c>
      <c r="J1970" s="5" t="n">
        <f aca="false">IF(G1970=0,"",I1970/G1970)</f>
        <v>-0.0249654604067189</v>
      </c>
      <c r="K1970" s="0" t="n">
        <v>692.6</v>
      </c>
      <c r="L1970" s="0" t="n">
        <v>20.82</v>
      </c>
      <c r="M1970" s="11" t="s">
        <v>2769</v>
      </c>
      <c r="N1970" s="12" t="n">
        <f aca="false">INT(E1970)</f>
        <v>45804</v>
      </c>
      <c r="O1970" s="12" t="n">
        <f aca="false">IF(F1970="","",INT(F1970))</f>
        <v>45805</v>
      </c>
    </row>
    <row r="1971" customFormat="false" ht="15" hidden="false" customHeight="false" outlineLevel="0" collapsed="false">
      <c r="A1971" s="0" t="s">
        <v>3984</v>
      </c>
      <c r="B1971" s="0" t="s">
        <v>3985</v>
      </c>
      <c r="C1971" s="0" t="s">
        <v>21</v>
      </c>
      <c r="D1971" s="0" t="s">
        <v>42</v>
      </c>
      <c r="E1971" s="10" t="n">
        <v>45804.6270833333</v>
      </c>
      <c r="F1971" s="10" t="n">
        <v>45805.4069444445</v>
      </c>
      <c r="G1971" s="0" t="n">
        <v>282.02</v>
      </c>
      <c r="H1971" s="0" t="n">
        <v>277.38</v>
      </c>
      <c r="I1971" s="11" t="n">
        <f aca="false">H1971-G1971</f>
        <v>-4.63999999999999</v>
      </c>
      <c r="J1971" s="5" t="n">
        <f aca="false">IF(G1971=0,"",I1971/G1971)</f>
        <v>-0.0164527338486632</v>
      </c>
      <c r="K1971" s="0" t="n">
        <v>67</v>
      </c>
      <c r="L1971" s="0" t="n">
        <v>18.72</v>
      </c>
      <c r="M1971" s="11" t="s">
        <v>2769</v>
      </c>
      <c r="N1971" s="12" t="n">
        <f aca="false">INT(E1971)</f>
        <v>45804</v>
      </c>
      <c r="O1971" s="12" t="n">
        <f aca="false">IF(F1971="","",INT(F1971))</f>
        <v>45805</v>
      </c>
    </row>
    <row r="1972" customFormat="false" ht="15" hidden="false" customHeight="false" outlineLevel="0" collapsed="false">
      <c r="A1972" s="0" t="s">
        <v>3986</v>
      </c>
      <c r="B1972" s="0" t="s">
        <v>3987</v>
      </c>
      <c r="C1972" s="0" t="s">
        <v>23</v>
      </c>
      <c r="D1972" s="0" t="s">
        <v>42</v>
      </c>
      <c r="E1972" s="10" t="n">
        <v>45804.6395833333</v>
      </c>
      <c r="F1972" s="10" t="n">
        <v>45804.9433564815</v>
      </c>
      <c r="G1972" s="0" t="n">
        <v>179.51</v>
      </c>
      <c r="H1972" s="0" t="n">
        <v>180.51</v>
      </c>
      <c r="I1972" s="11" t="n">
        <f aca="false">H1972-G1972</f>
        <v>1</v>
      </c>
      <c r="J1972" s="5" t="n">
        <f aca="false">IF(G1972=0,"",I1972/G1972)</f>
        <v>0.00557072029413403</v>
      </c>
      <c r="K1972" s="0" t="n">
        <v>47.9</v>
      </c>
      <c r="L1972" s="0" t="n">
        <v>7.29</v>
      </c>
      <c r="M1972" s="11" t="s">
        <v>2769</v>
      </c>
      <c r="N1972" s="12" t="n">
        <f aca="false">INT(E1972)</f>
        <v>45804</v>
      </c>
      <c r="O1972" s="12" t="n">
        <f aca="false">IF(F1972="","",INT(F1972))</f>
        <v>45804</v>
      </c>
    </row>
    <row r="1973" customFormat="false" ht="15" hidden="false" customHeight="false" outlineLevel="0" collapsed="false">
      <c r="A1973" s="0" t="s">
        <v>3988</v>
      </c>
      <c r="B1973" s="0" t="s">
        <v>3989</v>
      </c>
      <c r="C1973" s="0" t="s">
        <v>20</v>
      </c>
      <c r="D1973" s="0" t="s">
        <v>42</v>
      </c>
      <c r="E1973" s="10" t="n">
        <v>45804.6541666667</v>
      </c>
      <c r="F1973" s="10" t="n">
        <v>45805.4208333333</v>
      </c>
      <c r="G1973" s="0" t="n">
        <v>1176.96</v>
      </c>
      <c r="H1973" s="0" t="n">
        <v>1185.04</v>
      </c>
      <c r="I1973" s="11" t="n">
        <f aca="false">H1973-G1973</f>
        <v>8.07999999999993</v>
      </c>
      <c r="J1973" s="5" t="n">
        <f aca="false">IF(G1973=0,"",I1973/G1973)</f>
        <v>0.00686514410005432</v>
      </c>
      <c r="K1973" s="0" t="n">
        <v>252.7</v>
      </c>
      <c r="L1973" s="0" t="n">
        <v>18.4</v>
      </c>
      <c r="M1973" s="11" t="s">
        <v>2769</v>
      </c>
      <c r="N1973" s="12" t="n">
        <f aca="false">INT(E1973)</f>
        <v>45804</v>
      </c>
      <c r="O1973" s="12" t="n">
        <f aca="false">IF(F1973="","",INT(F1973))</f>
        <v>45805</v>
      </c>
    </row>
    <row r="1974" customFormat="false" ht="15" hidden="false" customHeight="false" outlineLevel="0" collapsed="false">
      <c r="A1974" s="0" t="s">
        <v>3990</v>
      </c>
      <c r="B1974" s="0" t="s">
        <v>3991</v>
      </c>
      <c r="C1974" s="0" t="s">
        <v>24</v>
      </c>
      <c r="D1974" s="0" t="s">
        <v>42</v>
      </c>
      <c r="E1974" s="10" t="n">
        <v>45804.7104166667</v>
      </c>
      <c r="F1974" s="10" t="n">
        <v>45807.2834259259</v>
      </c>
      <c r="G1974" s="0" t="n">
        <v>3887.78</v>
      </c>
      <c r="H1974" s="0" t="n">
        <v>3877.83</v>
      </c>
      <c r="I1974" s="11" t="n">
        <f aca="false">H1974-G1974</f>
        <v>-9.95000000000027</v>
      </c>
      <c r="J1974" s="5" t="n">
        <f aca="false">IF(G1974=0,"",I1974/G1974)</f>
        <v>-0.00255930119502654</v>
      </c>
      <c r="K1974" s="0" t="n">
        <v>1250.4</v>
      </c>
      <c r="L1974" s="0" t="n">
        <v>61.75</v>
      </c>
      <c r="M1974" s="11" t="s">
        <v>2769</v>
      </c>
      <c r="N1974" s="12" t="n">
        <f aca="false">INT(E1974)</f>
        <v>45804</v>
      </c>
      <c r="O1974" s="12" t="n">
        <f aca="false">IF(F1974="","",INT(F1974))</f>
        <v>45807</v>
      </c>
    </row>
    <row r="1975" customFormat="false" ht="15" hidden="false" customHeight="false" outlineLevel="0" collapsed="false">
      <c r="A1975" s="0" t="s">
        <v>3992</v>
      </c>
      <c r="B1975" s="0" t="s">
        <v>3993</v>
      </c>
      <c r="C1975" s="0" t="s">
        <v>23</v>
      </c>
      <c r="D1975" s="0" t="s">
        <v>42</v>
      </c>
      <c r="E1975" s="10" t="n">
        <v>45804.7104166667</v>
      </c>
      <c r="F1975" s="10" t="n">
        <v>45805.0527777778</v>
      </c>
      <c r="G1975" s="0" t="n">
        <v>649.89</v>
      </c>
      <c r="H1975" s="0" t="n">
        <v>633.89</v>
      </c>
      <c r="I1975" s="11" t="n">
        <f aca="false">H1975-G1975</f>
        <v>-16</v>
      </c>
      <c r="J1975" s="5" t="n">
        <f aca="false">IF(G1975=0,"",I1975/G1975)</f>
        <v>-0.0246195510009386</v>
      </c>
      <c r="K1975" s="0" t="n">
        <v>134.6</v>
      </c>
      <c r="L1975" s="0" t="n">
        <v>8.22</v>
      </c>
      <c r="M1975" s="11" t="s">
        <v>2769</v>
      </c>
      <c r="N1975" s="12" t="n">
        <f aca="false">INT(E1975)</f>
        <v>45804</v>
      </c>
      <c r="O1975" s="12" t="n">
        <f aca="false">IF(F1975="","",INT(F1975))</f>
        <v>45805</v>
      </c>
    </row>
    <row r="1976" customFormat="false" ht="15" hidden="false" customHeight="false" outlineLevel="0" collapsed="false">
      <c r="A1976" s="0" t="s">
        <v>3994</v>
      </c>
      <c r="B1976" s="0" t="s">
        <v>3995</v>
      </c>
      <c r="C1976" s="0" t="s">
        <v>19</v>
      </c>
      <c r="D1976" s="0" t="s">
        <v>42</v>
      </c>
      <c r="E1976" s="10" t="n">
        <v>45804.7131944444</v>
      </c>
      <c r="F1976" s="10" t="n">
        <v>45805.1763888889</v>
      </c>
      <c r="G1976" s="0" t="n">
        <v>139.55</v>
      </c>
      <c r="H1976" s="0" t="n">
        <v>113.83</v>
      </c>
      <c r="I1976" s="11" t="n">
        <f aca="false">H1976-G1976</f>
        <v>-25.72</v>
      </c>
      <c r="J1976" s="5" t="n">
        <f aca="false">IF(G1976=0,"",I1976/G1976)</f>
        <v>-0.184306700107488</v>
      </c>
      <c r="K1976" s="0" t="n">
        <v>23.3</v>
      </c>
      <c r="L1976" s="0" t="n">
        <v>11.12</v>
      </c>
      <c r="M1976" s="11" t="s">
        <v>2769</v>
      </c>
      <c r="N1976" s="12" t="n">
        <f aca="false">INT(E1976)</f>
        <v>45804</v>
      </c>
      <c r="O1976" s="12" t="n">
        <f aca="false">IF(F1976="","",INT(F1976))</f>
        <v>45805</v>
      </c>
    </row>
    <row r="1977" customFormat="false" ht="15" hidden="false" customHeight="false" outlineLevel="0" collapsed="false">
      <c r="A1977" s="0" t="s">
        <v>3996</v>
      </c>
      <c r="B1977" s="0" t="s">
        <v>3997</v>
      </c>
      <c r="C1977" s="0" t="s">
        <v>23</v>
      </c>
      <c r="D1977" s="0" t="s">
        <v>42</v>
      </c>
      <c r="E1977" s="10" t="n">
        <v>45804.7229166667</v>
      </c>
      <c r="F1977" s="10" t="n">
        <v>45805.655462963</v>
      </c>
      <c r="G1977" s="0" t="n">
        <v>484.23</v>
      </c>
      <c r="H1977" s="0" t="n">
        <v>478.31</v>
      </c>
      <c r="I1977" s="11" t="n">
        <f aca="false">H1977-G1977</f>
        <v>-5.92000000000002</v>
      </c>
      <c r="J1977" s="5" t="n">
        <f aca="false">IF(G1977=0,"",I1977/G1977)</f>
        <v>-0.0122255952749727</v>
      </c>
      <c r="K1977" s="0" t="n">
        <v>168</v>
      </c>
      <c r="L1977" s="0" t="n">
        <v>22.38</v>
      </c>
      <c r="M1977" s="11" t="s">
        <v>2769</v>
      </c>
      <c r="N1977" s="12" t="n">
        <f aca="false">INT(E1977)</f>
        <v>45804</v>
      </c>
      <c r="O1977" s="12" t="n">
        <f aca="false">IF(F1977="","",INT(F1977))</f>
        <v>45805</v>
      </c>
    </row>
    <row r="1978" customFormat="false" ht="15" hidden="false" customHeight="false" outlineLevel="0" collapsed="false">
      <c r="A1978" s="0" t="s">
        <v>3998</v>
      </c>
      <c r="B1978" s="0" t="s">
        <v>3999</v>
      </c>
      <c r="C1978" s="0" t="s">
        <v>23</v>
      </c>
      <c r="D1978" s="0" t="s">
        <v>48</v>
      </c>
      <c r="E1978" s="10" t="n">
        <v>45804.73125</v>
      </c>
      <c r="F1978" s="10"/>
      <c r="G1978" s="0" t="n">
        <v>152</v>
      </c>
      <c r="H1978" s="0" t="n">
        <v>149.99</v>
      </c>
      <c r="I1978" s="11" t="n">
        <f aca="false">H1978-G1978</f>
        <v>-2.00999999999999</v>
      </c>
      <c r="J1978" s="5" t="n">
        <f aca="false">IF(G1978=0,"",I1978/G1978)</f>
        <v>-0.0132236842105263</v>
      </c>
      <c r="K1978" s="0" t="n">
        <v>51.6</v>
      </c>
      <c r="M1978" s="11" t="s">
        <v>2769</v>
      </c>
      <c r="N1978" s="12" t="n">
        <f aca="false">INT(E1978)</f>
        <v>45804</v>
      </c>
      <c r="O1978" s="12" t="str">
        <f aca="false">IF(F1978="","",INT(F1978))</f>
        <v/>
      </c>
    </row>
    <row r="1979" customFormat="false" ht="15" hidden="false" customHeight="false" outlineLevel="0" collapsed="false">
      <c r="A1979" s="0" t="s">
        <v>4000</v>
      </c>
      <c r="B1979" s="0" t="s">
        <v>4001</v>
      </c>
      <c r="C1979" s="0" t="s">
        <v>21</v>
      </c>
      <c r="D1979" s="0" t="s">
        <v>42</v>
      </c>
      <c r="E1979" s="10" t="n">
        <v>45804.7326388889</v>
      </c>
      <c r="F1979" s="10" t="n">
        <v>45806.016412037</v>
      </c>
      <c r="G1979" s="0" t="n">
        <v>231.73</v>
      </c>
      <c r="H1979" s="0" t="n">
        <v>232.06</v>
      </c>
      <c r="I1979" s="11" t="n">
        <f aca="false">H1979-G1979</f>
        <v>0.330000000000013</v>
      </c>
      <c r="J1979" s="5" t="n">
        <f aca="false">IF(G1979=0,"",I1979/G1979)</f>
        <v>0.00142407111724858</v>
      </c>
      <c r="K1979" s="0" t="n">
        <v>47.9</v>
      </c>
      <c r="L1979" s="0" t="n">
        <v>30.81</v>
      </c>
      <c r="M1979" s="11" t="s">
        <v>2769</v>
      </c>
      <c r="N1979" s="12" t="n">
        <f aca="false">INT(E1979)</f>
        <v>45804</v>
      </c>
      <c r="O1979" s="12" t="n">
        <f aca="false">IF(F1979="","",INT(F1979))</f>
        <v>45806</v>
      </c>
    </row>
    <row r="1980" customFormat="false" ht="15" hidden="false" customHeight="false" outlineLevel="0" collapsed="false">
      <c r="A1980" s="0" t="s">
        <v>4002</v>
      </c>
      <c r="B1980" s="0" t="s">
        <v>4003</v>
      </c>
      <c r="C1980" s="0" t="s">
        <v>23</v>
      </c>
      <c r="D1980" s="0" t="s">
        <v>42</v>
      </c>
      <c r="E1980" s="10" t="n">
        <v>45804.7368055556</v>
      </c>
      <c r="F1980" s="10" t="n">
        <v>45806.0819444444</v>
      </c>
      <c r="G1980" s="0" t="n">
        <v>1040.74</v>
      </c>
      <c r="H1980" s="0" t="n">
        <v>1062.49</v>
      </c>
      <c r="I1980" s="11" t="n">
        <f aca="false">H1980-G1980</f>
        <v>21.75</v>
      </c>
      <c r="J1980" s="5" t="n">
        <f aca="false">IF(G1980=0,"",I1980/G1980)</f>
        <v>0.0208985913868978</v>
      </c>
      <c r="K1980" s="0" t="n">
        <v>341.8</v>
      </c>
      <c r="L1980" s="0" t="n">
        <v>32.28</v>
      </c>
      <c r="M1980" s="11" t="s">
        <v>2769</v>
      </c>
      <c r="N1980" s="12" t="n">
        <f aca="false">INT(E1980)</f>
        <v>45804</v>
      </c>
      <c r="O1980" s="12" t="n">
        <f aca="false">IF(F1980="","",INT(F1980))</f>
        <v>45806</v>
      </c>
    </row>
    <row r="1981" customFormat="false" ht="15" hidden="false" customHeight="false" outlineLevel="0" collapsed="false">
      <c r="A1981" s="0" t="s">
        <v>4004</v>
      </c>
      <c r="B1981" s="0" t="s">
        <v>4005</v>
      </c>
      <c r="C1981" s="0" t="s">
        <v>22</v>
      </c>
      <c r="D1981" s="0" t="s">
        <v>42</v>
      </c>
      <c r="E1981" s="10" t="n">
        <v>45804.7506944445</v>
      </c>
      <c r="F1981" s="10" t="n">
        <v>45805.2236111111</v>
      </c>
      <c r="G1981" s="0" t="n">
        <v>201.52</v>
      </c>
      <c r="H1981" s="0" t="n">
        <v>201.24</v>
      </c>
      <c r="I1981" s="11" t="n">
        <f aca="false">H1981-G1981</f>
        <v>-0.280000000000001</v>
      </c>
      <c r="J1981" s="5" t="n">
        <f aca="false">IF(G1981=0,"",I1981/G1981)</f>
        <v>-0.00138944025406908</v>
      </c>
      <c r="K1981" s="0" t="n">
        <v>33.7</v>
      </c>
      <c r="L1981" s="0" t="n">
        <v>11.35</v>
      </c>
      <c r="M1981" s="11" t="s">
        <v>2769</v>
      </c>
      <c r="N1981" s="12" t="n">
        <f aca="false">INT(E1981)</f>
        <v>45804</v>
      </c>
      <c r="O1981" s="12" t="n">
        <f aca="false">IF(F1981="","",INT(F1981))</f>
        <v>45805</v>
      </c>
    </row>
    <row r="1982" customFormat="false" ht="15" hidden="false" customHeight="false" outlineLevel="0" collapsed="false">
      <c r="A1982" s="0" t="s">
        <v>4006</v>
      </c>
      <c r="B1982" s="0" t="s">
        <v>4007</v>
      </c>
      <c r="C1982" s="0" t="s">
        <v>23</v>
      </c>
      <c r="D1982" s="0" t="s">
        <v>42</v>
      </c>
      <c r="E1982" s="10" t="n">
        <v>45804.7701388889</v>
      </c>
      <c r="F1982" s="10" t="n">
        <v>45807.0993055556</v>
      </c>
      <c r="G1982" s="0" t="n">
        <v>332.86</v>
      </c>
      <c r="H1982" s="0" t="n">
        <v>330.33</v>
      </c>
      <c r="I1982" s="11" t="n">
        <f aca="false">H1982-G1982</f>
        <v>-2.53000000000003</v>
      </c>
      <c r="J1982" s="5" t="n">
        <f aca="false">IF(G1982=0,"",I1982/G1982)</f>
        <v>-0.00760079312623935</v>
      </c>
      <c r="K1982" s="0" t="n">
        <v>75.7</v>
      </c>
      <c r="L1982" s="0" t="n">
        <v>55.9</v>
      </c>
      <c r="M1982" s="11" t="s">
        <v>2769</v>
      </c>
      <c r="N1982" s="12" t="n">
        <f aca="false">INT(E1982)</f>
        <v>45804</v>
      </c>
      <c r="O1982" s="12" t="n">
        <f aca="false">IF(F1982="","",INT(F1982))</f>
        <v>45807</v>
      </c>
    </row>
    <row r="1983" customFormat="false" ht="15" hidden="false" customHeight="false" outlineLevel="0" collapsed="false">
      <c r="A1983" s="0" t="s">
        <v>4008</v>
      </c>
      <c r="B1983" s="0" t="s">
        <v>4009</v>
      </c>
      <c r="C1983" s="0" t="s">
        <v>20</v>
      </c>
      <c r="D1983" s="0" t="s">
        <v>303</v>
      </c>
      <c r="E1983" s="10" t="n">
        <v>45805.3472222222</v>
      </c>
      <c r="F1983" s="10"/>
      <c r="G1983" s="0" t="n">
        <v>450.16</v>
      </c>
      <c r="H1983" s="0" t="n">
        <v>453.74</v>
      </c>
      <c r="I1983" s="11" t="n">
        <f aca="false">H1983-G1983</f>
        <v>3.57999999999998</v>
      </c>
      <c r="J1983" s="5" t="n">
        <f aca="false">IF(G1983=0,"",I1983/G1983)</f>
        <v>0.00795272791896211</v>
      </c>
      <c r="K1983" s="0" t="n">
        <v>50.3</v>
      </c>
      <c r="M1983" s="11" t="s">
        <v>2769</v>
      </c>
      <c r="N1983" s="12" t="n">
        <f aca="false">INT(E1983)</f>
        <v>45805</v>
      </c>
      <c r="O1983" s="12" t="str">
        <f aca="false">IF(F1983="","",INT(F1983))</f>
        <v/>
      </c>
    </row>
    <row r="1984" customFormat="false" ht="15" hidden="false" customHeight="false" outlineLevel="0" collapsed="false">
      <c r="A1984" s="0" t="s">
        <v>4010</v>
      </c>
      <c r="B1984" s="0" t="s">
        <v>4011</v>
      </c>
      <c r="C1984" s="0" t="s">
        <v>21</v>
      </c>
      <c r="D1984" s="0" t="s">
        <v>303</v>
      </c>
      <c r="E1984" s="10" t="n">
        <v>45805.3493055556</v>
      </c>
      <c r="F1984" s="10"/>
      <c r="G1984" s="0" t="n">
        <v>314.43</v>
      </c>
      <c r="H1984" s="0" t="n">
        <v>319.61</v>
      </c>
      <c r="I1984" s="11" t="n">
        <f aca="false">H1984-G1984</f>
        <v>5.18000000000001</v>
      </c>
      <c r="J1984" s="5" t="n">
        <f aca="false">IF(G1984=0,"",I1984/G1984)</f>
        <v>0.0164742550011131</v>
      </c>
      <c r="K1984" s="0" t="n">
        <v>84.9</v>
      </c>
      <c r="M1984" s="11" t="s">
        <v>2769</v>
      </c>
      <c r="N1984" s="12" t="n">
        <f aca="false">INT(E1984)</f>
        <v>45805</v>
      </c>
      <c r="O1984" s="12" t="str">
        <f aca="false">IF(F1984="","",INT(F1984))</f>
        <v/>
      </c>
    </row>
    <row r="1985" customFormat="false" ht="15" hidden="false" customHeight="false" outlineLevel="0" collapsed="false">
      <c r="A1985" s="0" t="s">
        <v>4012</v>
      </c>
      <c r="B1985" s="0" t="s">
        <v>4013</v>
      </c>
      <c r="C1985" s="0" t="s">
        <v>23</v>
      </c>
      <c r="D1985" s="0" t="s">
        <v>303</v>
      </c>
      <c r="E1985" s="10" t="n">
        <v>45805.3645833333</v>
      </c>
      <c r="F1985" s="10"/>
      <c r="G1985" s="0" t="n">
        <v>1145.13</v>
      </c>
      <c r="H1985" s="0" t="n">
        <v>1138.28</v>
      </c>
      <c r="I1985" s="11" t="n">
        <f aca="false">H1985-G1985</f>
        <v>-6.85000000000014</v>
      </c>
      <c r="J1985" s="5" t="n">
        <f aca="false">IF(G1985=0,"",I1985/G1985)</f>
        <v>-0.00598185358867564</v>
      </c>
      <c r="K1985" s="0" t="n">
        <v>366.3</v>
      </c>
      <c r="M1985" s="11" t="s">
        <v>2769</v>
      </c>
      <c r="N1985" s="12" t="n">
        <f aca="false">INT(E1985)</f>
        <v>45805</v>
      </c>
      <c r="O1985" s="12" t="str">
        <f aca="false">IF(F1985="","",INT(F1985))</f>
        <v/>
      </c>
    </row>
    <row r="1986" customFormat="false" ht="15" hidden="false" customHeight="false" outlineLevel="0" collapsed="false">
      <c r="A1986" s="0" t="s">
        <v>4014</v>
      </c>
      <c r="B1986" s="0" t="s">
        <v>4015</v>
      </c>
      <c r="C1986" s="0" t="s">
        <v>24</v>
      </c>
      <c r="D1986" s="0" t="s">
        <v>303</v>
      </c>
      <c r="E1986" s="10" t="n">
        <v>45805.3895833333</v>
      </c>
      <c r="F1986" s="10"/>
      <c r="G1986" s="0" t="n">
        <v>711.19</v>
      </c>
      <c r="H1986" s="0" t="n">
        <v>724.41</v>
      </c>
      <c r="I1986" s="11" t="n">
        <f aca="false">H1986-G1986</f>
        <v>13.2199999999999</v>
      </c>
      <c r="J1986" s="5" t="n">
        <f aca="false">IF(G1986=0,"",I1986/G1986)</f>
        <v>0.0185885628313108</v>
      </c>
      <c r="K1986" s="0" t="n">
        <v>261.6</v>
      </c>
      <c r="M1986" s="11" t="s">
        <v>2769</v>
      </c>
      <c r="N1986" s="12" t="n">
        <f aca="false">INT(E1986)</f>
        <v>45805</v>
      </c>
      <c r="O1986" s="12" t="str">
        <f aca="false">IF(F1986="","",INT(F1986))</f>
        <v/>
      </c>
    </row>
    <row r="1987" customFormat="false" ht="15" hidden="false" customHeight="false" outlineLevel="0" collapsed="false">
      <c r="A1987" s="0" t="s">
        <v>4016</v>
      </c>
      <c r="B1987" s="0" t="s">
        <v>4017</v>
      </c>
      <c r="C1987" s="0" t="s">
        <v>21</v>
      </c>
      <c r="D1987" s="0" t="s">
        <v>303</v>
      </c>
      <c r="E1987" s="10" t="n">
        <v>45805.3972222222</v>
      </c>
      <c r="F1987" s="10"/>
      <c r="G1987" s="0" t="n">
        <v>3474.07</v>
      </c>
      <c r="H1987" s="0" t="n">
        <v>3448.12</v>
      </c>
      <c r="I1987" s="11" t="n">
        <f aca="false">H1987-G1987</f>
        <v>-25.9500000000003</v>
      </c>
      <c r="J1987" s="5" t="n">
        <f aca="false">IF(G1987=0,"",I1987/G1987)</f>
        <v>-0.00746962496437903</v>
      </c>
      <c r="K1987" s="0" t="n">
        <v>490</v>
      </c>
      <c r="M1987" s="11" t="s">
        <v>2769</v>
      </c>
      <c r="N1987" s="12" t="n">
        <f aca="false">INT(E1987)</f>
        <v>45805</v>
      </c>
      <c r="O1987" s="12" t="str">
        <f aca="false">IF(F1987="","",INT(F1987))</f>
        <v/>
      </c>
    </row>
    <row r="1988" customFormat="false" ht="15" hidden="false" customHeight="false" outlineLevel="0" collapsed="false">
      <c r="A1988" s="0" t="s">
        <v>4018</v>
      </c>
      <c r="B1988" s="0" t="s">
        <v>4019</v>
      </c>
      <c r="C1988" s="0" t="s">
        <v>22</v>
      </c>
      <c r="D1988" s="0" t="s">
        <v>303</v>
      </c>
      <c r="E1988" s="10" t="n">
        <v>45805.4138888889</v>
      </c>
      <c r="F1988" s="10"/>
      <c r="G1988" s="0" t="n">
        <v>380.61</v>
      </c>
      <c r="H1988" s="0" t="n">
        <v>387.32</v>
      </c>
      <c r="I1988" s="11" t="n">
        <f aca="false">H1988-G1988</f>
        <v>6.70999999999998</v>
      </c>
      <c r="J1988" s="5" t="n">
        <f aca="false">IF(G1988=0,"",I1988/G1988)</f>
        <v>0.017629594598145</v>
      </c>
      <c r="K1988" s="0" t="n">
        <v>54.5</v>
      </c>
      <c r="M1988" s="11" t="s">
        <v>2769</v>
      </c>
      <c r="N1988" s="12" t="n">
        <f aca="false">INT(E1988)</f>
        <v>45805</v>
      </c>
      <c r="O1988" s="12" t="str">
        <f aca="false">IF(F1988="","",INT(F1988))</f>
        <v/>
      </c>
    </row>
    <row r="1989" customFormat="false" ht="15" hidden="false" customHeight="false" outlineLevel="0" collapsed="false">
      <c r="A1989" s="0" t="s">
        <v>4020</v>
      </c>
      <c r="B1989" s="0" t="s">
        <v>4021</v>
      </c>
      <c r="C1989" s="0" t="s">
        <v>21</v>
      </c>
      <c r="D1989" s="0" t="s">
        <v>303</v>
      </c>
      <c r="E1989" s="10" t="n">
        <v>45805.4159722222</v>
      </c>
      <c r="F1989" s="10"/>
      <c r="G1989" s="0" t="n">
        <v>335.16</v>
      </c>
      <c r="H1989" s="0" t="n">
        <v>292.96</v>
      </c>
      <c r="I1989" s="11" t="n">
        <f aca="false">H1989-G1989</f>
        <v>-42.2</v>
      </c>
      <c r="J1989" s="5" t="n">
        <f aca="false">IF(G1989=0,"",I1989/G1989)</f>
        <v>-0.125910013128058</v>
      </c>
      <c r="K1989" s="0" t="n">
        <v>59.1</v>
      </c>
      <c r="M1989" s="11" t="s">
        <v>2769</v>
      </c>
      <c r="N1989" s="12" t="n">
        <f aca="false">INT(E1989)</f>
        <v>45805</v>
      </c>
      <c r="O1989" s="12" t="str">
        <f aca="false">IF(F1989="","",INT(F1989))</f>
        <v/>
      </c>
    </row>
    <row r="1990" customFormat="false" ht="15" hidden="false" customHeight="false" outlineLevel="0" collapsed="false">
      <c r="A1990" s="0" t="s">
        <v>4022</v>
      </c>
      <c r="B1990" s="0" t="s">
        <v>4023</v>
      </c>
      <c r="C1990" s="0" t="s">
        <v>21</v>
      </c>
      <c r="D1990" s="0" t="s">
        <v>303</v>
      </c>
      <c r="E1990" s="10" t="n">
        <v>45805.4236111111</v>
      </c>
      <c r="F1990" s="10"/>
      <c r="G1990" s="0" t="n">
        <v>223.47</v>
      </c>
      <c r="H1990" s="0" t="n">
        <v>223.35</v>
      </c>
      <c r="I1990" s="11" t="n">
        <f aca="false">H1990-G1990</f>
        <v>-0.120000000000005</v>
      </c>
      <c r="J1990" s="5" t="n">
        <f aca="false">IF(G1990=0,"",I1990/G1990)</f>
        <v>-0.000536984830178568</v>
      </c>
      <c r="K1990" s="0" t="n">
        <v>31.7</v>
      </c>
      <c r="M1990" s="11" t="s">
        <v>2769</v>
      </c>
      <c r="N1990" s="12" t="n">
        <f aca="false">INT(E1990)</f>
        <v>45805</v>
      </c>
      <c r="O1990" s="12" t="str">
        <f aca="false">IF(F1990="","",INT(F1990))</f>
        <v/>
      </c>
    </row>
    <row r="1991" customFormat="false" ht="15" hidden="false" customHeight="false" outlineLevel="0" collapsed="false">
      <c r="A1991" s="0" t="s">
        <v>4024</v>
      </c>
      <c r="B1991" s="0" t="s">
        <v>4025</v>
      </c>
      <c r="C1991" s="0" t="s">
        <v>19</v>
      </c>
      <c r="D1991" s="0" t="s">
        <v>303</v>
      </c>
      <c r="E1991" s="10" t="n">
        <v>45805.4236111111</v>
      </c>
      <c r="F1991" s="10"/>
      <c r="G1991" s="0" t="n">
        <v>1318.67</v>
      </c>
      <c r="H1991" s="0" t="n">
        <v>1343.87</v>
      </c>
      <c r="I1991" s="11" t="n">
        <f aca="false">H1991-G1991</f>
        <v>25.1999999999998</v>
      </c>
      <c r="J1991" s="5" t="n">
        <f aca="false">IF(G1991=0,"",I1991/G1991)</f>
        <v>0.0191101640289078</v>
      </c>
      <c r="K1991" s="0" t="n">
        <v>246.2</v>
      </c>
      <c r="M1991" s="11" t="s">
        <v>2769</v>
      </c>
      <c r="N1991" s="12" t="n">
        <f aca="false">INT(E1991)</f>
        <v>45805</v>
      </c>
      <c r="O1991" s="12" t="str">
        <f aca="false">IF(F1991="","",INT(F1991))</f>
        <v/>
      </c>
    </row>
    <row r="1992" customFormat="false" ht="15" hidden="false" customHeight="false" outlineLevel="0" collapsed="false">
      <c r="A1992" s="0" t="s">
        <v>4026</v>
      </c>
      <c r="B1992" s="0" t="s">
        <v>4027</v>
      </c>
      <c r="C1992" s="0" t="s">
        <v>23</v>
      </c>
      <c r="D1992" s="0" t="s">
        <v>303</v>
      </c>
      <c r="E1992" s="10" t="n">
        <v>45805.4458333333</v>
      </c>
      <c r="F1992" s="10"/>
      <c r="G1992" s="0" t="n">
        <v>299.21</v>
      </c>
      <c r="H1992" s="0" t="n">
        <v>312.17</v>
      </c>
      <c r="I1992" s="11" t="n">
        <f aca="false">H1992-G1992</f>
        <v>12.96</v>
      </c>
      <c r="J1992" s="5" t="n">
        <f aca="false">IF(G1992=0,"",I1992/G1992)</f>
        <v>0.0433140603589454</v>
      </c>
      <c r="K1992" s="0" t="n">
        <v>119.5</v>
      </c>
      <c r="M1992" s="11" t="s">
        <v>2769</v>
      </c>
      <c r="N1992" s="12" t="n">
        <f aca="false">INT(E1992)</f>
        <v>45805</v>
      </c>
      <c r="O1992" s="12" t="str">
        <f aca="false">IF(F1992="","",INT(F1992))</f>
        <v/>
      </c>
    </row>
    <row r="1993" customFormat="false" ht="15" hidden="false" customHeight="false" outlineLevel="0" collapsed="false">
      <c r="A1993" s="0" t="s">
        <v>4028</v>
      </c>
      <c r="B1993" s="0" t="s">
        <v>4029</v>
      </c>
      <c r="C1993" s="0" t="s">
        <v>23</v>
      </c>
      <c r="D1993" s="0" t="s">
        <v>303</v>
      </c>
      <c r="E1993" s="10" t="n">
        <v>45805.4763888889</v>
      </c>
      <c r="F1993" s="10"/>
      <c r="G1993" s="0" t="n">
        <v>319.78</v>
      </c>
      <c r="H1993" s="0" t="n">
        <v>319.56</v>
      </c>
      <c r="I1993" s="11" t="n">
        <f aca="false">H1993-G1993</f>
        <v>-0.21999999999997</v>
      </c>
      <c r="J1993" s="5" t="n">
        <f aca="false">IF(G1993=0,"",I1993/G1993)</f>
        <v>-0.000687972981424637</v>
      </c>
      <c r="K1993" s="0" t="n">
        <v>126.1</v>
      </c>
      <c r="M1993" s="11" t="s">
        <v>2769</v>
      </c>
      <c r="N1993" s="12" t="n">
        <f aca="false">INT(E1993)</f>
        <v>45805</v>
      </c>
      <c r="O1993" s="12" t="str">
        <f aca="false">IF(F1993="","",INT(F1993))</f>
        <v/>
      </c>
    </row>
    <row r="1994" customFormat="false" ht="15" hidden="false" customHeight="false" outlineLevel="0" collapsed="false">
      <c r="A1994" s="0" t="s">
        <v>4030</v>
      </c>
      <c r="B1994" s="0" t="s">
        <v>4031</v>
      </c>
      <c r="C1994" s="0" t="s">
        <v>21</v>
      </c>
      <c r="D1994" s="0" t="s">
        <v>303</v>
      </c>
      <c r="E1994" s="10" t="n">
        <v>45805.48125</v>
      </c>
      <c r="F1994" s="10"/>
      <c r="G1994" s="0" t="n">
        <v>76.46</v>
      </c>
      <c r="H1994" s="0" t="n">
        <v>75.97</v>
      </c>
      <c r="I1994" s="11" t="n">
        <f aca="false">H1994-G1994</f>
        <v>-0.489999999999995</v>
      </c>
      <c r="J1994" s="5" t="n">
        <f aca="false">IF(G1994=0,"",I1994/G1994)</f>
        <v>-0.00640857964948986</v>
      </c>
      <c r="K1994" s="0" t="n">
        <v>18.7</v>
      </c>
      <c r="M1994" s="11" t="s">
        <v>2769</v>
      </c>
      <c r="N1994" s="12" t="n">
        <f aca="false">INT(E1994)</f>
        <v>45805</v>
      </c>
      <c r="O1994" s="12" t="str">
        <f aca="false">IF(F1994="","",INT(F1994))</f>
        <v/>
      </c>
    </row>
    <row r="1995" customFormat="false" ht="15" hidden="false" customHeight="false" outlineLevel="0" collapsed="false">
      <c r="A1995" s="0" t="s">
        <v>4032</v>
      </c>
      <c r="B1995" s="0" t="s">
        <v>4033</v>
      </c>
      <c r="C1995" s="0" t="s">
        <v>23</v>
      </c>
      <c r="D1995" s="0" t="s">
        <v>303</v>
      </c>
      <c r="E1995" s="10" t="n">
        <v>45805.5055555556</v>
      </c>
      <c r="F1995" s="10"/>
      <c r="G1995" s="0" t="n">
        <v>302.88</v>
      </c>
      <c r="H1995" s="0" t="n">
        <v>312.82</v>
      </c>
      <c r="I1995" s="11" t="n">
        <f aca="false">H1995-G1995</f>
        <v>9.94</v>
      </c>
      <c r="J1995" s="5" t="n">
        <f aca="false">IF(G1995=0,"",I1995/G1995)</f>
        <v>0.0328182778658214</v>
      </c>
      <c r="K1995" s="0" t="n">
        <v>86.4</v>
      </c>
      <c r="M1995" s="11" t="s">
        <v>2769</v>
      </c>
      <c r="N1995" s="12" t="n">
        <f aca="false">INT(E1995)</f>
        <v>45805</v>
      </c>
      <c r="O1995" s="12" t="str">
        <f aca="false">IF(F1995="","",INT(F1995))</f>
        <v/>
      </c>
    </row>
    <row r="1996" customFormat="false" ht="15" hidden="false" customHeight="false" outlineLevel="0" collapsed="false">
      <c r="A1996" s="0" t="s">
        <v>4034</v>
      </c>
      <c r="B1996" s="0" t="s">
        <v>4035</v>
      </c>
      <c r="C1996" s="0" t="s">
        <v>21</v>
      </c>
      <c r="D1996" s="0" t="s">
        <v>303</v>
      </c>
      <c r="E1996" s="10" t="n">
        <v>45805.5256944444</v>
      </c>
      <c r="F1996" s="10"/>
      <c r="G1996" s="0" t="n">
        <v>152.7</v>
      </c>
      <c r="H1996" s="0" t="n">
        <v>152.96</v>
      </c>
      <c r="I1996" s="11" t="n">
        <f aca="false">H1996-G1996</f>
        <v>0.260000000000019</v>
      </c>
      <c r="J1996" s="5" t="n">
        <f aca="false">IF(G1996=0,"",I1996/G1996)</f>
        <v>0.00170268500327452</v>
      </c>
      <c r="K1996" s="0" t="n">
        <v>32</v>
      </c>
      <c r="M1996" s="11" t="s">
        <v>2769</v>
      </c>
      <c r="N1996" s="12" t="n">
        <f aca="false">INT(E1996)</f>
        <v>45805</v>
      </c>
      <c r="O1996" s="12" t="str">
        <f aca="false">IF(F1996="","",INT(F1996))</f>
        <v/>
      </c>
    </row>
    <row r="1997" customFormat="false" ht="15" hidden="false" customHeight="false" outlineLevel="0" collapsed="false">
      <c r="A1997" s="0" t="s">
        <v>4036</v>
      </c>
      <c r="B1997" s="0" t="s">
        <v>4037</v>
      </c>
      <c r="C1997" s="0" t="s">
        <v>21</v>
      </c>
      <c r="D1997" s="0" t="s">
        <v>303</v>
      </c>
      <c r="E1997" s="10" t="n">
        <v>45805.5263888889</v>
      </c>
      <c r="F1997" s="10"/>
      <c r="G1997" s="0" t="n">
        <v>679.11</v>
      </c>
      <c r="H1997" s="0" t="n">
        <v>665.25</v>
      </c>
      <c r="I1997" s="11" t="n">
        <f aca="false">H1997-G1997</f>
        <v>-13.86</v>
      </c>
      <c r="J1997" s="5" t="n">
        <f aca="false">IF(G1997=0,"",I1997/G1997)</f>
        <v>-0.0204090648054071</v>
      </c>
      <c r="K1997" s="0" t="n">
        <v>110.6</v>
      </c>
      <c r="M1997" s="11" t="s">
        <v>2769</v>
      </c>
      <c r="N1997" s="12" t="n">
        <f aca="false">INT(E1997)</f>
        <v>45805</v>
      </c>
      <c r="O1997" s="12" t="str">
        <f aca="false">IF(F1997="","",INT(F1997))</f>
        <v/>
      </c>
    </row>
    <row r="1998" customFormat="false" ht="15" hidden="false" customHeight="false" outlineLevel="0" collapsed="false">
      <c r="A1998" s="0" t="s">
        <v>4038</v>
      </c>
      <c r="B1998" s="0" t="s">
        <v>4039</v>
      </c>
      <c r="C1998" s="0" t="s">
        <v>24</v>
      </c>
      <c r="D1998" s="0" t="s">
        <v>303</v>
      </c>
      <c r="E1998" s="10" t="n">
        <v>45805.5361111111</v>
      </c>
      <c r="F1998" s="10"/>
      <c r="G1998" s="0" t="n">
        <v>1143.45</v>
      </c>
      <c r="H1998" s="0" t="n">
        <v>1162.87</v>
      </c>
      <c r="I1998" s="11" t="n">
        <f aca="false">H1998-G1998</f>
        <v>19.4199999999998</v>
      </c>
      <c r="J1998" s="5" t="n">
        <f aca="false">IF(G1998=0,"",I1998/G1998)</f>
        <v>0.0169836897109623</v>
      </c>
      <c r="K1998" s="0" t="n">
        <v>320.9</v>
      </c>
      <c r="M1998" s="11" t="s">
        <v>2769</v>
      </c>
      <c r="N1998" s="12" t="n">
        <f aca="false">INT(E1998)</f>
        <v>45805</v>
      </c>
      <c r="O1998" s="12" t="str">
        <f aca="false">IF(F1998="","",INT(F1998))</f>
        <v/>
      </c>
    </row>
    <row r="1999" customFormat="false" ht="15" hidden="false" customHeight="false" outlineLevel="0" collapsed="false">
      <c r="A1999" s="0" t="s">
        <v>4040</v>
      </c>
      <c r="B1999" s="0" t="s">
        <v>4041</v>
      </c>
      <c r="C1999" s="0" t="s">
        <v>22</v>
      </c>
      <c r="D1999" s="0" t="s">
        <v>303</v>
      </c>
      <c r="E1999" s="10" t="n">
        <v>45805.5673611111</v>
      </c>
      <c r="F1999" s="10"/>
      <c r="G1999" s="0" t="n">
        <v>592.61</v>
      </c>
      <c r="H1999" s="0" t="n">
        <v>580.15</v>
      </c>
      <c r="I1999" s="11" t="n">
        <f aca="false">H1999-G1999</f>
        <v>-12.46</v>
      </c>
      <c r="J1999" s="5" t="n">
        <f aca="false">IF(G1999=0,"",I1999/G1999)</f>
        <v>-0.0210256323720491</v>
      </c>
      <c r="K1999" s="0" t="n">
        <v>53.9</v>
      </c>
      <c r="M1999" s="11" t="s">
        <v>2769</v>
      </c>
      <c r="N1999" s="12" t="n">
        <f aca="false">INT(E1999)</f>
        <v>45805</v>
      </c>
      <c r="O1999" s="12" t="str">
        <f aca="false">IF(F1999="","",INT(F1999))</f>
        <v/>
      </c>
    </row>
    <row r="2000" customFormat="false" ht="15" hidden="false" customHeight="false" outlineLevel="0" collapsed="false">
      <c r="A2000" s="0" t="s">
        <v>4042</v>
      </c>
      <c r="B2000" s="0" t="s">
        <v>4043</v>
      </c>
      <c r="C2000" s="0" t="s">
        <v>21</v>
      </c>
      <c r="D2000" s="0" t="s">
        <v>303</v>
      </c>
      <c r="E2000" s="10" t="n">
        <v>45805.61875</v>
      </c>
      <c r="F2000" s="10"/>
      <c r="G2000" s="0" t="n">
        <v>1649.91</v>
      </c>
      <c r="H2000" s="0" t="n">
        <v>1677.29</v>
      </c>
      <c r="I2000" s="11" t="n">
        <f aca="false">H2000-G2000</f>
        <v>27.3799999999999</v>
      </c>
      <c r="J2000" s="5" t="n">
        <f aca="false">IF(G2000=0,"",I2000/G2000)</f>
        <v>0.0165948445672794</v>
      </c>
      <c r="K2000" s="0" t="n">
        <v>416.5</v>
      </c>
      <c r="M2000" s="11" t="s">
        <v>2769</v>
      </c>
      <c r="N2000" s="12" t="n">
        <f aca="false">INT(E2000)</f>
        <v>45805</v>
      </c>
      <c r="O2000" s="12" t="str">
        <f aca="false">IF(F2000="","",INT(F2000))</f>
        <v/>
      </c>
    </row>
    <row r="2001" customFormat="false" ht="15" hidden="false" customHeight="false" outlineLevel="0" collapsed="false">
      <c r="A2001" s="0" t="s">
        <v>4044</v>
      </c>
      <c r="B2001" s="0" t="s">
        <v>4045</v>
      </c>
      <c r="C2001" s="0" t="s">
        <v>20</v>
      </c>
      <c r="D2001" s="0" t="s">
        <v>303</v>
      </c>
      <c r="E2001" s="10" t="n">
        <v>45805.6430555556</v>
      </c>
      <c r="F2001" s="10"/>
      <c r="G2001" s="0" t="n">
        <v>738.94</v>
      </c>
      <c r="H2001" s="0" t="n">
        <v>729.28</v>
      </c>
      <c r="I2001" s="11" t="n">
        <f aca="false">H2001-G2001</f>
        <v>-9.66000000000008</v>
      </c>
      <c r="J2001" s="5" t="n">
        <f aca="false">IF(G2001=0,"",I2001/G2001)</f>
        <v>-0.0130727799280051</v>
      </c>
      <c r="K2001" s="0" t="n">
        <v>121.3</v>
      </c>
      <c r="M2001" s="11" t="s">
        <v>2769</v>
      </c>
      <c r="N2001" s="12" t="n">
        <f aca="false">INT(E2001)</f>
        <v>45805</v>
      </c>
      <c r="O2001" s="12" t="str">
        <f aca="false">IF(F2001="","",INT(F2001))</f>
        <v/>
      </c>
    </row>
    <row r="2002" customFormat="false" ht="15" hidden="false" customHeight="false" outlineLevel="0" collapsed="false">
      <c r="A2002" s="0" t="s">
        <v>4046</v>
      </c>
      <c r="B2002" s="0" t="s">
        <v>4047</v>
      </c>
      <c r="C2002" s="0" t="s">
        <v>23</v>
      </c>
      <c r="D2002" s="0" t="s">
        <v>303</v>
      </c>
      <c r="E2002" s="10" t="n">
        <v>45805.6486111111</v>
      </c>
      <c r="F2002" s="10"/>
      <c r="G2002" s="0" t="n">
        <v>575.59</v>
      </c>
      <c r="H2002" s="0" t="n">
        <v>587.22</v>
      </c>
      <c r="I2002" s="11" t="n">
        <f aca="false">H2002-G2002</f>
        <v>11.63</v>
      </c>
      <c r="J2002" s="5" t="n">
        <f aca="false">IF(G2002=0,"",I2002/G2002)</f>
        <v>0.0202053545058114</v>
      </c>
      <c r="K2002" s="0" t="n">
        <v>111.9</v>
      </c>
      <c r="M2002" s="11" t="s">
        <v>2769</v>
      </c>
      <c r="N2002" s="12" t="n">
        <f aca="false">INT(E2002)</f>
        <v>45805</v>
      </c>
      <c r="O2002" s="12" t="str">
        <f aca="false">IF(F2002="","",INT(F2002))</f>
        <v/>
      </c>
    </row>
    <row r="2003" customFormat="false" ht="15" hidden="false" customHeight="false" outlineLevel="0" collapsed="false">
      <c r="A2003" s="0" t="s">
        <v>4048</v>
      </c>
      <c r="B2003" s="0" t="s">
        <v>4049</v>
      </c>
      <c r="C2003" s="0" t="s">
        <v>24</v>
      </c>
      <c r="D2003" s="0" t="s">
        <v>303</v>
      </c>
      <c r="E2003" s="10" t="n">
        <v>45805.6590277778</v>
      </c>
      <c r="F2003" s="10"/>
      <c r="G2003" s="0" t="n">
        <v>441.46</v>
      </c>
      <c r="H2003" s="0" t="n">
        <v>443.63</v>
      </c>
      <c r="I2003" s="11" t="n">
        <f aca="false">H2003-G2003</f>
        <v>2.17000000000002</v>
      </c>
      <c r="J2003" s="5" t="n">
        <f aca="false">IF(G2003=0,"",I2003/G2003)</f>
        <v>0.00491550763376074</v>
      </c>
      <c r="K2003" s="0" t="n">
        <v>120.2</v>
      </c>
      <c r="M2003" s="11" t="s">
        <v>2769</v>
      </c>
      <c r="N2003" s="12" t="n">
        <f aca="false">INT(E2003)</f>
        <v>45805</v>
      </c>
      <c r="O2003" s="12" t="str">
        <f aca="false">IF(F2003="","",INT(F2003))</f>
        <v/>
      </c>
    </row>
    <row r="2004" customFormat="false" ht="15" hidden="false" customHeight="false" outlineLevel="0" collapsed="false">
      <c r="A2004" s="0" t="s">
        <v>4050</v>
      </c>
      <c r="B2004" s="0" t="s">
        <v>4051</v>
      </c>
      <c r="C2004" s="0" t="s">
        <v>20</v>
      </c>
      <c r="D2004" s="0" t="s">
        <v>303</v>
      </c>
      <c r="E2004" s="10" t="n">
        <v>45805.7013888889</v>
      </c>
      <c r="F2004" s="10"/>
      <c r="G2004" s="0" t="n">
        <v>637.02</v>
      </c>
      <c r="H2004" s="0" t="n">
        <v>617.53</v>
      </c>
      <c r="I2004" s="11" t="n">
        <f aca="false">H2004-G2004</f>
        <v>-19.49</v>
      </c>
      <c r="J2004" s="5" t="n">
        <f aca="false">IF(G2004=0,"",I2004/G2004)</f>
        <v>-0.0305955856958965</v>
      </c>
      <c r="K2004" s="0" t="n">
        <v>61.2</v>
      </c>
      <c r="M2004" s="11" t="s">
        <v>2769</v>
      </c>
      <c r="N2004" s="12" t="n">
        <f aca="false">INT(E2004)</f>
        <v>45805</v>
      </c>
      <c r="O2004" s="12" t="str">
        <f aca="false">IF(F2004="","",INT(F2004))</f>
        <v/>
      </c>
    </row>
    <row r="2005" customFormat="false" ht="15" hidden="false" customHeight="false" outlineLevel="0" collapsed="false">
      <c r="A2005" s="0" t="s">
        <v>4052</v>
      </c>
      <c r="B2005" s="0" t="s">
        <v>4053</v>
      </c>
      <c r="C2005" s="0" t="s">
        <v>21</v>
      </c>
      <c r="D2005" s="0" t="s">
        <v>303</v>
      </c>
      <c r="E2005" s="10" t="n">
        <v>45805.7333333333</v>
      </c>
      <c r="F2005" s="10"/>
      <c r="G2005" s="0" t="n">
        <v>408.22</v>
      </c>
      <c r="H2005" s="0" t="n">
        <v>404.88</v>
      </c>
      <c r="I2005" s="11" t="n">
        <f aca="false">H2005-G2005</f>
        <v>-3.34000000000003</v>
      </c>
      <c r="J2005" s="5" t="n">
        <f aca="false">IF(G2005=0,"",I2005/G2005)</f>
        <v>-0.00818186272108185</v>
      </c>
      <c r="K2005" s="0" t="n">
        <v>61.7</v>
      </c>
      <c r="M2005" s="11" t="s">
        <v>2769</v>
      </c>
      <c r="N2005" s="12" t="n">
        <f aca="false">INT(E2005)</f>
        <v>45805</v>
      </c>
      <c r="O2005" s="12" t="str">
        <f aca="false">IF(F2005="","",INT(F2005))</f>
        <v/>
      </c>
    </row>
    <row r="2006" customFormat="false" ht="15" hidden="false" customHeight="false" outlineLevel="0" collapsed="false">
      <c r="A2006" s="0" t="s">
        <v>4054</v>
      </c>
      <c r="B2006" s="0" t="s">
        <v>4055</v>
      </c>
      <c r="C2006" s="0" t="s">
        <v>22</v>
      </c>
      <c r="D2006" s="0" t="s">
        <v>303</v>
      </c>
      <c r="E2006" s="10" t="n">
        <v>45805.7368055556</v>
      </c>
      <c r="F2006" s="10"/>
      <c r="G2006" s="0" t="n">
        <v>1252.51</v>
      </c>
      <c r="H2006" s="0" t="n">
        <v>1242.15</v>
      </c>
      <c r="I2006" s="11" t="n">
        <f aca="false">H2006-G2006</f>
        <v>-10.3599999999999</v>
      </c>
      <c r="J2006" s="5" t="n">
        <f aca="false">IF(G2006=0,"",I2006/G2006)</f>
        <v>-0.00827139104677799</v>
      </c>
      <c r="K2006" s="0" t="n">
        <v>147</v>
      </c>
      <c r="M2006" s="11" t="s">
        <v>2769</v>
      </c>
      <c r="N2006" s="12" t="n">
        <f aca="false">INT(E2006)</f>
        <v>45805</v>
      </c>
      <c r="O2006" s="12" t="str">
        <f aca="false">IF(F2006="","",INT(F2006))</f>
        <v/>
      </c>
    </row>
    <row r="2007" customFormat="false" ht="15" hidden="false" customHeight="false" outlineLevel="0" collapsed="false">
      <c r="A2007" s="0" t="s">
        <v>4056</v>
      </c>
      <c r="B2007" s="0" t="s">
        <v>4057</v>
      </c>
      <c r="C2007" s="0" t="s">
        <v>23</v>
      </c>
      <c r="D2007" s="0" t="s">
        <v>303</v>
      </c>
      <c r="E2007" s="10" t="n">
        <v>45805.7402777778</v>
      </c>
      <c r="F2007" s="10"/>
      <c r="G2007" s="0" t="n">
        <v>331.14</v>
      </c>
      <c r="H2007" s="0" t="n">
        <v>328.54</v>
      </c>
      <c r="I2007" s="11" t="n">
        <f aca="false">H2007-G2007</f>
        <v>-2.59999999999997</v>
      </c>
      <c r="J2007" s="5" t="n">
        <f aca="false">IF(G2007=0,"",I2007/G2007)</f>
        <v>-0.00785166394878289</v>
      </c>
      <c r="K2007" s="0" t="n">
        <v>148</v>
      </c>
      <c r="M2007" s="11" t="s">
        <v>2769</v>
      </c>
      <c r="N2007" s="12" t="n">
        <f aca="false">INT(E2007)</f>
        <v>45805</v>
      </c>
      <c r="O2007" s="12" t="str">
        <f aca="false">IF(F2007="","",INT(F2007))</f>
        <v/>
      </c>
    </row>
    <row r="2008" customFormat="false" ht="15" hidden="false" customHeight="false" outlineLevel="0" collapsed="false">
      <c r="A2008" s="0" t="s">
        <v>4058</v>
      </c>
      <c r="B2008" s="0" t="s">
        <v>4059</v>
      </c>
      <c r="C2008" s="0" t="s">
        <v>21</v>
      </c>
      <c r="D2008" s="0" t="s">
        <v>303</v>
      </c>
      <c r="E2008" s="10" t="n">
        <v>45805.7458333333</v>
      </c>
      <c r="F2008" s="10"/>
      <c r="G2008" s="0" t="n">
        <v>772.19</v>
      </c>
      <c r="H2008" s="0" t="n">
        <v>781.34</v>
      </c>
      <c r="I2008" s="11" t="n">
        <f aca="false">H2008-G2008</f>
        <v>9.14999999999998</v>
      </c>
      <c r="J2008" s="5" t="n">
        <f aca="false">IF(G2008=0,"",I2008/G2008)</f>
        <v>0.0118494152993434</v>
      </c>
      <c r="K2008" s="0" t="n">
        <v>94.3</v>
      </c>
      <c r="M2008" s="11" t="s">
        <v>2769</v>
      </c>
      <c r="N2008" s="12" t="n">
        <f aca="false">INT(E2008)</f>
        <v>45805</v>
      </c>
      <c r="O2008" s="12" t="str">
        <f aca="false">IF(F2008="","",INT(F2008))</f>
        <v/>
      </c>
    </row>
    <row r="2009" customFormat="false" ht="15" hidden="false" customHeight="false" outlineLevel="0" collapsed="false">
      <c r="A2009" s="0" t="s">
        <v>4060</v>
      </c>
      <c r="B2009" s="0" t="s">
        <v>4061</v>
      </c>
      <c r="C2009" s="0" t="s">
        <v>22</v>
      </c>
      <c r="D2009" s="0" t="s">
        <v>303</v>
      </c>
      <c r="E2009" s="10" t="n">
        <v>45805.7548611111</v>
      </c>
      <c r="F2009" s="10"/>
      <c r="G2009" s="0" t="n">
        <v>207.61</v>
      </c>
      <c r="H2009" s="0" t="n">
        <v>204.75</v>
      </c>
      <c r="I2009" s="11" t="n">
        <f aca="false">H2009-G2009</f>
        <v>-2.86000000000001</v>
      </c>
      <c r="J2009" s="5" t="n">
        <f aca="false">IF(G2009=0,"",I2009/G2009)</f>
        <v>-0.0137758296806513</v>
      </c>
      <c r="K2009" s="0" t="n">
        <v>37.8</v>
      </c>
      <c r="M2009" s="11" t="s">
        <v>2769</v>
      </c>
      <c r="N2009" s="12" t="n">
        <f aca="false">INT(E2009)</f>
        <v>45805</v>
      </c>
      <c r="O2009" s="12" t="str">
        <f aca="false">IF(F2009="","",INT(F2009))</f>
        <v/>
      </c>
    </row>
    <row r="2010" customFormat="false" ht="15" hidden="false" customHeight="false" outlineLevel="0" collapsed="false">
      <c r="A2010" s="0" t="s">
        <v>4062</v>
      </c>
      <c r="B2010" s="0" t="s">
        <v>4063</v>
      </c>
      <c r="C2010" s="0" t="s">
        <v>24</v>
      </c>
      <c r="D2010" s="0" t="s">
        <v>303</v>
      </c>
      <c r="E2010" s="10" t="n">
        <v>45805.7798611111</v>
      </c>
      <c r="F2010" s="10"/>
      <c r="G2010" s="0" t="n">
        <v>363.95</v>
      </c>
      <c r="H2010" s="0" t="n">
        <v>370.64</v>
      </c>
      <c r="I2010" s="11" t="n">
        <f aca="false">H2010-G2010</f>
        <v>6.69</v>
      </c>
      <c r="J2010" s="5" t="n">
        <f aca="false">IF(G2010=0,"",I2010/G2010)</f>
        <v>0.0183816458304712</v>
      </c>
      <c r="K2010" s="0" t="n">
        <v>78</v>
      </c>
      <c r="M2010" s="11" t="s">
        <v>2769</v>
      </c>
      <c r="N2010" s="12" t="n">
        <f aca="false">INT(E2010)</f>
        <v>45805</v>
      </c>
      <c r="O2010" s="12" t="str">
        <f aca="false">IF(F2010="","",INT(F2010))</f>
        <v/>
      </c>
    </row>
    <row r="2011" customFormat="false" ht="15" hidden="false" customHeight="false" outlineLevel="0" collapsed="false">
      <c r="A2011" s="0" t="s">
        <v>4064</v>
      </c>
      <c r="B2011" s="0" t="s">
        <v>4065</v>
      </c>
      <c r="C2011" s="0" t="s">
        <v>24</v>
      </c>
      <c r="D2011" s="0" t="s">
        <v>303</v>
      </c>
      <c r="E2011" s="10" t="n">
        <v>45805.7805555556</v>
      </c>
      <c r="F2011" s="10"/>
      <c r="G2011" s="0" t="n">
        <v>402.9</v>
      </c>
      <c r="H2011" s="0" t="n">
        <v>391.4</v>
      </c>
      <c r="I2011" s="11" t="n">
        <f aca="false">H2011-G2011</f>
        <v>-11.5</v>
      </c>
      <c r="J2011" s="5" t="n">
        <f aca="false">IF(G2011=0,"",I2011/G2011)</f>
        <v>-0.0285430627947382</v>
      </c>
      <c r="K2011" s="0" t="n">
        <v>112.9</v>
      </c>
      <c r="M2011" s="11" t="s">
        <v>2769</v>
      </c>
      <c r="N2011" s="12" t="n">
        <f aca="false">INT(E2011)</f>
        <v>45805</v>
      </c>
      <c r="O2011" s="12" t="str">
        <f aca="false">IF(F2011="","",INT(F2011))</f>
        <v/>
      </c>
    </row>
    <row r="2012" customFormat="false" ht="15" hidden="false" customHeight="false" outlineLevel="0" collapsed="false">
      <c r="A2012" s="0" t="s">
        <v>4066</v>
      </c>
      <c r="B2012" s="0" t="s">
        <v>4067</v>
      </c>
      <c r="C2012" s="0" t="s">
        <v>21</v>
      </c>
      <c r="D2012" s="0" t="s">
        <v>303</v>
      </c>
      <c r="E2012" s="10" t="n">
        <v>45805.7895833333</v>
      </c>
      <c r="F2012" s="10"/>
      <c r="G2012" s="0" t="n">
        <v>197.07</v>
      </c>
      <c r="H2012" s="0" t="n">
        <v>193.77</v>
      </c>
      <c r="I2012" s="11" t="n">
        <f aca="false">H2012-G2012</f>
        <v>-3.29999999999998</v>
      </c>
      <c r="J2012" s="5" t="n">
        <f aca="false">IF(G2012=0,"",I2012/G2012)</f>
        <v>-0.0167453189222103</v>
      </c>
      <c r="K2012" s="0" t="n">
        <v>48.1</v>
      </c>
      <c r="M2012" s="11" t="s">
        <v>2769</v>
      </c>
      <c r="N2012" s="12" t="n">
        <f aca="false">INT(E2012)</f>
        <v>45805</v>
      </c>
      <c r="O2012" s="12" t="str">
        <f aca="false">IF(F2012="","",INT(F2012))</f>
        <v/>
      </c>
    </row>
    <row r="2013" customFormat="false" ht="15" hidden="false" customHeight="false" outlineLevel="0" collapsed="false">
      <c r="A2013" s="0" t="s">
        <v>4068</v>
      </c>
      <c r="B2013" s="0" t="s">
        <v>4069</v>
      </c>
      <c r="C2013" s="0" t="s">
        <v>23</v>
      </c>
      <c r="D2013" s="0" t="s">
        <v>303</v>
      </c>
      <c r="E2013" s="10" t="n">
        <v>45805.7902777778</v>
      </c>
      <c r="F2013" s="10"/>
      <c r="G2013" s="0" t="n">
        <v>152.86</v>
      </c>
      <c r="H2013" s="0" t="n">
        <v>154.37</v>
      </c>
      <c r="I2013" s="11" t="n">
        <f aca="false">H2013-G2013</f>
        <v>1.50999999999999</v>
      </c>
      <c r="J2013" s="5" t="n">
        <f aca="false">IF(G2013=0,"",I2013/G2013)</f>
        <v>0.00987832003140122</v>
      </c>
      <c r="K2013" s="0" t="n">
        <v>42.6</v>
      </c>
      <c r="M2013" s="11" t="s">
        <v>2769</v>
      </c>
      <c r="N2013" s="12" t="n">
        <f aca="false">INT(E2013)</f>
        <v>45805</v>
      </c>
      <c r="O2013" s="12" t="str">
        <f aca="false">IF(F2013="","",INT(F2013))</f>
        <v/>
      </c>
    </row>
    <row r="2014" customFormat="false" ht="15" hidden="false" customHeight="false" outlineLevel="0" collapsed="false">
      <c r="A2014" s="0" t="s">
        <v>4070</v>
      </c>
      <c r="B2014" s="0" t="s">
        <v>4071</v>
      </c>
      <c r="C2014" s="0" t="s">
        <v>24</v>
      </c>
      <c r="D2014" s="0" t="s">
        <v>303</v>
      </c>
      <c r="E2014" s="10" t="n">
        <v>45805.7902777778</v>
      </c>
      <c r="F2014" s="10"/>
      <c r="G2014" s="0" t="n">
        <v>453.16</v>
      </c>
      <c r="H2014" s="0" t="n">
        <v>457.66</v>
      </c>
      <c r="I2014" s="11" t="n">
        <f aca="false">H2014-G2014</f>
        <v>4.5</v>
      </c>
      <c r="J2014" s="5" t="n">
        <f aca="false">IF(G2014=0,"",I2014/G2014)</f>
        <v>0.00993026745520346</v>
      </c>
      <c r="K2014" s="0" t="n">
        <v>118.4</v>
      </c>
      <c r="M2014" s="11" t="s">
        <v>2769</v>
      </c>
      <c r="N2014" s="12" t="n">
        <f aca="false">INT(E2014)</f>
        <v>45805</v>
      </c>
      <c r="O2014" s="12" t="str">
        <f aca="false">IF(F2014="","",INT(F2014))</f>
        <v/>
      </c>
    </row>
    <row r="2015" customFormat="false" ht="15" hidden="false" customHeight="false" outlineLevel="0" collapsed="false">
      <c r="A2015" s="0" t="s">
        <v>4072</v>
      </c>
      <c r="B2015" s="0" t="s">
        <v>4073</v>
      </c>
      <c r="C2015" s="0" t="s">
        <v>20</v>
      </c>
      <c r="D2015" s="0" t="s">
        <v>303</v>
      </c>
      <c r="E2015" s="10" t="n">
        <v>45806.3534722222</v>
      </c>
      <c r="F2015" s="10"/>
      <c r="G2015" s="0" t="n">
        <v>189.15</v>
      </c>
      <c r="H2015" s="0" t="n">
        <v>186.34</v>
      </c>
      <c r="I2015" s="11" t="n">
        <f aca="false">H2015-G2015</f>
        <v>-2.81</v>
      </c>
      <c r="J2015" s="5" t="n">
        <f aca="false">IF(G2015=0,"",I2015/G2015)</f>
        <v>-0.0148559344435633</v>
      </c>
      <c r="K2015" s="0" t="n">
        <v>19.4</v>
      </c>
      <c r="M2015" s="11" t="s">
        <v>2769</v>
      </c>
      <c r="N2015" s="12" t="n">
        <f aca="false">INT(E2015)</f>
        <v>45806</v>
      </c>
      <c r="O2015" s="12" t="str">
        <f aca="false">IF(F2015="","",INT(F2015))</f>
        <v/>
      </c>
    </row>
    <row r="2016" customFormat="false" ht="15" hidden="false" customHeight="false" outlineLevel="0" collapsed="false">
      <c r="A2016" s="0" t="s">
        <v>4074</v>
      </c>
      <c r="B2016" s="0" t="s">
        <v>4075</v>
      </c>
      <c r="C2016" s="0" t="s">
        <v>20</v>
      </c>
      <c r="D2016" s="0" t="s">
        <v>303</v>
      </c>
      <c r="E2016" s="10" t="n">
        <v>45806.3611111111</v>
      </c>
      <c r="F2016" s="10"/>
      <c r="G2016" s="0" t="n">
        <v>264.65</v>
      </c>
      <c r="H2016" s="0" t="n">
        <v>259.35</v>
      </c>
      <c r="I2016" s="11" t="n">
        <f aca="false">H2016-G2016</f>
        <v>-5.29999999999995</v>
      </c>
      <c r="J2016" s="5" t="n">
        <f aca="false">IF(G2016=0,"",I2016/G2016)</f>
        <v>-0.0200264500283391</v>
      </c>
      <c r="K2016" s="0" t="n">
        <v>49.5</v>
      </c>
      <c r="M2016" s="11" t="s">
        <v>2769</v>
      </c>
      <c r="N2016" s="12" t="n">
        <f aca="false">INT(E2016)</f>
        <v>45806</v>
      </c>
      <c r="O2016" s="12" t="str">
        <f aca="false">IF(F2016="","",INT(F2016))</f>
        <v/>
      </c>
    </row>
    <row r="2017" customFormat="false" ht="15" hidden="false" customHeight="false" outlineLevel="0" collapsed="false">
      <c r="A2017" s="0" t="s">
        <v>4076</v>
      </c>
      <c r="B2017" s="0" t="s">
        <v>4077</v>
      </c>
      <c r="C2017" s="0" t="s">
        <v>23</v>
      </c>
      <c r="D2017" s="0" t="s">
        <v>303</v>
      </c>
      <c r="E2017" s="10" t="n">
        <v>45806.39375</v>
      </c>
      <c r="F2017" s="10"/>
      <c r="G2017" s="0" t="n">
        <v>574.42</v>
      </c>
      <c r="H2017" s="0" t="n">
        <v>582.91</v>
      </c>
      <c r="I2017" s="11" t="n">
        <f aca="false">H2017-G2017</f>
        <v>8.49000000000001</v>
      </c>
      <c r="J2017" s="5" t="n">
        <f aca="false">IF(G2017=0,"",I2017/G2017)</f>
        <v>0.0147801260401797</v>
      </c>
      <c r="K2017" s="0" t="n">
        <v>250.6</v>
      </c>
      <c r="M2017" s="11" t="s">
        <v>2769</v>
      </c>
      <c r="N2017" s="12" t="n">
        <f aca="false">INT(E2017)</f>
        <v>45806</v>
      </c>
      <c r="O2017" s="12" t="str">
        <f aca="false">IF(F2017="","",INT(F2017))</f>
        <v/>
      </c>
    </row>
    <row r="2018" customFormat="false" ht="15" hidden="false" customHeight="false" outlineLevel="0" collapsed="false">
      <c r="A2018" s="0" t="s">
        <v>4078</v>
      </c>
      <c r="B2018" s="0" t="s">
        <v>4079</v>
      </c>
      <c r="C2018" s="0" t="s">
        <v>21</v>
      </c>
      <c r="D2018" s="0" t="s">
        <v>303</v>
      </c>
      <c r="E2018" s="10" t="n">
        <v>45806.3944444444</v>
      </c>
      <c r="F2018" s="10"/>
      <c r="G2018" s="0" t="n">
        <v>81.08</v>
      </c>
      <c r="H2018" s="0" t="n">
        <v>81.13</v>
      </c>
      <c r="I2018" s="11" t="n">
        <f aca="false">H2018-G2018</f>
        <v>0.0499999999999972</v>
      </c>
      <c r="J2018" s="5" t="n">
        <f aca="false">IF(G2018=0,"",I2018/G2018)</f>
        <v>0.000616674888998485</v>
      </c>
      <c r="K2018" s="0" t="n">
        <v>11.4</v>
      </c>
      <c r="M2018" s="11" t="s">
        <v>2769</v>
      </c>
      <c r="N2018" s="12" t="n">
        <f aca="false">INT(E2018)</f>
        <v>45806</v>
      </c>
      <c r="O2018" s="12" t="str">
        <f aca="false">IF(F2018="","",INT(F2018))</f>
        <v/>
      </c>
    </row>
    <row r="2019" customFormat="false" ht="15" hidden="false" customHeight="false" outlineLevel="0" collapsed="false">
      <c r="A2019" s="0" t="s">
        <v>4080</v>
      </c>
      <c r="B2019" s="0" t="s">
        <v>4081</v>
      </c>
      <c r="C2019" s="0" t="s">
        <v>23</v>
      </c>
      <c r="D2019" s="0" t="s">
        <v>303</v>
      </c>
      <c r="E2019" s="10" t="n">
        <v>45806.4138888889</v>
      </c>
      <c r="F2019" s="10"/>
      <c r="G2019" s="0" t="n">
        <v>391.25</v>
      </c>
      <c r="H2019" s="0" t="n">
        <v>379.41</v>
      </c>
      <c r="I2019" s="11" t="n">
        <f aca="false">H2019-G2019</f>
        <v>-11.84</v>
      </c>
      <c r="J2019" s="5" t="n">
        <f aca="false">IF(G2019=0,"",I2019/G2019)</f>
        <v>-0.0302619808306709</v>
      </c>
      <c r="K2019" s="0" t="n">
        <v>99.5</v>
      </c>
      <c r="M2019" s="11" t="s">
        <v>2769</v>
      </c>
      <c r="N2019" s="12" t="n">
        <f aca="false">INT(E2019)</f>
        <v>45806</v>
      </c>
      <c r="O2019" s="12" t="str">
        <f aca="false">IF(F2019="","",INT(F2019))</f>
        <v/>
      </c>
    </row>
    <row r="2020" customFormat="false" ht="15" hidden="false" customHeight="false" outlineLevel="0" collapsed="false">
      <c r="A2020" s="0" t="s">
        <v>4082</v>
      </c>
      <c r="B2020" s="0" t="s">
        <v>4083</v>
      </c>
      <c r="C2020" s="0" t="s">
        <v>23</v>
      </c>
      <c r="D2020" s="0" t="s">
        <v>303</v>
      </c>
      <c r="E2020" s="10" t="n">
        <v>45806.4361111111</v>
      </c>
      <c r="F2020" s="10"/>
      <c r="G2020" s="0" t="n">
        <v>135.02</v>
      </c>
      <c r="H2020" s="0" t="n">
        <v>132.76</v>
      </c>
      <c r="I2020" s="11" t="n">
        <f aca="false">H2020-G2020</f>
        <v>-2.26000000000002</v>
      </c>
      <c r="J2020" s="5" t="n">
        <f aca="false">IF(G2020=0,"",I2020/G2020)</f>
        <v>-0.0167382609983708</v>
      </c>
      <c r="K2020" s="0" t="n">
        <v>39.7</v>
      </c>
      <c r="M2020" s="11" t="s">
        <v>2769</v>
      </c>
      <c r="N2020" s="12" t="n">
        <f aca="false">INT(E2020)</f>
        <v>45806</v>
      </c>
      <c r="O2020" s="12" t="str">
        <f aca="false">IF(F2020="","",INT(F2020))</f>
        <v/>
      </c>
    </row>
    <row r="2021" customFormat="false" ht="15" hidden="false" customHeight="false" outlineLevel="0" collapsed="false">
      <c r="A2021" s="0" t="s">
        <v>4084</v>
      </c>
      <c r="B2021" s="0" t="s">
        <v>4085</v>
      </c>
      <c r="C2021" s="0" t="s">
        <v>23</v>
      </c>
      <c r="D2021" s="0" t="s">
        <v>303</v>
      </c>
      <c r="E2021" s="10" t="n">
        <v>45806.4381944445</v>
      </c>
      <c r="F2021" s="10"/>
      <c r="G2021" s="0" t="n">
        <v>198.3</v>
      </c>
      <c r="H2021" s="0" t="n">
        <v>199.25</v>
      </c>
      <c r="I2021" s="11" t="n">
        <f aca="false">H2021-G2021</f>
        <v>0.949999999999989</v>
      </c>
      <c r="J2021" s="5" t="n">
        <f aca="false">IF(G2021=0,"",I2021/G2021)</f>
        <v>0.00479072112960156</v>
      </c>
      <c r="K2021" s="0" t="n">
        <v>41.2</v>
      </c>
      <c r="M2021" s="11" t="s">
        <v>2769</v>
      </c>
      <c r="N2021" s="12" t="n">
        <f aca="false">INT(E2021)</f>
        <v>45806</v>
      </c>
      <c r="O2021" s="12" t="str">
        <f aca="false">IF(F2021="","",INT(F2021))</f>
        <v/>
      </c>
    </row>
    <row r="2022" customFormat="false" ht="15" hidden="false" customHeight="false" outlineLevel="0" collapsed="false">
      <c r="A2022" s="0" t="s">
        <v>4086</v>
      </c>
      <c r="B2022" s="0" t="s">
        <v>4087</v>
      </c>
      <c r="C2022" s="0" t="s">
        <v>19</v>
      </c>
      <c r="D2022" s="0" t="s">
        <v>303</v>
      </c>
      <c r="E2022" s="10" t="n">
        <v>45806.4472222222</v>
      </c>
      <c r="F2022" s="10"/>
      <c r="G2022" s="0" t="n">
        <v>2375.78</v>
      </c>
      <c r="H2022" s="0" t="n">
        <v>2354.85</v>
      </c>
      <c r="I2022" s="11" t="n">
        <f aca="false">H2022-G2022</f>
        <v>-20.9300000000003</v>
      </c>
      <c r="J2022" s="5" t="n">
        <f aca="false">IF(G2022=0,"",I2022/G2022)</f>
        <v>-0.00880973827542966</v>
      </c>
      <c r="K2022" s="0" t="n">
        <v>404.8</v>
      </c>
      <c r="M2022" s="11" t="s">
        <v>2769</v>
      </c>
      <c r="N2022" s="12" t="n">
        <f aca="false">INT(E2022)</f>
        <v>45806</v>
      </c>
      <c r="O2022" s="12" t="str">
        <f aca="false">IF(F2022="","",INT(F2022))</f>
        <v/>
      </c>
    </row>
    <row r="2023" customFormat="false" ht="15" hidden="false" customHeight="false" outlineLevel="0" collapsed="false">
      <c r="A2023" s="0" t="s">
        <v>4088</v>
      </c>
      <c r="B2023" s="0" t="s">
        <v>4089</v>
      </c>
      <c r="C2023" s="0" t="s">
        <v>22</v>
      </c>
      <c r="D2023" s="0" t="s">
        <v>303</v>
      </c>
      <c r="E2023" s="10" t="n">
        <v>45806.4569444444</v>
      </c>
      <c r="F2023" s="10"/>
      <c r="G2023" s="0" t="n">
        <v>1101.48</v>
      </c>
      <c r="H2023" s="0" t="n">
        <v>1091.56</v>
      </c>
      <c r="I2023" s="11" t="n">
        <f aca="false">H2023-G2023</f>
        <v>-9.92000000000007</v>
      </c>
      <c r="J2023" s="5" t="n">
        <f aca="false">IF(G2023=0,"",I2023/G2023)</f>
        <v>-0.00900606456767265</v>
      </c>
      <c r="K2023" s="0" t="n">
        <v>130.3</v>
      </c>
      <c r="M2023" s="11" t="s">
        <v>2769</v>
      </c>
      <c r="N2023" s="12" t="n">
        <f aca="false">INT(E2023)</f>
        <v>45806</v>
      </c>
      <c r="O2023" s="12" t="str">
        <f aca="false">IF(F2023="","",INT(F2023))</f>
        <v/>
      </c>
    </row>
    <row r="2024" customFormat="false" ht="15" hidden="false" customHeight="false" outlineLevel="0" collapsed="false">
      <c r="A2024" s="0" t="s">
        <v>4090</v>
      </c>
      <c r="B2024" s="0" t="s">
        <v>4091</v>
      </c>
      <c r="C2024" s="0" t="s">
        <v>21</v>
      </c>
      <c r="D2024" s="0" t="s">
        <v>303</v>
      </c>
      <c r="E2024" s="10" t="n">
        <v>45806.4673611111</v>
      </c>
      <c r="F2024" s="10"/>
      <c r="G2024" s="0" t="n">
        <v>435.19</v>
      </c>
      <c r="H2024" s="0" t="n">
        <v>396.67</v>
      </c>
      <c r="I2024" s="11" t="n">
        <f aca="false">H2024-G2024</f>
        <v>-38.52</v>
      </c>
      <c r="J2024" s="5" t="n">
        <f aca="false">IF(G2024=0,"",I2024/G2024)</f>
        <v>-0.0885130632597256</v>
      </c>
      <c r="K2024" s="0" t="n">
        <v>63.7</v>
      </c>
      <c r="M2024" s="11" t="s">
        <v>2769</v>
      </c>
      <c r="N2024" s="12" t="n">
        <f aca="false">INT(E2024)</f>
        <v>45806</v>
      </c>
      <c r="O2024" s="12" t="str">
        <f aca="false">IF(F2024="","",INT(F2024))</f>
        <v/>
      </c>
    </row>
    <row r="2025" customFormat="false" ht="15" hidden="false" customHeight="false" outlineLevel="0" collapsed="false">
      <c r="A2025" s="0" t="s">
        <v>4092</v>
      </c>
      <c r="B2025" s="0" t="s">
        <v>4093</v>
      </c>
      <c r="C2025" s="0" t="s">
        <v>24</v>
      </c>
      <c r="D2025" s="0" t="s">
        <v>303</v>
      </c>
      <c r="E2025" s="10" t="n">
        <v>45806.4763888889</v>
      </c>
      <c r="F2025" s="10"/>
      <c r="G2025" s="0" t="n">
        <v>501.04</v>
      </c>
      <c r="H2025" s="0" t="n">
        <v>498.98</v>
      </c>
      <c r="I2025" s="11" t="n">
        <f aca="false">H2025-G2025</f>
        <v>-2.06</v>
      </c>
      <c r="J2025" s="5" t="n">
        <f aca="false">IF(G2025=0,"",I2025/G2025)</f>
        <v>-0.00411144818776944</v>
      </c>
      <c r="K2025" s="0" t="n">
        <v>130.8</v>
      </c>
      <c r="M2025" s="11" t="s">
        <v>2769</v>
      </c>
      <c r="N2025" s="12" t="n">
        <f aca="false">INT(E2025)</f>
        <v>45806</v>
      </c>
      <c r="O2025" s="12" t="str">
        <f aca="false">IF(F2025="","",INT(F2025))</f>
        <v/>
      </c>
    </row>
    <row r="2026" customFormat="false" ht="15" hidden="false" customHeight="false" outlineLevel="0" collapsed="false">
      <c r="A2026" s="0" t="s">
        <v>4094</v>
      </c>
      <c r="B2026" s="0" t="s">
        <v>4095</v>
      </c>
      <c r="C2026" s="0" t="s">
        <v>24</v>
      </c>
      <c r="D2026" s="0" t="s">
        <v>303</v>
      </c>
      <c r="E2026" s="10" t="n">
        <v>45806.4847222222</v>
      </c>
      <c r="F2026" s="10"/>
      <c r="G2026" s="0" t="n">
        <v>309.54</v>
      </c>
      <c r="H2026" s="0" t="n">
        <v>378.84</v>
      </c>
      <c r="I2026" s="11" t="n">
        <f aca="false">H2026-G2026</f>
        <v>69.3</v>
      </c>
      <c r="J2026" s="5" t="n">
        <f aca="false">IF(G2026=0,"",I2026/G2026)</f>
        <v>0.223880597014925</v>
      </c>
      <c r="K2026" s="0" t="n">
        <v>97.7</v>
      </c>
      <c r="M2026" s="11" t="s">
        <v>2769</v>
      </c>
      <c r="N2026" s="12" t="n">
        <f aca="false">INT(E2026)</f>
        <v>45806</v>
      </c>
      <c r="O2026" s="12" t="str">
        <f aca="false">IF(F2026="","",INT(F2026))</f>
        <v/>
      </c>
    </row>
    <row r="2027" customFormat="false" ht="15" hidden="false" customHeight="false" outlineLevel="0" collapsed="false">
      <c r="A2027" s="0" t="s">
        <v>4096</v>
      </c>
      <c r="B2027" s="0" t="s">
        <v>4097</v>
      </c>
      <c r="C2027" s="0" t="s">
        <v>21</v>
      </c>
      <c r="D2027" s="0" t="s">
        <v>303</v>
      </c>
      <c r="E2027" s="10" t="n">
        <v>45806.5041666667</v>
      </c>
      <c r="F2027" s="10"/>
      <c r="G2027" s="0" t="n">
        <v>185.31</v>
      </c>
      <c r="H2027" s="0" t="n">
        <v>182.85</v>
      </c>
      <c r="I2027" s="11" t="n">
        <f aca="false">H2027-G2027</f>
        <v>-2.46000000000001</v>
      </c>
      <c r="J2027" s="5" t="n">
        <f aca="false">IF(G2027=0,"",I2027/G2027)</f>
        <v>-0.0132750526145378</v>
      </c>
      <c r="K2027" s="0" t="n">
        <v>44.8</v>
      </c>
      <c r="M2027" s="11" t="s">
        <v>2769</v>
      </c>
      <c r="N2027" s="12" t="n">
        <f aca="false">INT(E2027)</f>
        <v>45806</v>
      </c>
      <c r="O2027" s="12" t="str">
        <f aca="false">IF(F2027="","",INT(F2027))</f>
        <v/>
      </c>
    </row>
    <row r="2028" customFormat="false" ht="15" hidden="false" customHeight="false" outlineLevel="0" collapsed="false">
      <c r="A2028" s="0" t="s">
        <v>4098</v>
      </c>
      <c r="B2028" s="0" t="s">
        <v>4099</v>
      </c>
      <c r="C2028" s="0" t="s">
        <v>22</v>
      </c>
      <c r="D2028" s="0" t="s">
        <v>303</v>
      </c>
      <c r="E2028" s="10" t="n">
        <v>45806.5152777778</v>
      </c>
      <c r="F2028" s="10"/>
      <c r="G2028" s="0" t="n">
        <v>1542.42</v>
      </c>
      <c r="H2028" s="0" t="n">
        <v>1537.02</v>
      </c>
      <c r="I2028" s="11" t="n">
        <f aca="false">H2028-G2028</f>
        <v>-5.40000000000009</v>
      </c>
      <c r="J2028" s="5" t="n">
        <f aca="false">IF(G2028=0,"",I2028/G2028)</f>
        <v>-0.00350099194771858</v>
      </c>
      <c r="K2028" s="0" t="n">
        <v>281.8</v>
      </c>
      <c r="M2028" s="11" t="s">
        <v>2769</v>
      </c>
      <c r="N2028" s="12" t="n">
        <f aca="false">INT(E2028)</f>
        <v>45806</v>
      </c>
      <c r="O2028" s="12" t="str">
        <f aca="false">IF(F2028="","",INT(F2028))</f>
        <v/>
      </c>
    </row>
    <row r="2029" customFormat="false" ht="15" hidden="false" customHeight="false" outlineLevel="0" collapsed="false">
      <c r="A2029" s="0" t="s">
        <v>4100</v>
      </c>
      <c r="B2029" s="0" t="s">
        <v>4101</v>
      </c>
      <c r="C2029" s="0" t="s">
        <v>23</v>
      </c>
      <c r="D2029" s="0" t="s">
        <v>303</v>
      </c>
      <c r="E2029" s="10" t="n">
        <v>45806.5166666667</v>
      </c>
      <c r="F2029" s="10"/>
      <c r="G2029" s="0" t="n">
        <v>482.03</v>
      </c>
      <c r="H2029" s="0" t="n">
        <v>481.99</v>
      </c>
      <c r="I2029" s="11" t="n">
        <f aca="false">H2029-G2029</f>
        <v>-0.0399999999999636</v>
      </c>
      <c r="J2029" s="5" t="n">
        <f aca="false">IF(G2029=0,"",I2029/G2029)</f>
        <v>-8.29823869882863E-005</v>
      </c>
      <c r="K2029" s="0" t="n">
        <v>180.2</v>
      </c>
      <c r="M2029" s="11" t="s">
        <v>2769</v>
      </c>
      <c r="N2029" s="12" t="n">
        <f aca="false">INT(E2029)</f>
        <v>45806</v>
      </c>
      <c r="O2029" s="12" t="str">
        <f aca="false">IF(F2029="","",INT(F2029))</f>
        <v/>
      </c>
    </row>
    <row r="2030" customFormat="false" ht="15" hidden="false" customHeight="false" outlineLevel="0" collapsed="false">
      <c r="A2030" s="0" t="s">
        <v>4102</v>
      </c>
      <c r="B2030" s="0" t="s">
        <v>4103</v>
      </c>
      <c r="C2030" s="0" t="s">
        <v>23</v>
      </c>
      <c r="D2030" s="0" t="s">
        <v>303</v>
      </c>
      <c r="E2030" s="10" t="n">
        <v>45806.5520833333</v>
      </c>
      <c r="F2030" s="10"/>
      <c r="G2030" s="0" t="n">
        <v>540.3</v>
      </c>
      <c r="H2030" s="0" t="n">
        <v>530.49</v>
      </c>
      <c r="I2030" s="11" t="n">
        <f aca="false">H2030-G2030</f>
        <v>-9.80999999999995</v>
      </c>
      <c r="J2030" s="5" t="n">
        <f aca="false">IF(G2030=0,"",I2030/G2030)</f>
        <v>-0.0181565796779566</v>
      </c>
      <c r="K2030" s="0" t="n">
        <v>154.3</v>
      </c>
      <c r="M2030" s="11" t="s">
        <v>2769</v>
      </c>
      <c r="N2030" s="12" t="n">
        <f aca="false">INT(E2030)</f>
        <v>45806</v>
      </c>
      <c r="O2030" s="12" t="str">
        <f aca="false">IF(F2030="","",INT(F2030))</f>
        <v/>
      </c>
    </row>
    <row r="2031" customFormat="false" ht="15" hidden="false" customHeight="false" outlineLevel="0" collapsed="false">
      <c r="A2031" s="0" t="s">
        <v>4104</v>
      </c>
      <c r="B2031" s="0" t="s">
        <v>4105</v>
      </c>
      <c r="C2031" s="0" t="s">
        <v>23</v>
      </c>
      <c r="D2031" s="0" t="s">
        <v>303</v>
      </c>
      <c r="E2031" s="10" t="n">
        <v>45806.6243055556</v>
      </c>
      <c r="F2031" s="10"/>
      <c r="G2031" s="0" t="n">
        <v>1076.21</v>
      </c>
      <c r="H2031" s="0" t="n">
        <v>1081.81</v>
      </c>
      <c r="I2031" s="11" t="n">
        <f aca="false">H2031-G2031</f>
        <v>5.59999999999991</v>
      </c>
      <c r="J2031" s="5" t="n">
        <f aca="false">IF(G2031=0,"",I2031/G2031)</f>
        <v>0.0052034454242201</v>
      </c>
      <c r="K2031" s="0" t="n">
        <v>403.6</v>
      </c>
      <c r="M2031" s="11" t="s">
        <v>2769</v>
      </c>
      <c r="N2031" s="12" t="n">
        <f aca="false">INT(E2031)</f>
        <v>45806</v>
      </c>
      <c r="O2031" s="12" t="str">
        <f aca="false">IF(F2031="","",INT(F2031))</f>
        <v/>
      </c>
    </row>
    <row r="2032" customFormat="false" ht="15" hidden="false" customHeight="false" outlineLevel="0" collapsed="false">
      <c r="A2032" s="0" t="s">
        <v>4106</v>
      </c>
      <c r="B2032" s="0" t="s">
        <v>4107</v>
      </c>
      <c r="C2032" s="0" t="s">
        <v>23</v>
      </c>
      <c r="D2032" s="0" t="s">
        <v>303</v>
      </c>
      <c r="E2032" s="10" t="n">
        <v>45806.6291666667</v>
      </c>
      <c r="F2032" s="10"/>
      <c r="G2032" s="0" t="n">
        <v>125.59</v>
      </c>
      <c r="H2032" s="0" t="n">
        <v>119.5</v>
      </c>
      <c r="I2032" s="11" t="n">
        <f aca="false">H2032-G2032</f>
        <v>-6.09</v>
      </c>
      <c r="J2032" s="5" t="n">
        <f aca="false">IF(G2032=0,"",I2032/G2032)</f>
        <v>-0.0484911219046103</v>
      </c>
      <c r="K2032" s="0" t="n">
        <v>38.2</v>
      </c>
      <c r="M2032" s="11" t="s">
        <v>2769</v>
      </c>
      <c r="N2032" s="12" t="n">
        <f aca="false">INT(E2032)</f>
        <v>45806</v>
      </c>
      <c r="O2032" s="12" t="str">
        <f aca="false">IF(F2032="","",INT(F2032))</f>
        <v/>
      </c>
    </row>
    <row r="2033" customFormat="false" ht="15" hidden="false" customHeight="false" outlineLevel="0" collapsed="false">
      <c r="A2033" s="0" t="s">
        <v>4108</v>
      </c>
      <c r="B2033" s="0" t="s">
        <v>4109</v>
      </c>
      <c r="C2033" s="0" t="s">
        <v>19</v>
      </c>
      <c r="D2033" s="0" t="s">
        <v>303</v>
      </c>
      <c r="E2033" s="10" t="n">
        <v>45806.6534722222</v>
      </c>
      <c r="F2033" s="10"/>
      <c r="G2033" s="0" t="n">
        <v>337.37</v>
      </c>
      <c r="H2033" s="0" t="n">
        <v>333.18</v>
      </c>
      <c r="I2033" s="11" t="n">
        <f aca="false">H2033-G2033</f>
        <v>-4.19</v>
      </c>
      <c r="J2033" s="5" t="n">
        <f aca="false">IF(G2033=0,"",I2033/G2033)</f>
        <v>-0.0124195986602247</v>
      </c>
      <c r="K2033" s="0" t="n">
        <v>30.8</v>
      </c>
      <c r="M2033" s="11" t="s">
        <v>2769</v>
      </c>
      <c r="N2033" s="12" t="n">
        <f aca="false">INT(E2033)</f>
        <v>45806</v>
      </c>
      <c r="O2033" s="12" t="str">
        <f aca="false">IF(F2033="","",INT(F2033))</f>
        <v/>
      </c>
    </row>
    <row r="2034" customFormat="false" ht="15" hidden="false" customHeight="false" outlineLevel="0" collapsed="false">
      <c r="A2034" s="0" t="s">
        <v>4110</v>
      </c>
      <c r="B2034" s="0" t="s">
        <v>4111</v>
      </c>
      <c r="C2034" s="0" t="s">
        <v>23</v>
      </c>
      <c r="D2034" s="0" t="s">
        <v>303</v>
      </c>
      <c r="E2034" s="10" t="n">
        <v>45806.6583333333</v>
      </c>
      <c r="F2034" s="10"/>
      <c r="G2034" s="0" t="n">
        <v>766.89</v>
      </c>
      <c r="H2034" s="0" t="n">
        <v>755.66</v>
      </c>
      <c r="I2034" s="11" t="n">
        <f aca="false">H2034-G2034</f>
        <v>-11.23</v>
      </c>
      <c r="J2034" s="5" t="n">
        <f aca="false">IF(G2034=0,"",I2034/G2034)</f>
        <v>-0.0146435603541577</v>
      </c>
      <c r="K2034" s="0" t="n">
        <v>184</v>
      </c>
      <c r="M2034" s="11" t="s">
        <v>2769</v>
      </c>
      <c r="N2034" s="12" t="n">
        <f aca="false">INT(E2034)</f>
        <v>45806</v>
      </c>
      <c r="O2034" s="12" t="str">
        <f aca="false">IF(F2034="","",INT(F2034))</f>
        <v/>
      </c>
    </row>
    <row r="2035" customFormat="false" ht="15" hidden="false" customHeight="false" outlineLevel="0" collapsed="false">
      <c r="A2035" s="0" t="s">
        <v>4112</v>
      </c>
      <c r="B2035" s="0" t="s">
        <v>4113</v>
      </c>
      <c r="C2035" s="0" t="s">
        <v>19</v>
      </c>
      <c r="D2035" s="0" t="s">
        <v>303</v>
      </c>
      <c r="E2035" s="10" t="n">
        <v>45806.6722222222</v>
      </c>
      <c r="F2035" s="10"/>
      <c r="G2035" s="0" t="n">
        <v>1215.03</v>
      </c>
      <c r="H2035" s="0" t="n">
        <v>1217.85</v>
      </c>
      <c r="I2035" s="11" t="n">
        <f aca="false">H2035-G2035</f>
        <v>2.81999999999994</v>
      </c>
      <c r="J2035" s="5" t="n">
        <f aca="false">IF(G2035=0,"",I2035/G2035)</f>
        <v>0.00232093034739878</v>
      </c>
      <c r="K2035" s="0" t="n">
        <v>107</v>
      </c>
      <c r="M2035" s="11" t="s">
        <v>2769</v>
      </c>
      <c r="N2035" s="12" t="n">
        <f aca="false">INT(E2035)</f>
        <v>45806</v>
      </c>
      <c r="O2035" s="12" t="str">
        <f aca="false">IF(F2035="","",INT(F2035))</f>
        <v/>
      </c>
    </row>
    <row r="2036" customFormat="false" ht="15" hidden="false" customHeight="false" outlineLevel="0" collapsed="false">
      <c r="A2036" s="0" t="s">
        <v>4114</v>
      </c>
      <c r="B2036" s="0" t="s">
        <v>4115</v>
      </c>
      <c r="C2036" s="0" t="s">
        <v>21</v>
      </c>
      <c r="D2036" s="0" t="s">
        <v>303</v>
      </c>
      <c r="E2036" s="10" t="n">
        <v>45806.6756944444</v>
      </c>
      <c r="F2036" s="10"/>
      <c r="G2036" s="0" t="n">
        <v>509</v>
      </c>
      <c r="H2036" s="0" t="n">
        <v>506.96</v>
      </c>
      <c r="I2036" s="11" t="n">
        <f aca="false">H2036-G2036</f>
        <v>-2.04000000000002</v>
      </c>
      <c r="J2036" s="5" t="n">
        <f aca="false">IF(G2036=0,"",I2036/G2036)</f>
        <v>-0.004007858546169</v>
      </c>
      <c r="K2036" s="0" t="n">
        <v>104.9</v>
      </c>
      <c r="M2036" s="11" t="s">
        <v>2769</v>
      </c>
      <c r="N2036" s="12" t="n">
        <f aca="false">INT(E2036)</f>
        <v>45806</v>
      </c>
      <c r="O2036" s="12" t="str">
        <f aca="false">IF(F2036="","",INT(F2036))</f>
        <v/>
      </c>
    </row>
    <row r="2037" customFormat="false" ht="15" hidden="false" customHeight="false" outlineLevel="0" collapsed="false">
      <c r="A2037" s="0" t="s">
        <v>4116</v>
      </c>
      <c r="B2037" s="0" t="s">
        <v>4117</v>
      </c>
      <c r="C2037" s="0" t="s">
        <v>21</v>
      </c>
      <c r="D2037" s="0" t="s">
        <v>303</v>
      </c>
      <c r="E2037" s="10" t="n">
        <v>45806.6861111111</v>
      </c>
      <c r="F2037" s="10"/>
      <c r="G2037" s="0" t="n">
        <v>340.22</v>
      </c>
      <c r="H2037" s="0" t="n">
        <v>357.32</v>
      </c>
      <c r="I2037" s="11" t="n">
        <f aca="false">H2037-G2037</f>
        <v>17.1</v>
      </c>
      <c r="J2037" s="5" t="n">
        <f aca="false">IF(G2037=0,"",I2037/G2037)</f>
        <v>0.0502615954382457</v>
      </c>
      <c r="K2037" s="0" t="n">
        <v>76.1</v>
      </c>
      <c r="M2037" s="11" t="s">
        <v>2769</v>
      </c>
      <c r="N2037" s="12" t="n">
        <f aca="false">INT(E2037)</f>
        <v>45806</v>
      </c>
      <c r="O2037" s="12" t="str">
        <f aca="false">IF(F2037="","",INT(F2037))</f>
        <v/>
      </c>
    </row>
    <row r="2038" customFormat="false" ht="15" hidden="false" customHeight="false" outlineLevel="0" collapsed="false">
      <c r="A2038" s="0" t="s">
        <v>4118</v>
      </c>
      <c r="B2038" s="0" t="s">
        <v>4119</v>
      </c>
      <c r="C2038" s="0" t="s">
        <v>19</v>
      </c>
      <c r="D2038" s="0" t="s">
        <v>303</v>
      </c>
      <c r="E2038" s="10" t="n">
        <v>45806.7208333333</v>
      </c>
      <c r="F2038" s="10"/>
      <c r="G2038" s="0" t="n">
        <v>200.95</v>
      </c>
      <c r="H2038" s="0" t="n">
        <v>203.86</v>
      </c>
      <c r="I2038" s="11" t="n">
        <f aca="false">H2038-G2038</f>
        <v>2.91000000000003</v>
      </c>
      <c r="J2038" s="5" t="n">
        <f aca="false">IF(G2038=0,"",I2038/G2038)</f>
        <v>0.0144812142323962</v>
      </c>
      <c r="K2038" s="0" t="n">
        <v>28.6</v>
      </c>
      <c r="M2038" s="11" t="s">
        <v>2769</v>
      </c>
      <c r="N2038" s="12" t="n">
        <f aca="false">INT(E2038)</f>
        <v>45806</v>
      </c>
      <c r="O2038" s="12" t="str">
        <f aca="false">IF(F2038="","",INT(F2038))</f>
        <v/>
      </c>
    </row>
    <row r="2039" customFormat="false" ht="15" hidden="false" customHeight="false" outlineLevel="0" collapsed="false">
      <c r="A2039" s="0" t="s">
        <v>4120</v>
      </c>
      <c r="B2039" s="0" t="s">
        <v>4121</v>
      </c>
      <c r="C2039" s="0" t="s">
        <v>20</v>
      </c>
      <c r="D2039" s="0" t="s">
        <v>303</v>
      </c>
      <c r="E2039" s="10" t="n">
        <v>45806.7534722222</v>
      </c>
      <c r="F2039" s="10"/>
      <c r="G2039" s="0" t="n">
        <v>386.72</v>
      </c>
      <c r="H2039" s="0" t="n">
        <v>394.27</v>
      </c>
      <c r="I2039" s="11" t="n">
        <f aca="false">H2039-G2039</f>
        <v>7.54999999999995</v>
      </c>
      <c r="J2039" s="5" t="n">
        <f aca="false">IF(G2039=0,"",I2039/G2039)</f>
        <v>0.0195231692180388</v>
      </c>
      <c r="K2039" s="0" t="n">
        <v>46.1</v>
      </c>
      <c r="M2039" s="11" t="s">
        <v>2769</v>
      </c>
      <c r="N2039" s="12" t="n">
        <f aca="false">INT(E2039)</f>
        <v>45806</v>
      </c>
      <c r="O2039" s="12" t="str">
        <f aca="false">IF(F2039="","",INT(F2039))</f>
        <v/>
      </c>
    </row>
    <row r="2040" customFormat="false" ht="15" hidden="false" customHeight="false" outlineLevel="0" collapsed="false">
      <c r="A2040" s="0" t="s">
        <v>4122</v>
      </c>
      <c r="B2040" s="0" t="s">
        <v>4123</v>
      </c>
      <c r="C2040" s="0" t="s">
        <v>20</v>
      </c>
      <c r="D2040" s="0" t="s">
        <v>303</v>
      </c>
      <c r="E2040" s="10" t="n">
        <v>45806.7541666667</v>
      </c>
      <c r="F2040" s="10"/>
      <c r="G2040" s="0" t="n">
        <v>202.45</v>
      </c>
      <c r="H2040" s="0" t="n">
        <v>198.02</v>
      </c>
      <c r="I2040" s="11" t="n">
        <f aca="false">H2040-G2040</f>
        <v>-4.42999999999998</v>
      </c>
      <c r="J2040" s="5" t="n">
        <f aca="false">IF(G2040=0,"",I2040/G2040)</f>
        <v>-0.0218819461595455</v>
      </c>
      <c r="K2040" s="0" t="n">
        <v>24.7</v>
      </c>
      <c r="M2040" s="11" t="s">
        <v>2769</v>
      </c>
      <c r="N2040" s="12" t="n">
        <f aca="false">INT(E2040)</f>
        <v>45806</v>
      </c>
      <c r="O2040" s="12" t="str">
        <f aca="false">IF(F2040="","",INT(F2040))</f>
        <v/>
      </c>
    </row>
    <row r="2041" customFormat="false" ht="15" hidden="false" customHeight="false" outlineLevel="0" collapsed="false">
      <c r="A2041" s="0" t="s">
        <v>4124</v>
      </c>
      <c r="B2041" s="0" t="s">
        <v>4125</v>
      </c>
      <c r="C2041" s="0" t="s">
        <v>19</v>
      </c>
      <c r="D2041" s="0" t="s">
        <v>303</v>
      </c>
      <c r="E2041" s="10" t="n">
        <v>45806.7708333333</v>
      </c>
      <c r="F2041" s="10"/>
      <c r="G2041" s="0" t="n">
        <v>591.15</v>
      </c>
      <c r="H2041" s="0" t="n">
        <v>580.76</v>
      </c>
      <c r="I2041" s="11" t="n">
        <f aca="false">H2041-G2041</f>
        <v>-10.39</v>
      </c>
      <c r="J2041" s="5" t="n">
        <f aca="false">IF(G2041=0,"",I2041/G2041)</f>
        <v>-0.0175759113592151</v>
      </c>
      <c r="K2041" s="0" t="n">
        <v>100.7</v>
      </c>
      <c r="M2041" s="11" t="s">
        <v>2769</v>
      </c>
      <c r="N2041" s="12" t="n">
        <f aca="false">INT(E2041)</f>
        <v>45806</v>
      </c>
      <c r="O2041" s="12" t="str">
        <f aca="false">IF(F2041="","",INT(F2041))</f>
        <v/>
      </c>
    </row>
    <row r="2042" customFormat="false" ht="15" hidden="false" customHeight="false" outlineLevel="0" collapsed="false">
      <c r="A2042" s="0" t="s">
        <v>4126</v>
      </c>
      <c r="B2042" s="0" t="s">
        <v>4127</v>
      </c>
      <c r="C2042" s="0" t="s">
        <v>21</v>
      </c>
      <c r="D2042" s="0" t="s">
        <v>303</v>
      </c>
      <c r="E2042" s="10" t="n">
        <v>45806.775</v>
      </c>
      <c r="F2042" s="10"/>
      <c r="G2042" s="0" t="n">
        <v>725.36</v>
      </c>
      <c r="H2042" s="0" t="n">
        <v>722.44</v>
      </c>
      <c r="I2042" s="11" t="n">
        <f aca="false">H2042-G2042</f>
        <v>-2.91999999999996</v>
      </c>
      <c r="J2042" s="5" t="n">
        <f aca="false">IF(G2042=0,"",I2042/G2042)</f>
        <v>-0.0040255872945847</v>
      </c>
      <c r="K2042" s="0" t="n">
        <v>135.8</v>
      </c>
      <c r="M2042" s="11" t="s">
        <v>2769</v>
      </c>
      <c r="N2042" s="12" t="n">
        <f aca="false">INT(E2042)</f>
        <v>45806</v>
      </c>
      <c r="O2042" s="12" t="str">
        <f aca="false">IF(F2042="","",INT(F2042))</f>
        <v/>
      </c>
    </row>
    <row r="2043" customFormat="false" ht="15" hidden="false" customHeight="false" outlineLevel="0" collapsed="false">
      <c r="A2043" s="0" t="s">
        <v>4128</v>
      </c>
      <c r="B2043" s="0" t="s">
        <v>4129</v>
      </c>
      <c r="C2043" s="0" t="s">
        <v>21</v>
      </c>
      <c r="D2043" s="0" t="s">
        <v>303</v>
      </c>
      <c r="E2043" s="10" t="n">
        <v>45806.7777777778</v>
      </c>
      <c r="F2043" s="10"/>
      <c r="G2043" s="0" t="n">
        <v>491.87</v>
      </c>
      <c r="H2043" s="0" t="n">
        <v>502.6</v>
      </c>
      <c r="I2043" s="11" t="n">
        <f aca="false">H2043-G2043</f>
        <v>10.73</v>
      </c>
      <c r="J2043" s="5" t="n">
        <f aca="false">IF(G2043=0,"",I2043/G2043)</f>
        <v>0.021814707138065</v>
      </c>
      <c r="K2043" s="0" t="n">
        <v>75</v>
      </c>
      <c r="M2043" s="11" t="s">
        <v>2769</v>
      </c>
      <c r="N2043" s="12" t="n">
        <f aca="false">INT(E2043)</f>
        <v>45806</v>
      </c>
      <c r="O2043" s="12" t="str">
        <f aca="false">IF(F2043="","",INT(F2043))</f>
        <v/>
      </c>
    </row>
    <row r="2044" customFormat="false" ht="15" hidden="false" customHeight="false" outlineLevel="0" collapsed="false">
      <c r="A2044" s="0" t="s">
        <v>4130</v>
      </c>
      <c r="B2044" s="0" t="s">
        <v>4131</v>
      </c>
      <c r="C2044" s="0" t="s">
        <v>24</v>
      </c>
      <c r="D2044" s="0" t="s">
        <v>303</v>
      </c>
      <c r="E2044" s="10" t="n">
        <v>45807.2930555556</v>
      </c>
      <c r="F2044" s="10"/>
      <c r="G2044" s="0" t="n">
        <v>859.75</v>
      </c>
      <c r="H2044" s="0" t="n">
        <v>882.57</v>
      </c>
      <c r="I2044" s="11" t="n">
        <f aca="false">H2044-G2044</f>
        <v>22.8200000000001</v>
      </c>
      <c r="J2044" s="5" t="n">
        <f aca="false">IF(G2044=0,"",I2044/G2044)</f>
        <v>0.026542599592905</v>
      </c>
      <c r="K2044" s="0" t="n">
        <v>274.3</v>
      </c>
      <c r="M2044" s="11" t="s">
        <v>2769</v>
      </c>
      <c r="N2044" s="12" t="n">
        <f aca="false">INT(E2044)</f>
        <v>45807</v>
      </c>
      <c r="O2044" s="12" t="str">
        <f aca="false">IF(F2044="","",INT(F2044))</f>
        <v/>
      </c>
    </row>
    <row r="2045" customFormat="false" ht="15" hidden="false" customHeight="false" outlineLevel="0" collapsed="false">
      <c r="A2045" s="0" t="s">
        <v>4132</v>
      </c>
      <c r="B2045" s="0" t="s">
        <v>4133</v>
      </c>
      <c r="C2045" s="0" t="s">
        <v>21</v>
      </c>
      <c r="D2045" s="0" t="s">
        <v>303</v>
      </c>
      <c r="E2045" s="10" t="n">
        <v>45807.2965277778</v>
      </c>
      <c r="F2045" s="10"/>
      <c r="G2045" s="0" t="n">
        <v>896.43</v>
      </c>
      <c r="H2045" s="0" t="n">
        <v>889.55</v>
      </c>
      <c r="I2045" s="11" t="n">
        <f aca="false">H2045-G2045</f>
        <v>-6.88</v>
      </c>
      <c r="J2045" s="5" t="n">
        <f aca="false">IF(G2045=0,"",I2045/G2045)</f>
        <v>-0.00767488816750889</v>
      </c>
      <c r="K2045" s="0" t="n">
        <v>191.8</v>
      </c>
      <c r="M2045" s="11" t="s">
        <v>2769</v>
      </c>
      <c r="N2045" s="12" t="n">
        <f aca="false">INT(E2045)</f>
        <v>45807</v>
      </c>
      <c r="O2045" s="12" t="str">
        <f aca="false">IF(F2045="","",INT(F2045))</f>
        <v/>
      </c>
    </row>
    <row r="2046" customFormat="false" ht="15" hidden="false" customHeight="false" outlineLevel="0" collapsed="false">
      <c r="A2046" s="0" t="s">
        <v>4134</v>
      </c>
      <c r="B2046" s="0" t="s">
        <v>4135</v>
      </c>
      <c r="C2046" s="0" t="s">
        <v>23</v>
      </c>
      <c r="D2046" s="0" t="s">
        <v>303</v>
      </c>
      <c r="E2046" s="10" t="n">
        <v>45807.3402777778</v>
      </c>
      <c r="F2046" s="10"/>
      <c r="G2046" s="0" t="n">
        <v>877.63</v>
      </c>
      <c r="H2046" s="0" t="n">
        <v>883.81</v>
      </c>
      <c r="I2046" s="11" t="n">
        <f aca="false">H2046-G2046</f>
        <v>6.17999999999995</v>
      </c>
      <c r="J2046" s="5" t="n">
        <f aca="false">IF(G2046=0,"",I2046/G2046)</f>
        <v>0.00704169182913067</v>
      </c>
      <c r="K2046" s="0" t="n">
        <v>357.4</v>
      </c>
      <c r="M2046" s="11" t="s">
        <v>2769</v>
      </c>
      <c r="N2046" s="12" t="n">
        <f aca="false">INT(E2046)</f>
        <v>45807</v>
      </c>
      <c r="O2046" s="12" t="str">
        <f aca="false">IF(F2046="","",INT(F2046))</f>
        <v/>
      </c>
    </row>
    <row r="2047" customFormat="false" ht="15" hidden="false" customHeight="false" outlineLevel="0" collapsed="false">
      <c r="A2047" s="0" t="s">
        <v>4136</v>
      </c>
      <c r="B2047" s="0" t="s">
        <v>4137</v>
      </c>
      <c r="C2047" s="0" t="s">
        <v>20</v>
      </c>
      <c r="D2047" s="0" t="s">
        <v>303</v>
      </c>
      <c r="E2047" s="10" t="n">
        <v>45807.3701388889</v>
      </c>
      <c r="F2047" s="10"/>
      <c r="G2047" s="0" t="n">
        <v>452.57</v>
      </c>
      <c r="H2047" s="0" t="n">
        <v>468.15</v>
      </c>
      <c r="I2047" s="11" t="n">
        <f aca="false">H2047-G2047</f>
        <v>15.58</v>
      </c>
      <c r="J2047" s="5" t="n">
        <f aca="false">IF(G2047=0,"",I2047/G2047)</f>
        <v>0.034425613717215</v>
      </c>
      <c r="K2047" s="0" t="n">
        <v>70.1</v>
      </c>
      <c r="M2047" s="11" t="s">
        <v>2769</v>
      </c>
      <c r="N2047" s="12" t="n">
        <f aca="false">INT(E2047)</f>
        <v>45807</v>
      </c>
      <c r="O2047" s="12" t="str">
        <f aca="false">IF(F2047="","",INT(F2047))</f>
        <v/>
      </c>
    </row>
    <row r="2048" customFormat="false" ht="15" hidden="false" customHeight="false" outlineLevel="0" collapsed="false">
      <c r="A2048" s="0" t="s">
        <v>4138</v>
      </c>
      <c r="B2048" s="0" t="s">
        <v>4139</v>
      </c>
      <c r="C2048" s="0" t="s">
        <v>19</v>
      </c>
      <c r="D2048" s="0" t="s">
        <v>303</v>
      </c>
      <c r="E2048" s="10" t="n">
        <v>45807.3701388889</v>
      </c>
      <c r="F2048" s="10"/>
      <c r="G2048" s="0" t="n">
        <v>178.57</v>
      </c>
      <c r="H2048" s="0" t="n">
        <v>182.5</v>
      </c>
      <c r="I2048" s="11" t="n">
        <f aca="false">H2048-G2048</f>
        <v>3.93000000000001</v>
      </c>
      <c r="J2048" s="5" t="n">
        <f aca="false">IF(G2048=0,"",I2048/G2048)</f>
        <v>0.0220081760654086</v>
      </c>
      <c r="K2048" s="0" t="n">
        <v>22.7</v>
      </c>
      <c r="M2048" s="11" t="s">
        <v>2769</v>
      </c>
      <c r="N2048" s="12" t="n">
        <f aca="false">INT(E2048)</f>
        <v>45807</v>
      </c>
      <c r="O2048" s="12" t="str">
        <f aca="false">IF(F2048="","",INT(F2048))</f>
        <v/>
      </c>
    </row>
    <row r="2049" customFormat="false" ht="15" hidden="false" customHeight="false" outlineLevel="0" collapsed="false">
      <c r="A2049" s="0" t="s">
        <v>4140</v>
      </c>
      <c r="B2049" s="0" t="s">
        <v>4141</v>
      </c>
      <c r="C2049" s="0" t="s">
        <v>20</v>
      </c>
      <c r="D2049" s="0" t="s">
        <v>303</v>
      </c>
      <c r="E2049" s="10" t="n">
        <v>45807.3798611111</v>
      </c>
      <c r="F2049" s="10"/>
      <c r="G2049" s="0" t="n">
        <v>281.36</v>
      </c>
      <c r="H2049" s="0" t="n">
        <v>286.27</v>
      </c>
      <c r="I2049" s="11" t="n">
        <f aca="false">H2049-G2049</f>
        <v>4.90999999999997</v>
      </c>
      <c r="J2049" s="5" t="n">
        <f aca="false">IF(G2049=0,"",I2049/G2049)</f>
        <v>0.017450952516349</v>
      </c>
      <c r="K2049" s="0" t="n">
        <v>50.9</v>
      </c>
      <c r="M2049" s="11" t="s">
        <v>2769</v>
      </c>
      <c r="N2049" s="12" t="n">
        <f aca="false">INT(E2049)</f>
        <v>45807</v>
      </c>
      <c r="O2049" s="12" t="str">
        <f aca="false">IF(F2049="","",INT(F2049))</f>
        <v/>
      </c>
    </row>
    <row r="2050" customFormat="false" ht="15" hidden="false" customHeight="false" outlineLevel="0" collapsed="false">
      <c r="A2050" s="0" t="s">
        <v>4142</v>
      </c>
      <c r="B2050" s="0" t="s">
        <v>4143</v>
      </c>
      <c r="C2050" s="0" t="s">
        <v>20</v>
      </c>
      <c r="D2050" s="0" t="s">
        <v>303</v>
      </c>
      <c r="E2050" s="10" t="n">
        <v>45807.39375</v>
      </c>
      <c r="F2050" s="10"/>
      <c r="G2050" s="0" t="n">
        <v>225.82</v>
      </c>
      <c r="H2050" s="0" t="n">
        <v>231.59</v>
      </c>
      <c r="I2050" s="11" t="n">
        <f aca="false">H2050-G2050</f>
        <v>5.77000000000001</v>
      </c>
      <c r="J2050" s="5" t="n">
        <f aca="false">IF(G2050=0,"",I2050/G2050)</f>
        <v>0.0255513240634134</v>
      </c>
      <c r="K2050" s="0" t="n">
        <v>27.6</v>
      </c>
      <c r="M2050" s="11" t="s">
        <v>2769</v>
      </c>
      <c r="N2050" s="12" t="n">
        <f aca="false">INT(E2050)</f>
        <v>45807</v>
      </c>
      <c r="O2050" s="12" t="str">
        <f aca="false">IF(F2050="","",INT(F2050))</f>
        <v/>
      </c>
    </row>
    <row r="2051" customFormat="false" ht="15" hidden="false" customHeight="false" outlineLevel="0" collapsed="false">
      <c r="A2051" s="0" t="s">
        <v>4144</v>
      </c>
      <c r="B2051" s="0" t="s">
        <v>4145</v>
      </c>
      <c r="C2051" s="0" t="s">
        <v>20</v>
      </c>
      <c r="D2051" s="0" t="s">
        <v>303</v>
      </c>
      <c r="E2051" s="10" t="n">
        <v>45807.3965277778</v>
      </c>
      <c r="F2051" s="10"/>
      <c r="G2051" s="0" t="n">
        <v>122.74</v>
      </c>
      <c r="H2051" s="0" t="n">
        <v>123.82</v>
      </c>
      <c r="I2051" s="11" t="n">
        <f aca="false">H2051-G2051</f>
        <v>1.08</v>
      </c>
      <c r="J2051" s="5" t="n">
        <f aca="false">IF(G2051=0,"",I2051/G2051)</f>
        <v>0.00879908750203681</v>
      </c>
      <c r="K2051" s="0" t="n">
        <v>25.2</v>
      </c>
      <c r="M2051" s="11" t="s">
        <v>2769</v>
      </c>
      <c r="N2051" s="12" t="n">
        <f aca="false">INT(E2051)</f>
        <v>45807</v>
      </c>
      <c r="O2051" s="12" t="str">
        <f aca="false">IF(F2051="","",INT(F2051))</f>
        <v/>
      </c>
    </row>
    <row r="2052" customFormat="false" ht="15" hidden="false" customHeight="false" outlineLevel="0" collapsed="false">
      <c r="A2052" s="0" t="s">
        <v>4146</v>
      </c>
      <c r="B2052" s="0" t="s">
        <v>4147</v>
      </c>
      <c r="C2052" s="0" t="s">
        <v>24</v>
      </c>
      <c r="D2052" s="0" t="s">
        <v>303</v>
      </c>
      <c r="E2052" s="10" t="n">
        <v>45807.4416666667</v>
      </c>
      <c r="F2052" s="10"/>
      <c r="G2052" s="0" t="n">
        <v>660.1</v>
      </c>
      <c r="H2052" s="0" t="n">
        <v>643.37</v>
      </c>
      <c r="I2052" s="11" t="n">
        <f aca="false">H2052-G2052</f>
        <v>-16.73</v>
      </c>
      <c r="J2052" s="5" t="n">
        <f aca="false">IF(G2052=0,"",I2052/G2052)</f>
        <v>-0.0253446447507954</v>
      </c>
      <c r="K2052" s="0" t="n">
        <v>129.3</v>
      </c>
      <c r="M2052" s="11" t="s">
        <v>2769</v>
      </c>
      <c r="N2052" s="12" t="n">
        <f aca="false">INT(E2052)</f>
        <v>45807</v>
      </c>
      <c r="O2052" s="12" t="str">
        <f aca="false">IF(F2052="","",INT(F2052))</f>
        <v/>
      </c>
    </row>
    <row r="2053" customFormat="false" ht="15" hidden="false" customHeight="false" outlineLevel="0" collapsed="false">
      <c r="A2053" s="0" t="s">
        <v>4148</v>
      </c>
      <c r="B2053" s="0" t="s">
        <v>4149</v>
      </c>
      <c r="C2053" s="0" t="s">
        <v>21</v>
      </c>
      <c r="D2053" s="0" t="s">
        <v>303</v>
      </c>
      <c r="E2053" s="10" t="n">
        <v>45807.5166666667</v>
      </c>
      <c r="F2053" s="10"/>
      <c r="G2053" s="0" t="n">
        <v>487.45</v>
      </c>
      <c r="H2053" s="0" t="n">
        <v>485.65</v>
      </c>
      <c r="I2053" s="11" t="n">
        <f aca="false">H2053-G2053</f>
        <v>-1.80000000000001</v>
      </c>
      <c r="J2053" s="5" t="n">
        <f aca="false">IF(G2053=0,"",I2053/G2053)</f>
        <v>-0.0036926864293774</v>
      </c>
      <c r="K2053" s="0" t="n">
        <v>125.5</v>
      </c>
      <c r="M2053" s="11" t="s">
        <v>2769</v>
      </c>
      <c r="N2053" s="12" t="n">
        <f aca="false">INT(E2053)</f>
        <v>45807</v>
      </c>
      <c r="O2053" s="12" t="str">
        <f aca="false">IF(F2053="","",INT(F2053))</f>
        <v/>
      </c>
    </row>
    <row r="2054" customFormat="false" ht="15" hidden="false" customHeight="false" outlineLevel="0" collapsed="false">
      <c r="A2054" s="0" t="s">
        <v>4150</v>
      </c>
      <c r="B2054" s="0" t="s">
        <v>4151</v>
      </c>
      <c r="C2054" s="0" t="s">
        <v>21</v>
      </c>
      <c r="D2054" s="0" t="s">
        <v>303</v>
      </c>
      <c r="E2054" s="10" t="n">
        <v>45807.51875</v>
      </c>
      <c r="F2054" s="10"/>
      <c r="G2054" s="0" t="n">
        <v>130.55</v>
      </c>
      <c r="H2054" s="0" t="n">
        <v>131.59</v>
      </c>
      <c r="I2054" s="11" t="n">
        <f aca="false">H2054-G2054</f>
        <v>1.03999999999999</v>
      </c>
      <c r="J2054" s="5" t="n">
        <f aca="false">IF(G2054=0,"",I2054/G2054)</f>
        <v>0.00796629643814624</v>
      </c>
      <c r="K2054" s="0" t="n">
        <v>17.2</v>
      </c>
      <c r="M2054" s="11" t="s">
        <v>2769</v>
      </c>
      <c r="N2054" s="12" t="n">
        <f aca="false">INT(E2054)</f>
        <v>45807</v>
      </c>
      <c r="O2054" s="12" t="str">
        <f aca="false">IF(F2054="","",INT(F2054))</f>
        <v/>
      </c>
    </row>
    <row r="2055" customFormat="false" ht="15" hidden="false" customHeight="false" outlineLevel="0" collapsed="false">
      <c r="A2055" s="0" t="s">
        <v>4152</v>
      </c>
      <c r="B2055" s="0" t="s">
        <v>4153</v>
      </c>
      <c r="C2055" s="0" t="s">
        <v>23</v>
      </c>
      <c r="D2055" s="0" t="s">
        <v>303</v>
      </c>
      <c r="E2055" s="10" t="n">
        <v>45807.5208333333</v>
      </c>
      <c r="F2055" s="10"/>
      <c r="G2055" s="0" t="n">
        <v>859.21</v>
      </c>
      <c r="H2055" s="0" t="n">
        <v>837.89</v>
      </c>
      <c r="I2055" s="11" t="n">
        <f aca="false">H2055-G2055</f>
        <v>-21.3200000000001</v>
      </c>
      <c r="J2055" s="5" t="n">
        <f aca="false">IF(G2055=0,"",I2055/G2055)</f>
        <v>-0.0248134914630882</v>
      </c>
      <c r="K2055" s="0" t="n">
        <v>188</v>
      </c>
      <c r="M2055" s="11" t="s">
        <v>2769</v>
      </c>
      <c r="N2055" s="12" t="n">
        <f aca="false">INT(E2055)</f>
        <v>45807</v>
      </c>
      <c r="O2055" s="12" t="str">
        <f aca="false">IF(F2055="","",INT(F2055))</f>
        <v/>
      </c>
    </row>
    <row r="2056" customFormat="false" ht="15" hidden="false" customHeight="false" outlineLevel="0" collapsed="false">
      <c r="A2056" s="0" t="s">
        <v>4154</v>
      </c>
      <c r="B2056" s="0" t="s">
        <v>4155</v>
      </c>
      <c r="C2056" s="0" t="s">
        <v>22</v>
      </c>
      <c r="D2056" s="0" t="s">
        <v>303</v>
      </c>
      <c r="E2056" s="10" t="n">
        <v>45807.5229166667</v>
      </c>
      <c r="F2056" s="10"/>
      <c r="G2056" s="0" t="n">
        <v>200.12</v>
      </c>
      <c r="H2056" s="0" t="n">
        <v>204.55</v>
      </c>
      <c r="I2056" s="11" t="n">
        <f aca="false">H2056-G2056</f>
        <v>4.43000000000001</v>
      </c>
      <c r="J2056" s="5" t="n">
        <f aca="false">IF(G2056=0,"",I2056/G2056)</f>
        <v>0.0221367179692185</v>
      </c>
      <c r="K2056" s="0" t="n">
        <v>36.9</v>
      </c>
      <c r="M2056" s="11" t="s">
        <v>2769</v>
      </c>
      <c r="N2056" s="12" t="n">
        <f aca="false">INT(E2056)</f>
        <v>45807</v>
      </c>
      <c r="O2056" s="12" t="str">
        <f aca="false">IF(F2056="","",INT(F2056))</f>
        <v/>
      </c>
    </row>
    <row r="2057" customFormat="false" ht="15" hidden="false" customHeight="false" outlineLevel="0" collapsed="false">
      <c r="A2057" s="0" t="s">
        <v>4156</v>
      </c>
      <c r="B2057" s="0" t="s">
        <v>4157</v>
      </c>
      <c r="C2057" s="0" t="s">
        <v>20</v>
      </c>
      <c r="D2057" s="0" t="s">
        <v>303</v>
      </c>
      <c r="E2057" s="10" t="n">
        <v>45807.5631944445</v>
      </c>
      <c r="F2057" s="10"/>
      <c r="G2057" s="0" t="n">
        <v>512.02</v>
      </c>
      <c r="H2057" s="0" t="n">
        <v>522.61</v>
      </c>
      <c r="I2057" s="11" t="n">
        <f aca="false">H2057-G2057</f>
        <v>10.59</v>
      </c>
      <c r="J2057" s="5" t="n">
        <f aca="false">IF(G2057=0,"",I2057/G2057)</f>
        <v>0.0206827858286786</v>
      </c>
      <c r="K2057" s="0" t="n">
        <v>80.4</v>
      </c>
      <c r="M2057" s="11" t="s">
        <v>2769</v>
      </c>
      <c r="N2057" s="12" t="n">
        <f aca="false">INT(E2057)</f>
        <v>45807</v>
      </c>
      <c r="O2057" s="12" t="str">
        <f aca="false">IF(F2057="","",INT(F2057))</f>
        <v/>
      </c>
    </row>
    <row r="2058" customFormat="false" ht="15" hidden="false" customHeight="false" outlineLevel="0" collapsed="false">
      <c r="A2058" s="0" t="s">
        <v>4158</v>
      </c>
      <c r="B2058" s="0" t="s">
        <v>4159</v>
      </c>
      <c r="C2058" s="0" t="s">
        <v>22</v>
      </c>
      <c r="D2058" s="0" t="s">
        <v>303</v>
      </c>
      <c r="E2058" s="10" t="n">
        <v>45807.5881944444</v>
      </c>
      <c r="F2058" s="10"/>
      <c r="G2058" s="0" t="n">
        <v>721.75</v>
      </c>
      <c r="H2058" s="0" t="n">
        <v>710.13</v>
      </c>
      <c r="I2058" s="11" t="n">
        <f aca="false">H2058-G2058</f>
        <v>-11.62</v>
      </c>
      <c r="J2058" s="5" t="n">
        <f aca="false">IF(G2058=0,"",I2058/G2058)</f>
        <v>-0.0160997575337721</v>
      </c>
      <c r="K2058" s="0" t="n">
        <v>100.8</v>
      </c>
      <c r="M2058" s="11" t="s">
        <v>2769</v>
      </c>
      <c r="N2058" s="12" t="n">
        <f aca="false">INT(E2058)</f>
        <v>45807</v>
      </c>
      <c r="O2058" s="12" t="str">
        <f aca="false">IF(F2058="","",INT(F2058))</f>
        <v/>
      </c>
    </row>
    <row r="2059" customFormat="false" ht="15" hidden="false" customHeight="false" outlineLevel="0" collapsed="false">
      <c r="A2059" s="0" t="s">
        <v>4160</v>
      </c>
      <c r="B2059" s="0" t="s">
        <v>4161</v>
      </c>
      <c r="C2059" s="0" t="s">
        <v>24</v>
      </c>
      <c r="D2059" s="0" t="s">
        <v>303</v>
      </c>
      <c r="E2059" s="10" t="n">
        <v>45807.5993055556</v>
      </c>
      <c r="F2059" s="10"/>
      <c r="G2059" s="0" t="n">
        <v>147.36</v>
      </c>
      <c r="H2059" s="0" t="n">
        <v>147.94</v>
      </c>
      <c r="I2059" s="11" t="n">
        <f aca="false">H2059-G2059</f>
        <v>0.579999999999984</v>
      </c>
      <c r="J2059" s="5" t="n">
        <f aca="false">IF(G2059=0,"",I2059/G2059)</f>
        <v>0.00393593919652541</v>
      </c>
      <c r="K2059" s="0" t="n">
        <v>27.7</v>
      </c>
      <c r="M2059" s="11" t="s">
        <v>2769</v>
      </c>
      <c r="N2059" s="12" t="n">
        <f aca="false">INT(E2059)</f>
        <v>45807</v>
      </c>
      <c r="O2059" s="12" t="str">
        <f aca="false">IF(F2059="","",INT(F2059))</f>
        <v/>
      </c>
    </row>
    <row r="2060" customFormat="false" ht="15" hidden="false" customHeight="false" outlineLevel="0" collapsed="false">
      <c r="A2060" s="0" t="s">
        <v>4162</v>
      </c>
      <c r="B2060" s="0" t="s">
        <v>4163</v>
      </c>
      <c r="C2060" s="0" t="s">
        <v>20</v>
      </c>
      <c r="D2060" s="0" t="s">
        <v>303</v>
      </c>
      <c r="E2060" s="10" t="n">
        <v>45807.6111111111</v>
      </c>
      <c r="F2060" s="10"/>
      <c r="G2060" s="0" t="n">
        <v>284.52</v>
      </c>
      <c r="H2060" s="0" t="n">
        <v>285.38</v>
      </c>
      <c r="I2060" s="11" t="n">
        <f aca="false">H2060-G2060</f>
        <v>0.860000000000014</v>
      </c>
      <c r="J2060" s="5" t="n">
        <f aca="false">IF(G2060=0,"",I2060/G2060)</f>
        <v>0.00302263461268106</v>
      </c>
      <c r="K2060" s="0" t="n">
        <v>58.9</v>
      </c>
      <c r="M2060" s="11" t="s">
        <v>2769</v>
      </c>
      <c r="N2060" s="12" t="n">
        <f aca="false">INT(E2060)</f>
        <v>45807</v>
      </c>
      <c r="O2060" s="12" t="str">
        <f aca="false">IF(F2060="","",INT(F2060))</f>
        <v/>
      </c>
    </row>
    <row r="2061" customFormat="false" ht="15" hidden="false" customHeight="false" outlineLevel="0" collapsed="false">
      <c r="A2061" s="0" t="s">
        <v>4164</v>
      </c>
      <c r="B2061" s="0" t="s">
        <v>4165</v>
      </c>
      <c r="C2061" s="0" t="s">
        <v>21</v>
      </c>
      <c r="D2061" s="0" t="s">
        <v>303</v>
      </c>
      <c r="E2061" s="10" t="n">
        <v>45807.6222222222</v>
      </c>
      <c r="F2061" s="10"/>
      <c r="G2061" s="0" t="n">
        <v>246.78</v>
      </c>
      <c r="H2061" s="0" t="n">
        <v>256.62</v>
      </c>
      <c r="I2061" s="11" t="n">
        <f aca="false">H2061-G2061</f>
        <v>9.84</v>
      </c>
      <c r="J2061" s="5" t="n">
        <f aca="false">IF(G2061=0,"",I2061/G2061)</f>
        <v>0.0398735716022368</v>
      </c>
      <c r="K2061" s="0" t="n">
        <v>51.8</v>
      </c>
      <c r="M2061" s="11" t="s">
        <v>2769</v>
      </c>
      <c r="N2061" s="12" t="n">
        <f aca="false">INT(E2061)</f>
        <v>45807</v>
      </c>
      <c r="O2061" s="12" t="str">
        <f aca="false">IF(F2061="","",INT(F2061))</f>
        <v/>
      </c>
    </row>
    <row r="2062" customFormat="false" ht="15" hidden="false" customHeight="false" outlineLevel="0" collapsed="false">
      <c r="A2062" s="0" t="s">
        <v>4166</v>
      </c>
      <c r="B2062" s="0" t="s">
        <v>4167</v>
      </c>
      <c r="C2062" s="0" t="s">
        <v>20</v>
      </c>
      <c r="D2062" s="0" t="s">
        <v>303</v>
      </c>
      <c r="E2062" s="10" t="n">
        <v>45807.6527777778</v>
      </c>
      <c r="F2062" s="10"/>
      <c r="G2062" s="0" t="n">
        <v>974.69</v>
      </c>
      <c r="H2062" s="0" t="n">
        <v>958.72</v>
      </c>
      <c r="I2062" s="11" t="n">
        <f aca="false">H2062-G2062</f>
        <v>-15.97</v>
      </c>
      <c r="J2062" s="5" t="n">
        <f aca="false">IF(G2062=0,"",I2062/G2062)</f>
        <v>-0.0163846966727883</v>
      </c>
      <c r="K2062" s="0" t="n">
        <v>180.2</v>
      </c>
      <c r="M2062" s="11" t="s">
        <v>2769</v>
      </c>
      <c r="N2062" s="12" t="n">
        <f aca="false">INT(E2062)</f>
        <v>45807</v>
      </c>
      <c r="O2062" s="12" t="str">
        <f aca="false">IF(F2062="","",INT(F2062))</f>
        <v/>
      </c>
    </row>
    <row r="2063" customFormat="false" ht="15" hidden="false" customHeight="false" outlineLevel="0" collapsed="false">
      <c r="A2063" s="0" t="s">
        <v>4168</v>
      </c>
      <c r="B2063" s="0" t="s">
        <v>4169</v>
      </c>
      <c r="C2063" s="0" t="s">
        <v>19</v>
      </c>
      <c r="D2063" s="0" t="s">
        <v>303</v>
      </c>
      <c r="E2063" s="10" t="n">
        <v>45807.6659722222</v>
      </c>
      <c r="F2063" s="10"/>
      <c r="G2063" s="0" t="n">
        <v>830.22</v>
      </c>
      <c r="H2063" s="0" t="n">
        <v>839.94</v>
      </c>
      <c r="I2063" s="11" t="n">
        <f aca="false">H2063-G2063</f>
        <v>9.72000000000003</v>
      </c>
      <c r="J2063" s="5" t="n">
        <f aca="false">IF(G2063=0,"",I2063/G2063)</f>
        <v>0.0117077401170774</v>
      </c>
      <c r="K2063" s="0" t="n">
        <v>159.7</v>
      </c>
      <c r="M2063" s="11" t="s">
        <v>2769</v>
      </c>
      <c r="N2063" s="12" t="n">
        <f aca="false">INT(E2063)</f>
        <v>45807</v>
      </c>
      <c r="O2063" s="12" t="str">
        <f aca="false">IF(F2063="","",INT(F2063))</f>
        <v/>
      </c>
    </row>
    <row r="2064" customFormat="false" ht="15" hidden="false" customHeight="false" outlineLevel="0" collapsed="false">
      <c r="A2064" s="0" t="s">
        <v>4170</v>
      </c>
      <c r="B2064" s="0" t="s">
        <v>4171</v>
      </c>
      <c r="C2064" s="0" t="s">
        <v>20</v>
      </c>
      <c r="D2064" s="0" t="s">
        <v>303</v>
      </c>
      <c r="E2064" s="10" t="n">
        <v>45807.6847222222</v>
      </c>
      <c r="F2064" s="10"/>
      <c r="G2064" s="0" t="n">
        <v>279.63</v>
      </c>
      <c r="H2064" s="0" t="n">
        <v>273.68</v>
      </c>
      <c r="I2064" s="11" t="n">
        <f aca="false">H2064-G2064</f>
        <v>-5.94999999999999</v>
      </c>
      <c r="J2064" s="5" t="n">
        <f aca="false">IF(G2064=0,"",I2064/G2064)</f>
        <v>-0.0212781175124271</v>
      </c>
      <c r="K2064" s="0" t="n">
        <v>43.1</v>
      </c>
      <c r="M2064" s="11" t="s">
        <v>2769</v>
      </c>
      <c r="N2064" s="12" t="n">
        <f aca="false">INT(E2064)</f>
        <v>45807</v>
      </c>
      <c r="O2064" s="12" t="str">
        <f aca="false">IF(F2064="","",INT(F2064))</f>
        <v/>
      </c>
    </row>
    <row r="2065" customFormat="false" ht="15" hidden="false" customHeight="false" outlineLevel="0" collapsed="false">
      <c r="A2065" s="0" t="s">
        <v>4172</v>
      </c>
      <c r="B2065" s="0" t="s">
        <v>4173</v>
      </c>
      <c r="C2065" s="0" t="s">
        <v>21</v>
      </c>
      <c r="D2065" s="0" t="s">
        <v>303</v>
      </c>
      <c r="E2065" s="10" t="n">
        <v>45807.6958333333</v>
      </c>
      <c r="F2065" s="10"/>
      <c r="G2065" s="0" t="n">
        <v>1131.27</v>
      </c>
      <c r="H2065" s="0" t="n">
        <v>1145.79</v>
      </c>
      <c r="I2065" s="11" t="n">
        <f aca="false">H2065-G2065</f>
        <v>14.52</v>
      </c>
      <c r="J2065" s="5" t="n">
        <f aca="false">IF(G2065=0,"",I2065/G2065)</f>
        <v>0.0128351321965578</v>
      </c>
      <c r="K2065" s="0" t="n">
        <v>197.8</v>
      </c>
      <c r="M2065" s="11" t="s">
        <v>2769</v>
      </c>
      <c r="N2065" s="12" t="n">
        <f aca="false">INT(E2065)</f>
        <v>45807</v>
      </c>
      <c r="O2065" s="12" t="str">
        <f aca="false">IF(F2065="","",INT(F2065))</f>
        <v/>
      </c>
    </row>
    <row r="2066" customFormat="false" ht="15" hidden="false" customHeight="false" outlineLevel="0" collapsed="false">
      <c r="A2066" s="0" t="s">
        <v>4174</v>
      </c>
      <c r="B2066" s="0" t="s">
        <v>4175</v>
      </c>
      <c r="C2066" s="0" t="s">
        <v>21</v>
      </c>
      <c r="D2066" s="0" t="s">
        <v>303</v>
      </c>
      <c r="E2066" s="10" t="n">
        <v>45807.7104166667</v>
      </c>
      <c r="F2066" s="10"/>
      <c r="G2066" s="0" t="n">
        <v>431.97</v>
      </c>
      <c r="H2066" s="0" t="n">
        <v>431.19</v>
      </c>
      <c r="I2066" s="11" t="n">
        <f aca="false">H2066-G2066</f>
        <v>-0.78000000000003</v>
      </c>
      <c r="J2066" s="5" t="n">
        <f aca="false">IF(G2066=0,"",I2066/G2066)</f>
        <v>-0.00180568095006605</v>
      </c>
      <c r="K2066" s="0" t="n">
        <v>107.7</v>
      </c>
      <c r="M2066" s="11" t="s">
        <v>2769</v>
      </c>
      <c r="N2066" s="12" t="n">
        <f aca="false">INT(E2066)</f>
        <v>45807</v>
      </c>
      <c r="O2066" s="12" t="str">
        <f aca="false">IF(F2066="","",INT(F2066))</f>
        <v/>
      </c>
    </row>
    <row r="2067" customFormat="false" ht="15" hidden="false" customHeight="false" outlineLevel="0" collapsed="false">
      <c r="A2067" s="0" t="s">
        <v>4176</v>
      </c>
      <c r="B2067" s="0" t="s">
        <v>4177</v>
      </c>
      <c r="C2067" s="0" t="s">
        <v>23</v>
      </c>
      <c r="D2067" s="0" t="s">
        <v>303</v>
      </c>
      <c r="E2067" s="10" t="n">
        <v>45807.7111111111</v>
      </c>
      <c r="F2067" s="10"/>
      <c r="G2067" s="0" t="n">
        <v>232.15</v>
      </c>
      <c r="H2067" s="0" t="n">
        <v>223.19</v>
      </c>
      <c r="I2067" s="11" t="n">
        <f aca="false">H2067-G2067</f>
        <v>-8.96000000000001</v>
      </c>
      <c r="J2067" s="5" t="n">
        <f aca="false">IF(G2067=0,"",I2067/G2067)</f>
        <v>-0.0385957355158303</v>
      </c>
      <c r="K2067" s="0" t="n">
        <v>91.9</v>
      </c>
      <c r="M2067" s="11" t="s">
        <v>2769</v>
      </c>
      <c r="N2067" s="12" t="n">
        <f aca="false">INT(E2067)</f>
        <v>45807</v>
      </c>
      <c r="O2067" s="12" t="str">
        <f aca="false">IF(F2067="","",INT(F2067))</f>
        <v/>
      </c>
    </row>
    <row r="2068" customFormat="false" ht="15" hidden="false" customHeight="false" outlineLevel="0" collapsed="false">
      <c r="A2068" s="0" t="s">
        <v>4178</v>
      </c>
      <c r="B2068" s="0" t="s">
        <v>4179</v>
      </c>
      <c r="C2068" s="0" t="s">
        <v>23</v>
      </c>
      <c r="D2068" s="0" t="s">
        <v>303</v>
      </c>
      <c r="E2068" s="10" t="n">
        <v>45807.7138888889</v>
      </c>
      <c r="F2068" s="10"/>
      <c r="G2068" s="0" t="n">
        <v>231.1</v>
      </c>
      <c r="H2068" s="0" t="n">
        <v>232.53</v>
      </c>
      <c r="I2068" s="11" t="n">
        <f aca="false">H2068-G2068</f>
        <v>1.43000000000001</v>
      </c>
      <c r="J2068" s="5" t="n">
        <f aca="false">IF(G2068=0,"",I2068/G2068)</f>
        <v>0.00618779749026399</v>
      </c>
      <c r="K2068" s="0" t="n">
        <v>103.2</v>
      </c>
      <c r="M2068" s="11" t="s">
        <v>2769</v>
      </c>
      <c r="N2068" s="12" t="n">
        <f aca="false">INT(E2068)</f>
        <v>45807</v>
      </c>
      <c r="O2068" s="12" t="str">
        <f aca="false">IF(F2068="","",INT(F2068))</f>
        <v/>
      </c>
    </row>
    <row r="2069" customFormat="false" ht="15" hidden="false" customHeight="false" outlineLevel="0" collapsed="false">
      <c r="A2069" s="0" t="s">
        <v>4180</v>
      </c>
      <c r="B2069" s="0" t="s">
        <v>4181</v>
      </c>
      <c r="C2069" s="0" t="s">
        <v>24</v>
      </c>
      <c r="D2069" s="0" t="s">
        <v>303</v>
      </c>
      <c r="E2069" s="10" t="n">
        <v>45807.7277777778</v>
      </c>
      <c r="F2069" s="10"/>
      <c r="G2069" s="0" t="n">
        <v>959.85</v>
      </c>
      <c r="H2069" s="0" t="n">
        <v>926.23</v>
      </c>
      <c r="I2069" s="11" t="n">
        <f aca="false">H2069-G2069</f>
        <v>-33.62</v>
      </c>
      <c r="J2069" s="5" t="n">
        <f aca="false">IF(G2069=0,"",I2069/G2069)</f>
        <v>-0.0350263061936761</v>
      </c>
      <c r="K2069" s="0" t="n">
        <v>228.4</v>
      </c>
      <c r="M2069" s="11" t="s">
        <v>2769</v>
      </c>
      <c r="N2069" s="12" t="n">
        <f aca="false">INT(E2069)</f>
        <v>45807</v>
      </c>
      <c r="O2069" s="12" t="str">
        <f aca="false">IF(F2069="","",INT(F2069))</f>
        <v/>
      </c>
    </row>
    <row r="2070" customFormat="false" ht="15" hidden="false" customHeight="false" outlineLevel="0" collapsed="false">
      <c r="A2070" s="0" t="s">
        <v>4182</v>
      </c>
      <c r="B2070" s="0" t="s">
        <v>4183</v>
      </c>
      <c r="C2070" s="0" t="s">
        <v>21</v>
      </c>
      <c r="D2070" s="0" t="s">
        <v>303</v>
      </c>
      <c r="E2070" s="10" t="n">
        <v>45807.7458333333</v>
      </c>
      <c r="F2070" s="10"/>
      <c r="G2070" s="0" t="n">
        <v>230.62</v>
      </c>
      <c r="H2070" s="0" t="n">
        <v>290.02</v>
      </c>
      <c r="I2070" s="11" t="n">
        <f aca="false">H2070-G2070</f>
        <v>59.4</v>
      </c>
      <c r="J2070" s="5" t="n">
        <f aca="false">IF(G2070=0,"",I2070/G2070)</f>
        <v>0.257566559708612</v>
      </c>
      <c r="K2070" s="0" t="n">
        <v>45.9</v>
      </c>
      <c r="M2070" s="11" t="s">
        <v>2769</v>
      </c>
      <c r="N2070" s="12" t="n">
        <f aca="false">INT(E2070)</f>
        <v>45807</v>
      </c>
      <c r="O2070" s="12" t="str">
        <f aca="false">IF(F2070="","",INT(F2070))</f>
        <v/>
      </c>
    </row>
    <row r="2071" customFormat="false" ht="15" hidden="false" customHeight="false" outlineLevel="0" collapsed="false">
      <c r="A2071" s="0" t="s">
        <v>4184</v>
      </c>
      <c r="B2071" s="0" t="s">
        <v>4185</v>
      </c>
      <c r="C2071" s="0" t="s">
        <v>21</v>
      </c>
      <c r="D2071" s="0" t="s">
        <v>303</v>
      </c>
      <c r="E2071" s="10" t="n">
        <v>45807.7881944445</v>
      </c>
      <c r="F2071" s="10"/>
      <c r="G2071" s="0" t="n">
        <v>749.66</v>
      </c>
      <c r="H2071" s="0" t="n">
        <v>768.55</v>
      </c>
      <c r="I2071" s="11" t="n">
        <f aca="false">H2071-G2071</f>
        <v>18.89</v>
      </c>
      <c r="J2071" s="5" t="n">
        <f aca="false">IF(G2071=0,"",I2071/G2071)</f>
        <v>0.0251980898007096</v>
      </c>
      <c r="K2071" s="0" t="n">
        <v>95.7</v>
      </c>
      <c r="M2071" s="11" t="s">
        <v>2769</v>
      </c>
      <c r="N2071" s="12" t="n">
        <f aca="false">INT(E2071)</f>
        <v>45807</v>
      </c>
      <c r="O2071" s="12" t="str">
        <f aca="false">IF(F2071="","",INT(F2071))</f>
        <v/>
      </c>
    </row>
  </sheetData>
  <autoFilter ref="A1:O20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3" t="s">
        <v>27</v>
      </c>
      <c r="B1" s="3" t="s">
        <v>4186</v>
      </c>
      <c r="C1" s="3" t="s">
        <v>4187</v>
      </c>
      <c r="D1" s="3" t="s">
        <v>4188</v>
      </c>
      <c r="E1" s="3" t="s">
        <v>4189</v>
      </c>
      <c r="F1" s="3" t="s">
        <v>4190</v>
      </c>
    </row>
    <row r="2" customFormat="false" ht="15" hidden="false" customHeight="false" outlineLevel="0" collapsed="false">
      <c r="A2" s="0" t="s">
        <v>19</v>
      </c>
      <c r="B2" s="0" t="s">
        <v>43</v>
      </c>
      <c r="C2" s="0" t="n">
        <f aca="false">SUMIFS(Data_Tickets!$K$2:$K$2071,Data_Tickets!$C$2:$C$2071,A2,Data_Tickets!$M$2:$M$2071,B2)</f>
        <v>6742.1</v>
      </c>
      <c r="D2" s="0" t="n">
        <v>7300</v>
      </c>
      <c r="E2" s="0" t="n">
        <f aca="false">C2-D2</f>
        <v>-557.9</v>
      </c>
      <c r="F2" s="5" t="n">
        <f aca="false">E2/D2</f>
        <v>-0.0764246575342465</v>
      </c>
    </row>
    <row r="3" customFormat="false" ht="15" hidden="false" customHeight="false" outlineLevel="0" collapsed="false">
      <c r="A3" s="0" t="s">
        <v>19</v>
      </c>
      <c r="B3" s="0" t="s">
        <v>1332</v>
      </c>
      <c r="C3" s="0" t="n">
        <f aca="false">SUMIFS(Data_Tickets!$K$2:$K$2071,Data_Tickets!$C$2:$C$2071,A3,Data_Tickets!$M$2:$M$2071,B3)</f>
        <v>9001.5</v>
      </c>
      <c r="D3" s="0" t="n">
        <v>9800</v>
      </c>
      <c r="E3" s="0" t="n">
        <f aca="false">C3-D3</f>
        <v>-798.5</v>
      </c>
      <c r="F3" s="5" t="n">
        <f aca="false">E3/D3</f>
        <v>-0.0814795918367347</v>
      </c>
    </row>
    <row r="4" customFormat="false" ht="15" hidden="false" customHeight="false" outlineLevel="0" collapsed="false">
      <c r="A4" s="0" t="s">
        <v>19</v>
      </c>
      <c r="B4" s="0" t="s">
        <v>2769</v>
      </c>
      <c r="C4" s="0" t="n">
        <f aca="false">SUMIFS(Data_Tickets!$K$2:$K$2071,Data_Tickets!$C$2:$C$2071,A4,Data_Tickets!$M$2:$M$2071,B4)</f>
        <v>6108.4</v>
      </c>
      <c r="D4" s="0" t="n">
        <v>5800</v>
      </c>
      <c r="E4" s="0" t="n">
        <f aca="false">C4-D4</f>
        <v>308.4</v>
      </c>
      <c r="F4" s="5" t="n">
        <f aca="false">E4/D4</f>
        <v>0.0531724137931034</v>
      </c>
    </row>
    <row r="5" customFormat="false" ht="15" hidden="false" customHeight="false" outlineLevel="0" collapsed="false">
      <c r="A5" s="0" t="s">
        <v>20</v>
      </c>
      <c r="B5" s="0" t="s">
        <v>43</v>
      </c>
      <c r="C5" s="0" t="n">
        <f aca="false">SUMIFS(Data_Tickets!$K$2:$K$2071,Data_Tickets!$C$2:$C$2071,A5,Data_Tickets!$M$2:$M$2071,B5)</f>
        <v>7328.4</v>
      </c>
      <c r="D5" s="0" t="n">
        <v>7000</v>
      </c>
      <c r="E5" s="0" t="n">
        <f aca="false">C5-D5</f>
        <v>328.4</v>
      </c>
      <c r="F5" s="5" t="n">
        <f aca="false">E5/D5</f>
        <v>0.0469142857142857</v>
      </c>
    </row>
    <row r="6" customFormat="false" ht="15" hidden="false" customHeight="false" outlineLevel="0" collapsed="false">
      <c r="A6" s="0" t="s">
        <v>20</v>
      </c>
      <c r="B6" s="0" t="s">
        <v>1332</v>
      </c>
      <c r="C6" s="0" t="n">
        <f aca="false">SUMIFS(Data_Tickets!$K$2:$K$2071,Data_Tickets!$C$2:$C$2071,A6,Data_Tickets!$M$2:$M$2071,B6)</f>
        <v>9987.4</v>
      </c>
      <c r="D6" s="0" t="n">
        <v>10100</v>
      </c>
      <c r="E6" s="0" t="n">
        <f aca="false">C6-D6</f>
        <v>-112.6</v>
      </c>
      <c r="F6" s="5" t="n">
        <f aca="false">E6/D6</f>
        <v>-0.0111485148514852</v>
      </c>
    </row>
    <row r="7" customFormat="false" ht="15" hidden="false" customHeight="false" outlineLevel="0" collapsed="false">
      <c r="A7" s="0" t="s">
        <v>20</v>
      </c>
      <c r="B7" s="0" t="s">
        <v>2769</v>
      </c>
      <c r="C7" s="0" t="n">
        <f aca="false">SUMIFS(Data_Tickets!$K$2:$K$2071,Data_Tickets!$C$2:$C$2071,A7,Data_Tickets!$M$2:$M$2071,B7)</f>
        <v>12982.7</v>
      </c>
      <c r="D7" s="0" t="n">
        <v>13800</v>
      </c>
      <c r="E7" s="0" t="n">
        <f aca="false">C7-D7</f>
        <v>-817.299999999999</v>
      </c>
      <c r="F7" s="5" t="n">
        <f aca="false">E7/D7</f>
        <v>-0.0592246376811594</v>
      </c>
    </row>
    <row r="8" customFormat="false" ht="15" hidden="false" customHeight="false" outlineLevel="0" collapsed="false">
      <c r="A8" s="0" t="s">
        <v>21</v>
      </c>
      <c r="B8" s="0" t="s">
        <v>43</v>
      </c>
      <c r="C8" s="0" t="n">
        <f aca="false">SUMIFS(Data_Tickets!$K$2:$K$2071,Data_Tickets!$C$2:$C$2071,A8,Data_Tickets!$M$2:$M$2071,B8)</f>
        <v>16364.5</v>
      </c>
      <c r="D8" s="0" t="n">
        <v>17300</v>
      </c>
      <c r="E8" s="0" t="n">
        <f aca="false">C8-D8</f>
        <v>-935.5</v>
      </c>
      <c r="F8" s="5" t="n">
        <f aca="false">E8/D8</f>
        <v>-0.0540751445086705</v>
      </c>
    </row>
    <row r="9" customFormat="false" ht="15" hidden="false" customHeight="false" outlineLevel="0" collapsed="false">
      <c r="A9" s="0" t="s">
        <v>21</v>
      </c>
      <c r="B9" s="0" t="s">
        <v>1332</v>
      </c>
      <c r="C9" s="0" t="n">
        <f aca="false">SUMIFS(Data_Tickets!$K$2:$K$2071,Data_Tickets!$C$2:$C$2071,A9,Data_Tickets!$M$2:$M$2071,B9)</f>
        <v>15829.1</v>
      </c>
      <c r="D9" s="0" t="n">
        <v>17500</v>
      </c>
      <c r="E9" s="0" t="n">
        <f aca="false">C9-D9</f>
        <v>-1670.9</v>
      </c>
      <c r="F9" s="5" t="n">
        <f aca="false">E9/D9</f>
        <v>-0.09548</v>
      </c>
    </row>
    <row r="10" customFormat="false" ht="15" hidden="false" customHeight="false" outlineLevel="0" collapsed="false">
      <c r="A10" s="0" t="s">
        <v>21</v>
      </c>
      <c r="B10" s="0" t="s">
        <v>2769</v>
      </c>
      <c r="C10" s="0" t="n">
        <f aca="false">SUMIFS(Data_Tickets!$K$2:$K$2071,Data_Tickets!$C$2:$C$2071,A10,Data_Tickets!$M$2:$M$2071,B10)</f>
        <v>16846.5</v>
      </c>
      <c r="D10" s="0" t="n">
        <v>15400</v>
      </c>
      <c r="E10" s="0" t="n">
        <f aca="false">C10-D10</f>
        <v>1446.5</v>
      </c>
      <c r="F10" s="5" t="n">
        <f aca="false">E10/D10</f>
        <v>0.0939285714285714</v>
      </c>
    </row>
    <row r="11" customFormat="false" ht="15" hidden="false" customHeight="false" outlineLevel="0" collapsed="false">
      <c r="A11" s="0" t="s">
        <v>22</v>
      </c>
      <c r="B11" s="0" t="s">
        <v>43</v>
      </c>
      <c r="C11" s="0" t="n">
        <f aca="false">SUMIFS(Data_Tickets!$K$2:$K$2071,Data_Tickets!$C$2:$C$2071,A11,Data_Tickets!$M$2:$M$2071,B11)</f>
        <v>6008.1</v>
      </c>
      <c r="D11" s="0" t="n">
        <v>6100</v>
      </c>
      <c r="E11" s="0" t="n">
        <f aca="false">C11-D11</f>
        <v>-91.8999999999996</v>
      </c>
      <c r="F11" s="5" t="n">
        <f aca="false">E11/D11</f>
        <v>-0.0150655737704917</v>
      </c>
    </row>
    <row r="12" customFormat="false" ht="15" hidden="false" customHeight="false" outlineLevel="0" collapsed="false">
      <c r="A12" s="0" t="s">
        <v>22</v>
      </c>
      <c r="B12" s="0" t="s">
        <v>1332</v>
      </c>
      <c r="C12" s="0" t="n">
        <f aca="false">SUMIFS(Data_Tickets!$K$2:$K$2071,Data_Tickets!$C$2:$C$2071,A12,Data_Tickets!$M$2:$M$2071,B12)</f>
        <v>7343.7</v>
      </c>
      <c r="D12" s="0" t="n">
        <v>7200</v>
      </c>
      <c r="E12" s="0" t="n">
        <f aca="false">C12-D12</f>
        <v>143.7</v>
      </c>
      <c r="F12" s="5" t="n">
        <f aca="false">E12/D12</f>
        <v>0.0199583333333333</v>
      </c>
    </row>
    <row r="13" customFormat="false" ht="15" hidden="false" customHeight="false" outlineLevel="0" collapsed="false">
      <c r="A13" s="0" t="s">
        <v>22</v>
      </c>
      <c r="B13" s="0" t="s">
        <v>2769</v>
      </c>
      <c r="C13" s="0" t="n">
        <f aca="false">SUMIFS(Data_Tickets!$K$2:$K$2071,Data_Tickets!$C$2:$C$2071,A13,Data_Tickets!$M$2:$M$2071,B13)</f>
        <v>5866.4</v>
      </c>
      <c r="D13" s="0" t="n">
        <v>6100</v>
      </c>
      <c r="E13" s="0" t="n">
        <f aca="false">C13-D13</f>
        <v>-233.6</v>
      </c>
      <c r="F13" s="5" t="n">
        <f aca="false">E13/D13</f>
        <v>-0.0382950819672132</v>
      </c>
    </row>
    <row r="14" customFormat="false" ht="15" hidden="false" customHeight="false" outlineLevel="0" collapsed="false">
      <c r="A14" s="0" t="s">
        <v>23</v>
      </c>
      <c r="B14" s="0" t="s">
        <v>43</v>
      </c>
      <c r="C14" s="0" t="n">
        <f aca="false">SUMIFS(Data_Tickets!$K$2:$K$2071,Data_Tickets!$C$2:$C$2071,A14,Data_Tickets!$M$2:$M$2071,B14)</f>
        <v>29657.5</v>
      </c>
      <c r="D14" s="0" t="n">
        <v>27000</v>
      </c>
      <c r="E14" s="0" t="n">
        <f aca="false">C14-D14</f>
        <v>2657.5</v>
      </c>
      <c r="F14" s="5" t="n">
        <f aca="false">E14/D14</f>
        <v>0.0984259259259259</v>
      </c>
    </row>
    <row r="15" customFormat="false" ht="15" hidden="false" customHeight="false" outlineLevel="0" collapsed="false">
      <c r="A15" s="0" t="s">
        <v>23</v>
      </c>
      <c r="B15" s="0" t="s">
        <v>1332</v>
      </c>
      <c r="C15" s="0" t="n">
        <f aca="false">SUMIFS(Data_Tickets!$K$2:$K$2071,Data_Tickets!$C$2:$C$2071,A15,Data_Tickets!$M$2:$M$2071,B15)</f>
        <v>36663.6</v>
      </c>
      <c r="D15" s="0" t="n">
        <v>35700</v>
      </c>
      <c r="E15" s="0" t="n">
        <f aca="false">C15-D15</f>
        <v>963.599999999999</v>
      </c>
      <c r="F15" s="5" t="n">
        <f aca="false">E15/D15</f>
        <v>0.0269915966386554</v>
      </c>
    </row>
    <row r="16" customFormat="false" ht="15" hidden="false" customHeight="false" outlineLevel="0" collapsed="false">
      <c r="A16" s="0" t="s">
        <v>23</v>
      </c>
      <c r="B16" s="0" t="s">
        <v>2769</v>
      </c>
      <c r="C16" s="0" t="n">
        <f aca="false">SUMIFS(Data_Tickets!$K$2:$K$2071,Data_Tickets!$C$2:$C$2071,A16,Data_Tickets!$M$2:$M$2071,B16)</f>
        <v>34199.1</v>
      </c>
      <c r="D16" s="0" t="n">
        <v>31400</v>
      </c>
      <c r="E16" s="0" t="n">
        <f aca="false">C16-D16</f>
        <v>2799.1</v>
      </c>
      <c r="F16" s="5" t="n">
        <f aca="false">E16/D16</f>
        <v>0.0891433121019108</v>
      </c>
    </row>
    <row r="17" customFormat="false" ht="15" hidden="false" customHeight="false" outlineLevel="0" collapsed="false">
      <c r="A17" s="0" t="s">
        <v>24</v>
      </c>
      <c r="B17" s="0" t="s">
        <v>43</v>
      </c>
      <c r="C17" s="0" t="n">
        <f aca="false">SUMIFS(Data_Tickets!$K$2:$K$2071,Data_Tickets!$C$2:$C$2071,A17,Data_Tickets!$M$2:$M$2071,B17)</f>
        <v>10728.8</v>
      </c>
      <c r="D17" s="0" t="n">
        <v>11900</v>
      </c>
      <c r="E17" s="0" t="n">
        <f aca="false">C17-D17</f>
        <v>-1171.2</v>
      </c>
      <c r="F17" s="5" t="n">
        <f aca="false">E17/D17</f>
        <v>-0.098420168067227</v>
      </c>
    </row>
    <row r="18" customFormat="false" ht="15" hidden="false" customHeight="false" outlineLevel="0" collapsed="false">
      <c r="A18" s="0" t="s">
        <v>24</v>
      </c>
      <c r="B18" s="0" t="s">
        <v>1332</v>
      </c>
      <c r="C18" s="0" t="n">
        <f aca="false">SUMIFS(Data_Tickets!$K$2:$K$2071,Data_Tickets!$C$2:$C$2071,A18,Data_Tickets!$M$2:$M$2071,B18)</f>
        <v>7636.8</v>
      </c>
      <c r="D18" s="0" t="n">
        <v>7900</v>
      </c>
      <c r="E18" s="0" t="n">
        <f aca="false">C18-D18</f>
        <v>-263.2</v>
      </c>
      <c r="F18" s="5" t="n">
        <f aca="false">E18/D18</f>
        <v>-0.0333164556962025</v>
      </c>
    </row>
    <row r="19" customFormat="false" ht="15" hidden="false" customHeight="false" outlineLevel="0" collapsed="false">
      <c r="A19" s="0" t="s">
        <v>24</v>
      </c>
      <c r="B19" s="0" t="s">
        <v>2769</v>
      </c>
      <c r="C19" s="0" t="n">
        <f aca="false">SUMIFS(Data_Tickets!$K$2:$K$2071,Data_Tickets!$C$2:$C$2071,A19,Data_Tickets!$M$2:$M$2071,B19)</f>
        <v>11656.9</v>
      </c>
      <c r="D19" s="0" t="n">
        <v>11800</v>
      </c>
      <c r="E19" s="0" t="n">
        <f aca="false">C19-D19</f>
        <v>-143.1</v>
      </c>
      <c r="F19" s="5" t="n">
        <f aca="false">E19/D19</f>
        <v>-0.0121271186440678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3" t="s">
        <v>27</v>
      </c>
      <c r="B1" s="3" t="s">
        <v>4186</v>
      </c>
      <c r="C1" s="3" t="s">
        <v>4191</v>
      </c>
      <c r="D1" s="3" t="s">
        <v>4192</v>
      </c>
      <c r="E1" s="3" t="s">
        <v>4193</v>
      </c>
      <c r="F1" s="3" t="s">
        <v>4194</v>
      </c>
    </row>
    <row r="2" customFormat="false" ht="15" hidden="false" customHeight="false" outlineLevel="0" collapsed="false">
      <c r="A2" s="0" t="s">
        <v>19</v>
      </c>
      <c r="B2" s="0" t="s">
        <v>43</v>
      </c>
      <c r="C2" s="0" t="n">
        <v>6</v>
      </c>
      <c r="D2" s="0" t="n">
        <v>960</v>
      </c>
      <c r="E2" s="0" t="n">
        <v>926</v>
      </c>
      <c r="F2" s="5" t="n">
        <f aca="false">E2/D2</f>
        <v>0.964583333333333</v>
      </c>
    </row>
    <row r="3" customFormat="false" ht="15" hidden="false" customHeight="false" outlineLevel="0" collapsed="false">
      <c r="A3" s="0" t="s">
        <v>19</v>
      </c>
      <c r="B3" s="0" t="s">
        <v>1332</v>
      </c>
      <c r="C3" s="0" t="n">
        <v>6</v>
      </c>
      <c r="D3" s="0" t="n">
        <v>1008</v>
      </c>
      <c r="E3" s="0" t="n">
        <v>794</v>
      </c>
      <c r="F3" s="5" t="n">
        <f aca="false">E3/D3</f>
        <v>0.787698412698413</v>
      </c>
    </row>
    <row r="4" customFormat="false" ht="15" hidden="false" customHeight="false" outlineLevel="0" collapsed="false">
      <c r="A4" s="0" t="s">
        <v>19</v>
      </c>
      <c r="B4" s="0" t="s">
        <v>2769</v>
      </c>
      <c r="C4" s="0" t="n">
        <v>6</v>
      </c>
      <c r="D4" s="0" t="n">
        <v>1056</v>
      </c>
      <c r="E4" s="0" t="n">
        <v>850</v>
      </c>
      <c r="F4" s="5" t="n">
        <f aca="false">E4/D4</f>
        <v>0.804924242424242</v>
      </c>
    </row>
    <row r="5" customFormat="false" ht="15" hidden="false" customHeight="false" outlineLevel="0" collapsed="false">
      <c r="A5" s="0" t="s">
        <v>20</v>
      </c>
      <c r="B5" s="0" t="s">
        <v>43</v>
      </c>
      <c r="C5" s="0" t="n">
        <v>8</v>
      </c>
      <c r="D5" s="0" t="n">
        <v>1280</v>
      </c>
      <c r="E5" s="0" t="n">
        <v>1065</v>
      </c>
      <c r="F5" s="5" t="n">
        <f aca="false">E5/D5</f>
        <v>0.83203125</v>
      </c>
    </row>
    <row r="6" customFormat="false" ht="15" hidden="false" customHeight="false" outlineLevel="0" collapsed="false">
      <c r="A6" s="0" t="s">
        <v>20</v>
      </c>
      <c r="B6" s="0" t="s">
        <v>1332</v>
      </c>
      <c r="C6" s="0" t="n">
        <v>8</v>
      </c>
      <c r="D6" s="0" t="n">
        <v>1344</v>
      </c>
      <c r="E6" s="0" t="n">
        <v>936</v>
      </c>
      <c r="F6" s="5" t="n">
        <f aca="false">E6/D6</f>
        <v>0.696428571428571</v>
      </c>
    </row>
    <row r="7" customFormat="false" ht="15" hidden="false" customHeight="false" outlineLevel="0" collapsed="false">
      <c r="A7" s="0" t="s">
        <v>20</v>
      </c>
      <c r="B7" s="0" t="s">
        <v>2769</v>
      </c>
      <c r="C7" s="0" t="n">
        <v>8</v>
      </c>
      <c r="D7" s="0" t="n">
        <v>1408</v>
      </c>
      <c r="E7" s="0" t="n">
        <v>967</v>
      </c>
      <c r="F7" s="5" t="n">
        <f aca="false">E7/D7</f>
        <v>0.686789772727273</v>
      </c>
    </row>
    <row r="8" customFormat="false" ht="15" hidden="false" customHeight="false" outlineLevel="0" collapsed="false">
      <c r="A8" s="0" t="s">
        <v>21</v>
      </c>
      <c r="B8" s="0" t="s">
        <v>43</v>
      </c>
      <c r="C8" s="0" t="n">
        <v>10</v>
      </c>
      <c r="D8" s="0" t="n">
        <v>1600</v>
      </c>
      <c r="E8" s="0" t="n">
        <v>1231</v>
      </c>
      <c r="F8" s="5" t="n">
        <f aca="false">E8/D8</f>
        <v>0.769375</v>
      </c>
    </row>
    <row r="9" customFormat="false" ht="15" hidden="false" customHeight="false" outlineLevel="0" collapsed="false">
      <c r="A9" s="0" t="s">
        <v>21</v>
      </c>
      <c r="B9" s="0" t="s">
        <v>1332</v>
      </c>
      <c r="C9" s="0" t="n">
        <v>10</v>
      </c>
      <c r="D9" s="0" t="n">
        <v>1680</v>
      </c>
      <c r="E9" s="0" t="n">
        <v>1429</v>
      </c>
      <c r="F9" s="5" t="n">
        <f aca="false">E9/D9</f>
        <v>0.850595238095238</v>
      </c>
    </row>
    <row r="10" customFormat="false" ht="15" hidden="false" customHeight="false" outlineLevel="0" collapsed="false">
      <c r="A10" s="0" t="s">
        <v>21</v>
      </c>
      <c r="B10" s="0" t="s">
        <v>2769</v>
      </c>
      <c r="C10" s="0" t="n">
        <v>10</v>
      </c>
      <c r="D10" s="0" t="n">
        <v>1760</v>
      </c>
      <c r="E10" s="0" t="n">
        <v>1494</v>
      </c>
      <c r="F10" s="5" t="n">
        <f aca="false">E10/D10</f>
        <v>0.848863636363636</v>
      </c>
    </row>
    <row r="11" customFormat="false" ht="15" hidden="false" customHeight="false" outlineLevel="0" collapsed="false">
      <c r="A11" s="0" t="s">
        <v>22</v>
      </c>
      <c r="B11" s="0" t="s">
        <v>43</v>
      </c>
      <c r="C11" s="0" t="n">
        <v>6</v>
      </c>
      <c r="D11" s="0" t="n">
        <v>960</v>
      </c>
      <c r="E11" s="0" t="n">
        <v>702</v>
      </c>
      <c r="F11" s="5" t="n">
        <f aca="false">E11/D11</f>
        <v>0.73125</v>
      </c>
    </row>
    <row r="12" customFormat="false" ht="15" hidden="false" customHeight="false" outlineLevel="0" collapsed="false">
      <c r="A12" s="0" t="s">
        <v>22</v>
      </c>
      <c r="B12" s="0" t="s">
        <v>1332</v>
      </c>
      <c r="C12" s="0" t="n">
        <v>6</v>
      </c>
      <c r="D12" s="0" t="n">
        <v>1008</v>
      </c>
      <c r="E12" s="0" t="n">
        <v>776</v>
      </c>
      <c r="F12" s="5" t="n">
        <f aca="false">E12/D12</f>
        <v>0.76984126984127</v>
      </c>
    </row>
    <row r="13" customFormat="false" ht="15" hidden="false" customHeight="false" outlineLevel="0" collapsed="false">
      <c r="A13" s="0" t="s">
        <v>22</v>
      </c>
      <c r="B13" s="0" t="s">
        <v>2769</v>
      </c>
      <c r="C13" s="0" t="n">
        <v>6</v>
      </c>
      <c r="D13" s="0" t="n">
        <v>1056</v>
      </c>
      <c r="E13" s="0" t="n">
        <v>954</v>
      </c>
      <c r="F13" s="5" t="n">
        <f aca="false">E13/D13</f>
        <v>0.903409090909091</v>
      </c>
    </row>
    <row r="14" customFormat="false" ht="15" hidden="false" customHeight="false" outlineLevel="0" collapsed="false">
      <c r="A14" s="0" t="s">
        <v>23</v>
      </c>
      <c r="B14" s="0" t="s">
        <v>43</v>
      </c>
      <c r="C14" s="0" t="n">
        <v>14</v>
      </c>
      <c r="D14" s="0" t="n">
        <v>2240</v>
      </c>
      <c r="E14" s="0" t="n">
        <v>1740</v>
      </c>
      <c r="F14" s="5" t="n">
        <f aca="false">E14/D14</f>
        <v>0.776785714285714</v>
      </c>
    </row>
    <row r="15" customFormat="false" ht="15" hidden="false" customHeight="false" outlineLevel="0" collapsed="false">
      <c r="A15" s="0" t="s">
        <v>23</v>
      </c>
      <c r="B15" s="0" t="s">
        <v>1332</v>
      </c>
      <c r="C15" s="0" t="n">
        <v>14</v>
      </c>
      <c r="D15" s="0" t="n">
        <v>2352</v>
      </c>
      <c r="E15" s="0" t="n">
        <v>1915</v>
      </c>
      <c r="F15" s="5" t="n">
        <f aca="false">E15/D15</f>
        <v>0.814200680272109</v>
      </c>
    </row>
    <row r="16" customFormat="false" ht="15" hidden="false" customHeight="false" outlineLevel="0" collapsed="false">
      <c r="A16" s="0" t="s">
        <v>23</v>
      </c>
      <c r="B16" s="0" t="s">
        <v>2769</v>
      </c>
      <c r="C16" s="0" t="n">
        <v>14</v>
      </c>
      <c r="D16" s="0" t="n">
        <v>2464</v>
      </c>
      <c r="E16" s="0" t="n">
        <v>1907</v>
      </c>
      <c r="F16" s="5" t="n">
        <f aca="false">E16/D16</f>
        <v>0.773944805194805</v>
      </c>
    </row>
    <row r="17" customFormat="false" ht="15" hidden="false" customHeight="false" outlineLevel="0" collapsed="false">
      <c r="A17" s="0" t="s">
        <v>24</v>
      </c>
      <c r="B17" s="0" t="s">
        <v>43</v>
      </c>
      <c r="C17" s="0" t="n">
        <v>9</v>
      </c>
      <c r="D17" s="0" t="n">
        <v>1440</v>
      </c>
      <c r="E17" s="0" t="n">
        <v>1330</v>
      </c>
      <c r="F17" s="5" t="n">
        <f aca="false">E17/D17</f>
        <v>0.923611111111111</v>
      </c>
    </row>
    <row r="18" customFormat="false" ht="15" hidden="false" customHeight="false" outlineLevel="0" collapsed="false">
      <c r="A18" s="0" t="s">
        <v>24</v>
      </c>
      <c r="B18" s="0" t="s">
        <v>1332</v>
      </c>
      <c r="C18" s="0" t="n">
        <v>9</v>
      </c>
      <c r="D18" s="0" t="n">
        <v>1512</v>
      </c>
      <c r="E18" s="0" t="n">
        <v>1166</v>
      </c>
      <c r="F18" s="5" t="n">
        <f aca="false">E18/D18</f>
        <v>0.771164021164021</v>
      </c>
    </row>
    <row r="19" customFormat="false" ht="15" hidden="false" customHeight="false" outlineLevel="0" collapsed="false">
      <c r="A19" s="0" t="s">
        <v>24</v>
      </c>
      <c r="B19" s="0" t="s">
        <v>2769</v>
      </c>
      <c r="C19" s="0" t="n">
        <v>9</v>
      </c>
      <c r="D19" s="0" t="n">
        <v>1584</v>
      </c>
      <c r="E19" s="0" t="n">
        <v>1350</v>
      </c>
      <c r="F19" s="5" t="n">
        <f aca="false">E19/D19</f>
        <v>0.852272727272727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3" t="s">
        <v>4195</v>
      </c>
      <c r="B1" s="3" t="s">
        <v>4196</v>
      </c>
      <c r="C1" s="3" t="s">
        <v>4197</v>
      </c>
      <c r="D1" s="3" t="s">
        <v>4198</v>
      </c>
    </row>
    <row r="2" customFormat="false" ht="15" hidden="false" customHeight="false" outlineLevel="0" collapsed="false">
      <c r="A2" s="12" t="n">
        <v>45719</v>
      </c>
      <c r="B2" s="11" t="n">
        <f aca="false">COUNTIFS(Data_Tickets!$N$2:$N$2071,"&gt;="&amp;A2,Data_Tickets!$N$2:$N$2071,"&lt;"&amp;A2+7)</f>
        <v>173</v>
      </c>
      <c r="C2" s="11" t="n">
        <f aca="false">COUNTIFS(Data_Tickets!$O$2:$O$2071,"&gt;="&amp;A2,Data_Tickets!$O$2:$O$2071,"&lt;"&amp;A2+7)</f>
        <v>156</v>
      </c>
      <c r="D2" s="13" t="n">
        <f aca="false">IF(B2=0,"",C2/B2)</f>
        <v>0.901734104046243</v>
      </c>
    </row>
    <row r="3" customFormat="false" ht="15" hidden="false" customHeight="false" outlineLevel="0" collapsed="false">
      <c r="A3" s="12" t="n">
        <v>45726</v>
      </c>
      <c r="B3" s="11" t="n">
        <f aca="false">COUNTIFS(Data_Tickets!$N$2:$N$2071,"&gt;="&amp;A3,Data_Tickets!$N$2:$N$2071,"&lt;"&amp;A3+7)</f>
        <v>158</v>
      </c>
      <c r="C3" s="11" t="n">
        <f aca="false">COUNTIFS(Data_Tickets!$O$2:$O$2071,"&gt;="&amp;A3,Data_Tickets!$O$2:$O$2071,"&lt;"&amp;A3+7)</f>
        <v>146</v>
      </c>
      <c r="D3" s="13" t="n">
        <f aca="false">IF(B3=0,"",C3/B3)</f>
        <v>0.924050632911392</v>
      </c>
    </row>
    <row r="4" customFormat="false" ht="15" hidden="false" customHeight="false" outlineLevel="0" collapsed="false">
      <c r="A4" s="12" t="n">
        <v>45733</v>
      </c>
      <c r="B4" s="11" t="n">
        <f aca="false">COUNTIFS(Data_Tickets!$N$2:$N$2071,"&gt;="&amp;A4,Data_Tickets!$N$2:$N$2071,"&lt;"&amp;A4+7)</f>
        <v>152</v>
      </c>
      <c r="C4" s="11" t="n">
        <f aca="false">COUNTIFS(Data_Tickets!$O$2:$O$2071,"&gt;="&amp;A4,Data_Tickets!$O$2:$O$2071,"&lt;"&amp;A4+7)</f>
        <v>143</v>
      </c>
      <c r="D4" s="13" t="n">
        <f aca="false">IF(B4=0,"",C4/B4)</f>
        <v>0.940789473684211</v>
      </c>
    </row>
    <row r="5" customFormat="false" ht="15" hidden="false" customHeight="false" outlineLevel="0" collapsed="false">
      <c r="A5" s="12" t="n">
        <v>45740</v>
      </c>
      <c r="B5" s="11" t="n">
        <f aca="false">COUNTIFS(Data_Tickets!$N$2:$N$2071,"&gt;="&amp;A5,Data_Tickets!$N$2:$N$2071,"&lt;"&amp;A5+7)</f>
        <v>128</v>
      </c>
      <c r="C5" s="11" t="n">
        <f aca="false">COUNTIFS(Data_Tickets!$O$2:$O$2071,"&gt;="&amp;A5,Data_Tickets!$O$2:$O$2071,"&lt;"&amp;A5+7)</f>
        <v>125</v>
      </c>
      <c r="D5" s="13" t="n">
        <f aca="false">IF(B5=0,"",C5/B5)</f>
        <v>0.9765625</v>
      </c>
    </row>
    <row r="6" customFormat="false" ht="15" hidden="false" customHeight="false" outlineLevel="0" collapsed="false">
      <c r="A6" s="12" t="n">
        <v>45747</v>
      </c>
      <c r="B6" s="11" t="n">
        <f aca="false">COUNTIFS(Data_Tickets!$N$2:$N$2071,"&gt;="&amp;A6,Data_Tickets!$N$2:$N$2071,"&lt;"&amp;A6+7)</f>
        <v>182</v>
      </c>
      <c r="C6" s="11" t="n">
        <f aca="false">COUNTIFS(Data_Tickets!$O$2:$O$2071,"&gt;="&amp;A6,Data_Tickets!$O$2:$O$2071,"&lt;"&amp;A6+7)</f>
        <v>167</v>
      </c>
      <c r="D6" s="13" t="n">
        <f aca="false">IF(B6=0,"",C6/B6)</f>
        <v>0.917582417582418</v>
      </c>
    </row>
    <row r="7" customFormat="false" ht="15" hidden="false" customHeight="false" outlineLevel="0" collapsed="false">
      <c r="A7" s="12" t="n">
        <v>45754</v>
      </c>
      <c r="B7" s="11" t="n">
        <f aca="false">COUNTIFS(Data_Tickets!$N$2:$N$2071,"&gt;="&amp;A7,Data_Tickets!$N$2:$N$2071,"&lt;"&amp;A7+7)</f>
        <v>164</v>
      </c>
      <c r="C7" s="11" t="n">
        <f aca="false">COUNTIFS(Data_Tickets!$O$2:$O$2071,"&gt;="&amp;A7,Data_Tickets!$O$2:$O$2071,"&lt;"&amp;A7+7)</f>
        <v>157</v>
      </c>
      <c r="D7" s="13" t="n">
        <f aca="false">IF(B7=0,"",C7/B7)</f>
        <v>0.957317073170732</v>
      </c>
    </row>
    <row r="8" customFormat="false" ht="15" hidden="false" customHeight="false" outlineLevel="0" collapsed="false">
      <c r="A8" s="12" t="n">
        <v>45761</v>
      </c>
      <c r="B8" s="11" t="n">
        <f aca="false">COUNTIFS(Data_Tickets!$N$2:$N$2071,"&gt;="&amp;A8,Data_Tickets!$N$2:$N$2071,"&lt;"&amp;A8+7)</f>
        <v>148</v>
      </c>
      <c r="C8" s="11" t="n">
        <f aca="false">COUNTIFS(Data_Tickets!$O$2:$O$2071,"&gt;="&amp;A8,Data_Tickets!$O$2:$O$2071,"&lt;"&amp;A8+7)</f>
        <v>138</v>
      </c>
      <c r="D8" s="13" t="n">
        <f aca="false">IF(B8=0,"",C8/B8)</f>
        <v>0.932432432432433</v>
      </c>
    </row>
    <row r="9" customFormat="false" ht="15" hidden="false" customHeight="false" outlineLevel="0" collapsed="false">
      <c r="A9" s="12" t="n">
        <v>45768</v>
      </c>
      <c r="B9" s="11" t="n">
        <f aca="false">COUNTIFS(Data_Tickets!$N$2:$N$2071,"&gt;="&amp;A9,Data_Tickets!$N$2:$N$2071,"&lt;"&amp;A9+7)</f>
        <v>151</v>
      </c>
      <c r="C9" s="11" t="n">
        <f aca="false">COUNTIFS(Data_Tickets!$O$2:$O$2071,"&gt;="&amp;A9,Data_Tickets!$O$2:$O$2071,"&lt;"&amp;A9+7)</f>
        <v>147</v>
      </c>
      <c r="D9" s="13" t="n">
        <f aca="false">IF(B9=0,"",C9/B9)</f>
        <v>0.973509933774834</v>
      </c>
    </row>
    <row r="10" customFormat="false" ht="15" hidden="false" customHeight="false" outlineLevel="0" collapsed="false">
      <c r="A10" s="12" t="n">
        <v>45775</v>
      </c>
      <c r="B10" s="11" t="n">
        <f aca="false">COUNTIFS(Data_Tickets!$N$2:$N$2071,"&gt;="&amp;A10,Data_Tickets!$N$2:$N$2071,"&lt;"&amp;A10+7)</f>
        <v>176</v>
      </c>
      <c r="C10" s="11" t="n">
        <f aca="false">COUNTIFS(Data_Tickets!$O$2:$O$2071,"&gt;="&amp;A10,Data_Tickets!$O$2:$O$2071,"&lt;"&amp;A10+7)</f>
        <v>154</v>
      </c>
      <c r="D10" s="13" t="n">
        <f aca="false">IF(B10=0,"",C10/B10)</f>
        <v>0.875</v>
      </c>
    </row>
    <row r="11" customFormat="false" ht="15" hidden="false" customHeight="false" outlineLevel="0" collapsed="false">
      <c r="A11" s="12" t="n">
        <v>45782</v>
      </c>
      <c r="B11" s="11" t="n">
        <f aca="false">COUNTIFS(Data_Tickets!$N$2:$N$2071,"&gt;="&amp;A11,Data_Tickets!$N$2:$N$2071,"&lt;"&amp;A11+7)</f>
        <v>168</v>
      </c>
      <c r="C11" s="11" t="n">
        <f aca="false">COUNTIFS(Data_Tickets!$O$2:$O$2071,"&gt;="&amp;A11,Data_Tickets!$O$2:$O$2071,"&lt;"&amp;A11+7)</f>
        <v>162</v>
      </c>
      <c r="D11" s="13" t="n">
        <f aca="false">IF(B11=0,"",C11/B11)</f>
        <v>0.964285714285714</v>
      </c>
    </row>
    <row r="12" customFormat="false" ht="15" hidden="false" customHeight="false" outlineLevel="0" collapsed="false">
      <c r="A12" s="12" t="n">
        <v>45789</v>
      </c>
      <c r="B12" s="11" t="n">
        <f aca="false">COUNTIFS(Data_Tickets!$N$2:$N$2071,"&gt;="&amp;A12,Data_Tickets!$N$2:$N$2071,"&lt;"&amp;A12+7)</f>
        <v>159</v>
      </c>
      <c r="C12" s="11" t="n">
        <f aca="false">COUNTIFS(Data_Tickets!$O$2:$O$2071,"&gt;="&amp;A12,Data_Tickets!$O$2:$O$2071,"&lt;"&amp;A12+7)</f>
        <v>149</v>
      </c>
      <c r="D12" s="13" t="n">
        <f aca="false">IF(B12=0,"",C12/B12)</f>
        <v>0.937106918238994</v>
      </c>
    </row>
    <row r="13" customFormat="false" ht="15" hidden="false" customHeight="false" outlineLevel="0" collapsed="false">
      <c r="A13" s="12" t="n">
        <v>45796</v>
      </c>
      <c r="B13" s="11" t="n">
        <f aca="false">COUNTIFS(Data_Tickets!$N$2:$N$2071,"&gt;="&amp;A13,Data_Tickets!$N$2:$N$2071,"&lt;"&amp;A13+7)</f>
        <v>165</v>
      </c>
      <c r="C13" s="11" t="n">
        <f aca="false">COUNTIFS(Data_Tickets!$O$2:$O$2071,"&gt;="&amp;A13,Data_Tickets!$O$2:$O$2071,"&lt;"&amp;A13+7)</f>
        <v>145</v>
      </c>
      <c r="D13" s="13" t="n">
        <f aca="false">IF(B13=0,"",C13/B13)</f>
        <v>0.878787878787879</v>
      </c>
    </row>
    <row r="14" customFormat="false" ht="15" hidden="false" customHeight="false" outlineLevel="0" collapsed="false">
      <c r="A14" s="12" t="n">
        <v>45803</v>
      </c>
      <c r="B14" s="11" t="n">
        <f aca="false">COUNTIFS(Data_Tickets!$N$2:$N$2071,"&gt;="&amp;A14,Data_Tickets!$N$2:$N$2071,"&lt;"&amp;A14+7)</f>
        <v>146</v>
      </c>
      <c r="C14" s="11" t="n">
        <f aca="false">COUNTIFS(Data_Tickets!$O$2:$O$2071,"&gt;="&amp;A14,Data_Tickets!$O$2:$O$2071,"&lt;"&amp;A14+7)</f>
        <v>58</v>
      </c>
      <c r="D14" s="13" t="n">
        <f aca="false">IF(B14=0,"",C14/B14)</f>
        <v>0.397260273972603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2026-10-03T06:05:43Z</dcterms:created>
  <dc:creator>openpyxl</dc:creator>
  <dc:description/>
  <dc:language>en-US</dc:language>
  <cp:lastModifiedBy/>
  <dcterms:modified xsi:type="dcterms:W3CDTF">2026-10-03T06:05:45Z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