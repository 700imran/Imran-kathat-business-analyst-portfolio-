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 Definitions" sheetId="2" state="visible" r:id="rId4"/>
    <sheet name="Stakeholder Register" sheetId="3" state="visible" r:id="rId5"/>
    <sheet name="RACI" sheetId="4" state="visible" r:id="rId6"/>
    <sheet name="Requirements Trace" sheetId="5" state="visible" r:id="rId7"/>
    <sheet name="Backlog" sheetId="6" state="visible" r:id="rId8"/>
    <sheet name="Sprint Metrics" sheetId="7" state="visible" r:id="rId9"/>
    <sheet name="RAID Log" sheetId="8" state="visible" r:id="rId10"/>
    <sheet name="Change Log" sheetId="9" state="visible" r:id="rId11"/>
    <sheet name="UAT" sheetId="10" state="visible" r:id="rId12"/>
    <sheet name="Defects" sheetId="11" state="visible" r:id="rId13"/>
    <sheet name="Defect Triage Matrix" sheetId="12" state="visible" r:id="rId14"/>
    <sheet name="Data Quality Run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<sst xmlns="http://schemas.openxmlformats.org/spreadsheetml/2006/main" count="717" uniqueCount="420">
  <si>
    <t xml:space="preserve">Mirsad - simulated portfolio project. Fictional client, synthetic data.</t>
  </si>
  <si>
    <t xml:space="preserve">Sheet</t>
  </si>
  <si>
    <t xml:space="preserve">Purpose</t>
  </si>
  <si>
    <t xml:space="preserve">KPI Definitions</t>
  </si>
  <si>
    <t xml:space="preserve">Uniform KPI glossary signed by Head of Finance Ops</t>
  </si>
  <si>
    <t xml:space="preserve">Stakeholder Register</t>
  </si>
  <si>
    <t xml:space="preserve">RACI</t>
  </si>
  <si>
    <t xml:space="preserve">Requirements Trace</t>
  </si>
  <si>
    <t xml:space="preserve">BR/FR/NFR to story to UAT</t>
  </si>
  <si>
    <t xml:space="preserve">Backlog</t>
  </si>
  <si>
    <t xml:space="preserve">Prioritized backlog</t>
  </si>
  <si>
    <t xml:space="preserve">Sprint Metrics</t>
  </si>
  <si>
    <t xml:space="preserve">Velocity with formulas</t>
  </si>
  <si>
    <t xml:space="preserve">RAID Log</t>
  </si>
  <si>
    <t xml:space="preserve">Change Log</t>
  </si>
  <si>
    <t xml:space="preserve">UAT</t>
  </si>
  <si>
    <t xml:space="preserve">Defects</t>
  </si>
  <si>
    <t xml:space="preserve">Defect Triage Matrix</t>
  </si>
  <si>
    <t xml:space="preserve">Data Quality Runs</t>
  </si>
  <si>
    <t xml:space="preserve">Weekly pipeline results</t>
  </si>
  <si>
    <t xml:space="preserve">KPI</t>
  </si>
  <si>
    <t xml:space="preserve">Definition</t>
  </si>
  <si>
    <t xml:space="preserve">Scope / rule</t>
  </si>
  <si>
    <t xml:space="preserve">Unit</t>
  </si>
  <si>
    <t xml:space="preserve">Source tables</t>
  </si>
  <si>
    <t xml:space="preserve">Interpretation</t>
  </si>
  <si>
    <t xml:space="preserve">Clearance velocity</t>
  </si>
  <si>
    <t xml:space="preserve">Median elapsed hours from opened_at to resolved_at with Saturday and Sunday hours removed (24h days on working days)</t>
  </si>
  <si>
    <t xml:space="preserve">Resolved tickets only</t>
  </si>
  <si>
    <t xml:space="preserve">Hours</t>
  </si>
  <si>
    <t xml:space="preserve">Fact_DiscrepancyResolution</t>
  </si>
  <si>
    <t xml:space="preserve">Lower is better; SLA reference 24h</t>
  </si>
  <si>
    <t xml:space="preserve">Daily resolution rate</t>
  </si>
  <si>
    <t xml:space="preserve">Tickets resolved on the day / tickets opened on the day</t>
  </si>
  <si>
    <t xml:space="preserve">Working days only; resolved by resolved_date_key</t>
  </si>
  <si>
    <t xml:space="preserve">%</t>
  </si>
  <si>
    <t xml:space="preserve">Fact_DiscrepancyResolution, Dim_Date</t>
  </si>
  <si>
    <t xml:space="preserve">Above 100% means backlog burn-down</t>
  </si>
  <si>
    <t xml:space="preserve">Margin variance %</t>
  </si>
  <si>
    <t xml:space="preserve">(Actual margin - Budgeted margin) / |Budgeted margin|</t>
  </si>
  <si>
    <t xml:space="preserve">Month grain and above</t>
  </si>
  <si>
    <t xml:space="preserve">Fact_DiscrepancyResolution, Fact_BudgetAllocation</t>
  </si>
  <si>
    <t xml:space="preserve">Positive is favourable</t>
  </si>
  <si>
    <t xml:space="preserve">Resource utilization %</t>
  </si>
  <si>
    <t xml:space="preserve">Booked hours / available hours; available = FTE x working days x 8</t>
  </si>
  <si>
    <t xml:space="preserve">Month and team</t>
  </si>
  <si>
    <t xml:space="preserve">Fact_ResourceUtilization</t>
  </si>
  <si>
    <t xml:space="preserve">Target band 75-90%</t>
  </si>
  <si>
    <t xml:space="preserve">Net variance AED</t>
  </si>
  <si>
    <t xml:space="preserve">Sum of (actual amount - expected amount)</t>
  </si>
  <si>
    <t xml:space="preserve">All loaded tickets</t>
  </si>
  <si>
    <t xml:space="preserve">AED</t>
  </si>
  <si>
    <t xml:space="preserve">Negative means under-recovery</t>
  </si>
  <si>
    <t xml:space="preserve">Quarantine rate</t>
  </si>
  <si>
    <t xml:space="preserve">Quarantined rows / rows loaded from the export</t>
  </si>
  <si>
    <t xml:space="preserve">Per run</t>
  </si>
  <si>
    <t xml:space="preserve">Pipeline log</t>
  </si>
  <si>
    <t xml:space="preserve">Target under 3% after source fixes</t>
  </si>
  <si>
    <t xml:space="preserve">ID</t>
  </si>
  <si>
    <t xml:space="preserve">Name (fictional)</t>
  </si>
  <si>
    <t xml:space="preserve">Role</t>
  </si>
  <si>
    <t xml:space="preserve">Project role</t>
  </si>
  <si>
    <t xml:space="preserve">Influence</t>
  </si>
  <si>
    <t xml:space="preserve">Interest</t>
  </si>
  <si>
    <t xml:space="preserve">Strategy</t>
  </si>
  <si>
    <t xml:space="preserve">Needs</t>
  </si>
  <si>
    <t xml:space="preserve">SH-01</t>
  </si>
  <si>
    <t xml:space="preserve">Lina Haddad</t>
  </si>
  <si>
    <t xml:space="preserve">COO (regional operations)</t>
  </si>
  <si>
    <t xml:space="preserve">Executive sponsor</t>
  </si>
  <si>
    <t xml:space="preserve">High</t>
  </si>
  <si>
    <t xml:space="preserve">Manage closely</t>
  </si>
  <si>
    <t xml:space="preserve">Wants one definition of performance across commercial and operations</t>
  </si>
  <si>
    <t xml:space="preserve">SH-02</t>
  </si>
  <si>
    <t xml:space="preserve">Reem Khan</t>
  </si>
  <si>
    <t xml:space="preserve">Head of Finance Operations</t>
  </si>
  <si>
    <t xml:space="preserve">Product owner</t>
  </si>
  <si>
    <t xml:space="preserve">Owns KPI definitions and budget table</t>
  </si>
  <si>
    <t xml:space="preserve">SH-03</t>
  </si>
  <si>
    <t xml:space="preserve">Arjun Nair</t>
  </si>
  <si>
    <t xml:space="preserve">Head of Payments Operations</t>
  </si>
  <si>
    <t xml:space="preserve">Key user</t>
  </si>
  <si>
    <t xml:space="preserve">Medium</t>
  </si>
  <si>
    <t xml:space="preserve">Keep informed</t>
  </si>
  <si>
    <t xml:space="preserve">Needs clearance velocity per team</t>
  </si>
  <si>
    <t xml:space="preserve">SH-04</t>
  </si>
  <si>
    <t xml:space="preserve">Mariam Youssef</t>
  </si>
  <si>
    <t xml:space="preserve">Fulfilment Manager, Dubai Hub</t>
  </si>
  <si>
    <t xml:space="preserve">Needs utilization and resolution rate</t>
  </si>
  <si>
    <t xml:space="preserve">SH-05</t>
  </si>
  <si>
    <t xml:space="preserve">Karim Salem</t>
  </si>
  <si>
    <t xml:space="preserve">Commercial Manager</t>
  </si>
  <si>
    <t xml:space="preserve">Margin owner</t>
  </si>
  <si>
    <t xml:space="preserve">Keep satisfied</t>
  </si>
  <si>
    <t xml:space="preserve">Margin variance vs budget by team</t>
  </si>
  <si>
    <t xml:space="preserve">SH-06</t>
  </si>
  <si>
    <t xml:space="preserve">Priyanka Rao</t>
  </si>
  <si>
    <t xml:space="preserve">BI / Data Lead</t>
  </si>
  <si>
    <t xml:space="preserve">Platform owner</t>
  </si>
  <si>
    <t xml:space="preserve">Power BI workspace, refresh, RLS</t>
  </si>
  <si>
    <t xml:space="preserve">SH-07</t>
  </si>
  <si>
    <t xml:space="preserve">Bilal Ahmed</t>
  </si>
  <si>
    <t xml:space="preserve">IT Security</t>
  </si>
  <si>
    <t xml:space="preserve">Access control</t>
  </si>
  <si>
    <t xml:space="preserve">Low</t>
  </si>
  <si>
    <t xml:space="preserve">Row-level security and data classification</t>
  </si>
  <si>
    <t xml:space="preserve">SH-08</t>
  </si>
  <si>
    <t xml:space="preserve">Imran Kathat</t>
  </si>
  <si>
    <t xml:space="preserve">Business Analyst</t>
  </si>
  <si>
    <t xml:space="preserve">Requirements, KPI definitions, data model, UAT</t>
  </si>
  <si>
    <t xml:space="preserve">Author</t>
  </si>
  <si>
    <t xml:space="preserve">Owns definitions and traceability</t>
  </si>
  <si>
    <t xml:space="preserve">Deliverable</t>
  </si>
  <si>
    <t xml:space="preserve">COO (Sponsor)</t>
  </si>
  <si>
    <t xml:space="preserve">Head Fin Ops (PO)</t>
  </si>
  <si>
    <t xml:space="preserve">BI Lead</t>
  </si>
  <si>
    <t xml:space="preserve">Ops Managers</t>
  </si>
  <si>
    <t xml:space="preserve">BA</t>
  </si>
  <si>
    <t xml:space="preserve">Requirements elicitation</t>
  </si>
  <si>
    <t xml:space="preserve">I</t>
  </si>
  <si>
    <t xml:space="preserve">A</t>
  </si>
  <si>
    <t xml:space="preserve">C</t>
  </si>
  <si>
    <t xml:space="preserve">R</t>
  </si>
  <si>
    <t xml:space="preserve">KPI definitions and data dictionary</t>
  </si>
  <si>
    <t xml:space="preserve">Data model design</t>
  </si>
  <si>
    <t xml:space="preserve">Pipeline build (Python)</t>
  </si>
  <si>
    <t xml:space="preserve">A/R</t>
  </si>
  <si>
    <t xml:space="preserve">DAX measures</t>
  </si>
  <si>
    <t xml:space="preserve">Dashboard design sign-off</t>
  </si>
  <si>
    <t xml:space="preserve">Security (RLS)</t>
  </si>
  <si>
    <t xml:space="preserve">Go-live</t>
  </si>
  <si>
    <t xml:space="preserve">Req ID</t>
  </si>
  <si>
    <t xml:space="preserve">Type</t>
  </si>
  <si>
    <t xml:space="preserve">Requirement</t>
  </si>
  <si>
    <t xml:space="preserve">Priority</t>
  </si>
  <si>
    <t xml:space="preserve">Source</t>
  </si>
  <si>
    <t xml:space="preserve">Epic / Story</t>
  </si>
  <si>
    <t xml:space="preserve">UAT cases</t>
  </si>
  <si>
    <t xml:space="preserve">BR-01</t>
  </si>
  <si>
    <t xml:space="preserve">Business</t>
  </si>
  <si>
    <t xml:space="preserve">One uniform definition for each operational KPI across commercial and operations teams</t>
  </si>
  <si>
    <t xml:space="preserve">Must</t>
  </si>
  <si>
    <t xml:space="preserve">COO</t>
  </si>
  <si>
    <t xml:space="preserve">MIR-E2, MIR-E3</t>
  </si>
  <si>
    <t xml:space="preserve">BR-02</t>
  </si>
  <si>
    <t xml:space="preserve">Remove manual spreadsheet maintenance from weekly reporting</t>
  </si>
  <si>
    <t xml:space="preserve">Head Fin Ops</t>
  </si>
  <si>
    <t xml:space="preserve">MIR-E1</t>
  </si>
  <si>
    <t xml:space="preserve">BR-03</t>
  </si>
  <si>
    <t xml:space="preserve">Leaders can see velocity, resolution rate, margin variance and utilization in one place</t>
  </si>
  <si>
    <t xml:space="preserve">MIR-E4</t>
  </si>
  <si>
    <t xml:space="preserve">FR-01</t>
  </si>
  <si>
    <t xml:space="preserve">Functional</t>
  </si>
  <si>
    <t xml:space="preserve">Clean exports: parse mixed date formats, null tokens, whitespace, amounts</t>
  </si>
  <si>
    <t xml:space="preserve">Operations Analyst</t>
  </si>
  <si>
    <t xml:space="preserve">MIR-101</t>
  </si>
  <si>
    <t xml:space="preserve">UAT-01</t>
  </si>
  <si>
    <t xml:space="preserve">FR-02</t>
  </si>
  <si>
    <t xml:space="preserve">Quarantine rejected rows with reason codes; report counts</t>
  </si>
  <si>
    <t xml:space="preserve">Operations Manager</t>
  </si>
  <si>
    <t xml:space="preserve">MIR-102</t>
  </si>
  <si>
    <t xml:space="preserve">UAT-02</t>
  </si>
  <si>
    <t xml:space="preserve">FR-03</t>
  </si>
  <si>
    <t xml:space="preserve">Load star schema with surrogate keys and integrity checks</t>
  </si>
  <si>
    <t xml:space="preserve">MIR-103</t>
  </si>
  <si>
    <t xml:space="preserve">FR-04</t>
  </si>
  <si>
    <t xml:space="preserve">Calendar flags Saturday-Sunday and UAE public holidays</t>
  </si>
  <si>
    <t xml:space="preserve">MIR-104</t>
  </si>
  <si>
    <t xml:space="preserve">FR-05</t>
  </si>
  <si>
    <t xml:space="preserve">Clearance velocity: median working hours, weekends excluded</t>
  </si>
  <si>
    <t xml:space="preserve">MIR-105</t>
  </si>
  <si>
    <t xml:space="preserve">UAT-03, UAT-04</t>
  </si>
  <si>
    <t xml:space="preserve">FR-06</t>
  </si>
  <si>
    <t xml:space="preserve">Daily resolution rate = resolved that day / incoming that day, working days only</t>
  </si>
  <si>
    <t xml:space="preserve">MIR-106</t>
  </si>
  <si>
    <t xml:space="preserve">UAT-05, UAT-05R</t>
  </si>
  <si>
    <t xml:space="preserve">FR-07</t>
  </si>
  <si>
    <t xml:space="preserve">Margin variance % vs monthly budget by team</t>
  </si>
  <si>
    <t xml:space="preserve">MIR-107</t>
  </si>
  <si>
    <t xml:space="preserve">UAT-06</t>
  </si>
  <si>
    <t xml:space="preserve">FR-08</t>
  </si>
  <si>
    <t xml:space="preserve">Executive dashboard with KPI cards, trend, heat map, left-rail slicers</t>
  </si>
  <si>
    <t xml:space="preserve">MIR-108</t>
  </si>
  <si>
    <t xml:space="preserve">UAT-07</t>
  </si>
  <si>
    <t xml:space="preserve">FR-09</t>
  </si>
  <si>
    <t xml:space="preserve">Excel utilization workbook</t>
  </si>
  <si>
    <t xml:space="preserve">Should</t>
  </si>
  <si>
    <t xml:space="preserve">MIR-109</t>
  </si>
  <si>
    <t xml:space="preserve">UAT-09</t>
  </si>
  <si>
    <t xml:space="preserve">FR-10</t>
  </si>
  <si>
    <t xml:space="preserve">Row-level security by team; refresh daily 06:30 GST</t>
  </si>
  <si>
    <t xml:space="preserve">MIR-110</t>
  </si>
  <si>
    <t xml:space="preserve">UAT-08</t>
  </si>
  <si>
    <t xml:space="preserve">NFR-01</t>
  </si>
  <si>
    <t xml:space="preserve">Non-functional</t>
  </si>
  <si>
    <t xml:space="preserve">Pipeline processes 50,000 rows in under 60 seconds</t>
  </si>
  <si>
    <t xml:space="preserve">NFR-02</t>
  </si>
  <si>
    <t xml:space="preserve">Dashboard opens in under 5 seconds for 12 months of data</t>
  </si>
  <si>
    <t xml:space="preserve">NFR-03</t>
  </si>
  <si>
    <t xml:space="preserve">All timestamps GST; dashboard labels state the time zone</t>
  </si>
  <si>
    <t xml:space="preserve">Rank</t>
  </si>
  <si>
    <t xml:space="preserve">Key</t>
  </si>
  <si>
    <t xml:space="preserve">Epic</t>
  </si>
  <si>
    <t xml:space="preserve">Story</t>
  </si>
  <si>
    <t xml:space="preserve">Persona</t>
  </si>
  <si>
    <t xml:space="preserve">MoSCoW</t>
  </si>
  <si>
    <t xml:space="preserve">SP</t>
  </si>
  <si>
    <t xml:space="preserve">Sprint</t>
  </si>
  <si>
    <t xml:space="preserve">Status</t>
  </si>
  <si>
    <t xml:space="preserve">Python pipeline cleans messy ticket exports</t>
  </si>
  <si>
    <t xml:space="preserve">MIR Sprint 1</t>
  </si>
  <si>
    <t xml:space="preserve">Done</t>
  </si>
  <si>
    <t xml:space="preserve">Quarantine rejected rows with reasons and a quality report</t>
  </si>
  <si>
    <t xml:space="preserve">MIR-E2</t>
  </si>
  <si>
    <t xml:space="preserve">Star schema and load</t>
  </si>
  <si>
    <t xml:space="preserve">BI Developer</t>
  </si>
  <si>
    <t xml:space="preserve">MIR Sprint 2</t>
  </si>
  <si>
    <t xml:space="preserve">Date dimension with UAE weekend and holidays</t>
  </si>
  <si>
    <t xml:space="preserve">MIR-E3</t>
  </si>
  <si>
    <t xml:space="preserve">Clearance velocity measure excluding weekends</t>
  </si>
  <si>
    <t xml:space="preserve">Daily resolution rate against incoming volume</t>
  </si>
  <si>
    <t xml:space="preserve">MIR Sprint 3</t>
  </si>
  <si>
    <t xml:space="preserve">Margin variance vs budget allocation</t>
  </si>
  <si>
    <t xml:space="preserve">Executive Power BI dashboard</t>
  </si>
  <si>
    <t xml:space="preserve">Executive</t>
  </si>
  <si>
    <t xml:space="preserve">MIR Sprint 4</t>
  </si>
  <si>
    <t xml:space="preserve">Excel resource-utilization workbook</t>
  </si>
  <si>
    <t xml:space="preserve">Row-level security and scheduled refresh</t>
  </si>
  <si>
    <t xml:space="preserve">Average velocity excludes Sprint 0.</t>
  </si>
  <si>
    <t xml:space="preserve">Start</t>
  </si>
  <si>
    <t xml:space="preserve">End</t>
  </si>
  <si>
    <t xml:space="preserve">Committed SP</t>
  </si>
  <si>
    <t xml:space="preserve">Completed SP</t>
  </si>
  <si>
    <t xml:space="preserve">Completion %</t>
  </si>
  <si>
    <t xml:space="preserve">Focus</t>
  </si>
  <si>
    <t xml:space="preserve">Sprint 0 - Discovery</t>
  </si>
  <si>
    <t xml:space="preserve">2025-06-02</t>
  </si>
  <si>
    <t xml:space="preserve">2025-06-13</t>
  </si>
  <si>
    <t xml:space="preserve">Elicitation, KPI glossary, data profiling</t>
  </si>
  <si>
    <t xml:space="preserve">2025-06-16</t>
  </si>
  <si>
    <t xml:space="preserve">2025-06-27</t>
  </si>
  <si>
    <t xml:space="preserve">Pipeline, quarantine, date dimension</t>
  </si>
  <si>
    <t xml:space="preserve">2025-06-30</t>
  </si>
  <si>
    <t xml:space="preserve">2025-07-11</t>
  </si>
  <si>
    <t xml:space="preserve">Star schema, clearance velocity</t>
  </si>
  <si>
    <t xml:space="preserve">2025-07-14</t>
  </si>
  <si>
    <t xml:space="preserve">2025-07-25</t>
  </si>
  <si>
    <t xml:space="preserve">Resolution rate, margin variance, Excel utilization</t>
  </si>
  <si>
    <t xml:space="preserve">2025-07-28</t>
  </si>
  <si>
    <t xml:space="preserve">2025-08-08</t>
  </si>
  <si>
    <t xml:space="preserve">Dashboard, RLS and refresh</t>
  </si>
  <si>
    <t xml:space="preserve">Average velocity (Sprints 1-4)</t>
  </si>
  <si>
    <t xml:space="preserve">Total completed SP</t>
  </si>
  <si>
    <t xml:space="preserve">Description</t>
  </si>
  <si>
    <t xml:space="preserve">Impact (1-5)</t>
  </si>
  <si>
    <t xml:space="preserve">Probability (1-5)</t>
  </si>
  <si>
    <t xml:space="preserve">Score</t>
  </si>
  <si>
    <t xml:space="preserve">Owner</t>
  </si>
  <si>
    <t xml:space="preserve">Response</t>
  </si>
  <si>
    <t xml:space="preserve">Raised</t>
  </si>
  <si>
    <t xml:space="preserve">R-01</t>
  </si>
  <si>
    <t xml:space="preserve">Risk</t>
  </si>
  <si>
    <t xml:space="preserve">Source exports change column names or formats without notice</t>
  </si>
  <si>
    <t xml:space="preserve">Schema check at load; fail fast with message; export owner notified</t>
  </si>
  <si>
    <t xml:space="preserve">Mitigated</t>
  </si>
  <si>
    <t xml:space="preserve">2025-06-03</t>
  </si>
  <si>
    <t xml:space="preserve">R-02</t>
  </si>
  <si>
    <t xml:space="preserve">Teams define 'resolved' differently, so KPIs disagree</t>
  </si>
  <si>
    <t xml:space="preserve">Single KPI glossary signed by Head of Finance Ops; statuses mapped in Dim_ResolutionStatus</t>
  </si>
  <si>
    <t xml:space="preserve">Closed</t>
  </si>
  <si>
    <t xml:space="preserve">2025-06-04</t>
  </si>
  <si>
    <t xml:space="preserve">R-03</t>
  </si>
  <si>
    <t xml:space="preserve">Median working-hours DAX is slow on large fact tables</t>
  </si>
  <si>
    <t xml:space="preserve">Parity test; materialise per-row hours in pipeline if over 1M rows</t>
  </si>
  <si>
    <t xml:space="preserve">2025-06-17</t>
  </si>
  <si>
    <t xml:space="preserve">R-04</t>
  </si>
  <si>
    <t xml:space="preserve">Holiday calendar goes stale</t>
  </si>
  <si>
    <t xml:space="preserve">Dim_Date refreshed each December from the official UAE calendar</t>
  </si>
  <si>
    <t xml:space="preserve">Open</t>
  </si>
  <si>
    <t xml:space="preserve">2025-06-05</t>
  </si>
  <si>
    <t xml:space="preserve">I-01</t>
  </si>
  <si>
    <t xml:space="preserve">Issue</t>
  </si>
  <si>
    <t xml:space="preserve">7.5% of export rows rejected in first run (missing txn id, bad dates)</t>
  </si>
  <si>
    <t xml:space="preserve">Quarantine report sent to export owners weekly; root-cause fixes at source</t>
  </si>
  <si>
    <t xml:space="preserve">2025-06-19</t>
  </si>
  <si>
    <t xml:space="preserve">I-02</t>
  </si>
  <si>
    <t xml:space="preserve">Budget table supplied by month only; daily visuals show repeated budget</t>
  </si>
  <si>
    <t xml:space="preserve">Measure returns blank below month grain (MIR-107)</t>
  </si>
  <si>
    <t xml:space="preserve">A-01</t>
  </si>
  <si>
    <t xml:space="preserve">Assumption</t>
  </si>
  <si>
    <t xml:space="preserve">Export is delivered daily by 06:00 GST</t>
  </si>
  <si>
    <t xml:space="preserve">Confirmed with export owners</t>
  </si>
  <si>
    <t xml:space="preserve">Validated</t>
  </si>
  <si>
    <t xml:space="preserve">D-01</t>
  </si>
  <si>
    <t xml:space="preserve">Dependency</t>
  </si>
  <si>
    <t xml:space="preserve">Power BI workspace and gateway available by 16 Jun</t>
  </si>
  <si>
    <t xml:space="preserve">Provisioned 13 Jun</t>
  </si>
  <si>
    <t xml:space="preserve">CR</t>
  </si>
  <si>
    <t xml:space="preserve">Date</t>
  </si>
  <si>
    <t xml:space="preserve">By</t>
  </si>
  <si>
    <t xml:space="preserve">Change</t>
  </si>
  <si>
    <t xml:space="preserve">Impact</t>
  </si>
  <si>
    <t xml:space="preserve">Decision</t>
  </si>
  <si>
    <t xml:space="preserve">Approvers</t>
  </si>
  <si>
    <t xml:space="preserve">CR-001</t>
  </si>
  <si>
    <t xml:space="preserve">2025-06-24</t>
  </si>
  <si>
    <t xml:space="preserve">Add resource utilization to the executive page</t>
  </si>
  <si>
    <t xml:space="preserve">+5 SP (Excel workbook added, dashboard card)</t>
  </si>
  <si>
    <t xml:space="preserve">Approved</t>
  </si>
  <si>
    <t xml:space="preserve">Head Fin Ops, BI Lead</t>
  </si>
  <si>
    <t xml:space="preserve">Implemented 2025-07-11</t>
  </si>
  <si>
    <t xml:space="preserve">CR-002</t>
  </si>
  <si>
    <t xml:space="preserve">2025-07-15</t>
  </si>
  <si>
    <t xml:space="preserve">Add weekly email PDF snapshot</t>
  </si>
  <si>
    <t xml:space="preserve">+5 SP</t>
  </si>
  <si>
    <t xml:space="preserve">Deferred to release 1.1</t>
  </si>
  <si>
    <t xml:space="preserve">CR-003</t>
  </si>
  <si>
    <t xml:space="preserve">2025-07-22</t>
  </si>
  <si>
    <t xml:space="preserve">Count public holidays as non-working in resolution rate</t>
  </si>
  <si>
    <t xml:space="preserve">+1 SP</t>
  </si>
  <si>
    <t xml:space="preserve">Implemented 2025-07-24</t>
  </si>
  <si>
    <t xml:space="preserve">Case</t>
  </si>
  <si>
    <t xml:space="preserve">Scenario</t>
  </si>
  <si>
    <t xml:space="preserve">Tester</t>
  </si>
  <si>
    <t xml:space="preserve">Result</t>
  </si>
  <si>
    <t xml:space="preserve">Export with mixed formats cleaned correctly</t>
  </si>
  <si>
    <t xml:space="preserve">Pass</t>
  </si>
  <si>
    <t xml:space="preserve">2025-08-12</t>
  </si>
  <si>
    <t xml:space="preserve">Quarantine reasons correct on 20 seeded bad rows</t>
  </si>
  <si>
    <t xml:space="preserve">UAT-03</t>
  </si>
  <si>
    <t xml:space="preserve">Clearance velocity matches pipeline within 0.1 h</t>
  </si>
  <si>
    <t xml:space="preserve">2025-08-13</t>
  </si>
  <si>
    <t xml:space="preserve">UAT-04</t>
  </si>
  <si>
    <t xml:space="preserve">Friday-to-Monday ticket gives 18.0 working hours</t>
  </si>
  <si>
    <t xml:space="preserve">UAT-05</t>
  </si>
  <si>
    <t xml:space="preserve">Resolution rate blank on weekends and holidays</t>
  </si>
  <si>
    <t xml:space="preserve">Fail</t>
  </si>
  <si>
    <t xml:space="preserve">2025-08-14</t>
  </si>
  <si>
    <t xml:space="preserve">UAT-05R</t>
  </si>
  <si>
    <t xml:space="preserve">Retest after holiday fix (CR-003)</t>
  </si>
  <si>
    <t xml:space="preserve">Retest</t>
  </si>
  <si>
    <t xml:space="preserve">2025-08-15</t>
  </si>
  <si>
    <t xml:space="preserve">Margin variance blank at day grain; correct by month</t>
  </si>
  <si>
    <t xml:space="preserve">Dashboard layout matches signed wireframe</t>
  </si>
  <si>
    <t xml:space="preserve">2025-08-18</t>
  </si>
  <si>
    <t xml:space="preserve">Team lead sees only own team</t>
  </si>
  <si>
    <t xml:space="preserve">Security</t>
  </si>
  <si>
    <t xml:space="preserve">Utilization workbook ties to dashboard</t>
  </si>
  <si>
    <t xml:space="preserve">2025-08-19</t>
  </si>
  <si>
    <t xml:space="preserve">Title</t>
  </si>
  <si>
    <t xml:space="preserve">Severity</t>
  </si>
  <si>
    <t xml:space="preserve">Found in</t>
  </si>
  <si>
    <t xml:space="preserve">Found</t>
  </si>
  <si>
    <t xml:space="preserve">Fixed</t>
  </si>
  <si>
    <t xml:space="preserve">Root cause</t>
  </si>
  <si>
    <t xml:space="preserve">DEF-001</t>
  </si>
  <si>
    <t xml:space="preserve">Day-first dates parsed month-first for ambiguous dates</t>
  </si>
  <si>
    <t xml:space="preserve">S2</t>
  </si>
  <si>
    <t xml:space="preserve">P1</t>
  </si>
  <si>
    <t xml:space="preserve">SIT</t>
  </si>
  <si>
    <t xml:space="preserve">2025-06-18</t>
  </si>
  <si>
    <t xml:space="preserve">Format order</t>
  </si>
  <si>
    <t xml:space="preserve">DEF-002</t>
  </si>
  <si>
    <t xml:space="preserve">Duplicate tickets not quarantined</t>
  </si>
  <si>
    <t xml:space="preserve">P2</t>
  </si>
  <si>
    <t xml:space="preserve">2025-06-20</t>
  </si>
  <si>
    <t xml:space="preserve">Dedupe missing</t>
  </si>
  <si>
    <t xml:space="preserve">DEF-003</t>
  </si>
  <si>
    <t xml:space="preserve">Median counted open tickets as zero</t>
  </si>
  <si>
    <t xml:space="preserve">S1</t>
  </si>
  <si>
    <t xml:space="preserve">2025-07-02</t>
  </si>
  <si>
    <t xml:space="preserve">2025-07-03</t>
  </si>
  <si>
    <t xml:space="preserve">Open rows not filtered</t>
  </si>
  <si>
    <t xml:space="preserve">DEF-004</t>
  </si>
  <si>
    <t xml:space="preserve">Weekend hours not removed across multi-day tickets</t>
  </si>
  <si>
    <t xml:space="preserve">2025-07-07</t>
  </si>
  <si>
    <t xml:space="preserve">Only first weekend handled</t>
  </si>
  <si>
    <t xml:space="preserve">DEF-005</t>
  </si>
  <si>
    <t xml:space="preserve">Budget repeated at day level</t>
  </si>
  <si>
    <t xml:space="preserve">S3</t>
  </si>
  <si>
    <t xml:space="preserve">P3</t>
  </si>
  <si>
    <t xml:space="preserve">Month-grain guard missing</t>
  </si>
  <si>
    <t xml:space="preserve">DEF-006</t>
  </si>
  <si>
    <t xml:space="preserve">Resolution rate shown on holiday</t>
  </si>
  <si>
    <t xml:space="preserve">Holiday flag not used (CR-003)</t>
  </si>
  <si>
    <t xml:space="preserve">DEF-007</t>
  </si>
  <si>
    <t xml:space="preserve">RLS mapping case-sensitive</t>
  </si>
  <si>
    <t xml:space="preserve">2025-07-30</t>
  </si>
  <si>
    <t xml:space="preserve">2025-07-31</t>
  </si>
  <si>
    <t xml:space="preserve">UPN comparison</t>
  </si>
  <si>
    <t xml:space="preserve">Priority / action</t>
  </si>
  <si>
    <t xml:space="preserve">Fix</t>
  </si>
  <si>
    <t xml:space="preserve">S1 Critical</t>
  </si>
  <si>
    <t xml:space="preserve">Wrong KPI value or data leak</t>
  </si>
  <si>
    <t xml:space="preserve">P1 - stop-ship</t>
  </si>
  <si>
    <t xml:space="preserve">Same day</t>
  </si>
  <si>
    <t xml:space="preserve">1 working day</t>
  </si>
  <si>
    <t xml:space="preserve">S2 Major</t>
  </si>
  <si>
    <t xml:space="preserve">Core logic wrong in an edge case</t>
  </si>
  <si>
    <t xml:space="preserve">P1/P2 - current sprint</t>
  </si>
  <si>
    <t xml:space="preserve">2 working days</t>
  </si>
  <si>
    <t xml:space="preserve">S3 Moderate</t>
  </si>
  <si>
    <t xml:space="preserve">Presentation or edge-case defect</t>
  </si>
  <si>
    <t xml:space="preserve">P2/P3 - next sprint</t>
  </si>
  <si>
    <t xml:space="preserve">Next sprint</t>
  </si>
  <si>
    <t xml:space="preserve">S4 Minor</t>
  </si>
  <si>
    <t xml:space="preserve">Cosmetic</t>
  </si>
  <si>
    <t xml:space="preserve">P4 - backlog</t>
  </si>
  <si>
    <t xml:space="preserve">3 working days</t>
  </si>
  <si>
    <t xml:space="preserve">First production-like run: 2238 rows read, 2070 clean, 168 quarantined (a row can carry several reasons).</t>
  </si>
  <si>
    <t xml:space="preserve">Reason</t>
  </si>
  <si>
    <t xml:space="preserve">Rows</t>
  </si>
  <si>
    <t xml:space="preserve">Share of export</t>
  </si>
  <si>
    <t xml:space="preserve">MISSING_TXN_ID</t>
  </si>
  <si>
    <t xml:space="preserve">UNPARSEABLE_OPENED_AT</t>
  </si>
  <si>
    <t xml:space="preserve">NEGATIVE_TURNAROUND</t>
  </si>
  <si>
    <t xml:space="preserve">AMOUNT_NOT_NUMERIC</t>
  </si>
  <si>
    <t xml:space="preserve">MISSING_TICKET_REF</t>
  </si>
  <si>
    <t xml:space="preserve">DUPLICATE_TICKET</t>
  </si>
  <si>
    <t xml:space="preserve">UNKNOWN_STATUS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</si>
</sst>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/>
    </row>
    <row r="6" customFormat="false" ht="15" hidden="false" customHeight="false" outlineLevel="0" collapsed="false">
      <c r="A6" s="3" t="s">
        <v>6</v>
      </c>
      <c r="B6" s="3"/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10</v>
      </c>
    </row>
    <row r="9" customFormat="false" ht="15" hidden="false" customHeight="false" outlineLevel="0" collapsed="false">
      <c r="A9" s="3" t="s">
        <v>11</v>
      </c>
      <c r="B9" s="3" t="s">
        <v>12</v>
      </c>
    </row>
    <row r="10" customFormat="false" ht="15" hidden="false" customHeight="false" outlineLevel="0" collapsed="false">
      <c r="A10" s="3" t="s">
        <v>13</v>
      </c>
      <c r="B10" s="3"/>
    </row>
    <row r="11" customFormat="false" ht="15" hidden="false" customHeight="false" outlineLevel="0" collapsed="false">
      <c r="A11" s="3" t="s">
        <v>14</v>
      </c>
      <c r="B11" s="3"/>
    </row>
    <row r="12" customFormat="false" ht="15" hidden="false" customHeight="false" outlineLevel="0" collapsed="false">
      <c r="A12" s="3" t="s">
        <v>15</v>
      </c>
      <c r="B12" s="3"/>
    </row>
    <row r="13" customFormat="false" ht="15" hidden="false" customHeight="false" outlineLevel="0" collapsed="false">
      <c r="A13" s="3" t="s">
        <v>16</v>
      </c>
      <c r="B13" s="3"/>
    </row>
    <row r="14" customFormat="false" ht="15" hidden="false" customHeight="false" outlineLevel="0" collapsed="false">
      <c r="A14" s="3" t="s">
        <v>17</v>
      </c>
      <c r="B14" s="3"/>
    </row>
    <row r="15" customFormat="false" ht="15" hidden="false" customHeight="false" outlineLevel="0" collapsed="false">
      <c r="A15" s="3" t="s">
        <v>18</v>
      </c>
      <c r="B15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6" min="5" style="0" width="36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  <row r="2" customFormat="false" ht="22.35" hidden="false" customHeight="false" outlineLevel="0" collapsed="false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</row>
    <row r="3" customFormat="false" ht="22.35" hidden="false" customHeight="false" outlineLevel="0" collapsed="false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</row>
    <row r="4" customFormat="false" ht="22.3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35</v>
      </c>
      <c r="E4" s="3" t="s">
        <v>41</v>
      </c>
      <c r="F4" s="3" t="s">
        <v>42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45</v>
      </c>
      <c r="D5" s="3" t="s">
        <v>35</v>
      </c>
      <c r="E5" s="3" t="s">
        <v>46</v>
      </c>
      <c r="F5" s="3" t="s">
        <v>47</v>
      </c>
    </row>
    <row r="6" customFormat="false" ht="15" hidden="false" customHeight="false" outlineLevel="0" collapsed="false">
      <c r="A6" s="3" t="s">
        <v>48</v>
      </c>
      <c r="B6" s="3" t="s">
        <v>49</v>
      </c>
      <c r="C6" s="3" t="s">
        <v>50</v>
      </c>
      <c r="D6" s="3" t="s">
        <v>51</v>
      </c>
      <c r="E6" s="3" t="s">
        <v>30</v>
      </c>
      <c r="F6" s="3" t="s">
        <v>52</v>
      </c>
    </row>
    <row r="7" customFormat="false" ht="15" hidden="false" customHeight="false" outlineLevel="0" collapsed="false">
      <c r="A7" s="3" t="s">
        <v>53</v>
      </c>
      <c r="B7" s="3" t="s">
        <v>54</v>
      </c>
      <c r="C7" s="3" t="s">
        <v>55</v>
      </c>
      <c r="D7" s="3" t="s">
        <v>35</v>
      </c>
      <c r="E7" s="3" t="s">
        <v>56</v>
      </c>
      <c r="F7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3" style="0" width="28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</row>
    <row r="2" customFormat="false" ht="15" hidden="false" customHeight="false" outlineLevel="0" collapsed="false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70</v>
      </c>
      <c r="G2" s="3" t="s">
        <v>71</v>
      </c>
      <c r="H2" s="3" t="s">
        <v>72</v>
      </c>
    </row>
    <row r="3" customFormat="false" ht="15" hidden="false" customHeight="fals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70</v>
      </c>
      <c r="F3" s="3" t="s">
        <v>70</v>
      </c>
      <c r="G3" s="3" t="s">
        <v>71</v>
      </c>
      <c r="H3" s="3" t="s">
        <v>77</v>
      </c>
    </row>
    <row r="4" customFormat="false" ht="15" hidden="false" customHeight="false" outlineLevel="0" collapsed="false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70</v>
      </c>
      <c r="G4" s="3" t="s">
        <v>83</v>
      </c>
      <c r="H4" s="3" t="s">
        <v>84</v>
      </c>
    </row>
    <row r="5" customFormat="false" ht="15" hidden="false" customHeight="false" outlineLevel="0" collapsed="false">
      <c r="A5" s="3" t="s">
        <v>85</v>
      </c>
      <c r="B5" s="3" t="s">
        <v>86</v>
      </c>
      <c r="C5" s="3" t="s">
        <v>87</v>
      </c>
      <c r="D5" s="3" t="s">
        <v>81</v>
      </c>
      <c r="E5" s="3" t="s">
        <v>82</v>
      </c>
      <c r="F5" s="3" t="s">
        <v>70</v>
      </c>
      <c r="G5" s="3" t="s">
        <v>83</v>
      </c>
      <c r="H5" s="3" t="s">
        <v>88</v>
      </c>
    </row>
    <row r="6" customFormat="false" ht="15" hidden="false" customHeight="false" outlineLevel="0" collapsed="false">
      <c r="A6" s="3" t="s">
        <v>89</v>
      </c>
      <c r="B6" s="3" t="s">
        <v>90</v>
      </c>
      <c r="C6" s="3" t="s">
        <v>91</v>
      </c>
      <c r="D6" s="3" t="s">
        <v>92</v>
      </c>
      <c r="E6" s="3" t="s">
        <v>70</v>
      </c>
      <c r="F6" s="3" t="s">
        <v>82</v>
      </c>
      <c r="G6" s="3" t="s">
        <v>93</v>
      </c>
      <c r="H6" s="3" t="s">
        <v>94</v>
      </c>
    </row>
    <row r="7" customFormat="false" ht="15" hidden="false" customHeight="false" outlineLevel="0" collapsed="false">
      <c r="A7" s="3" t="s">
        <v>95</v>
      </c>
      <c r="B7" s="3" t="s">
        <v>96</v>
      </c>
      <c r="C7" s="3" t="s">
        <v>97</v>
      </c>
      <c r="D7" s="3" t="s">
        <v>98</v>
      </c>
      <c r="E7" s="3" t="s">
        <v>82</v>
      </c>
      <c r="F7" s="3" t="s">
        <v>70</v>
      </c>
      <c r="G7" s="3" t="s">
        <v>83</v>
      </c>
      <c r="H7" s="3" t="s">
        <v>99</v>
      </c>
    </row>
    <row r="8" customFormat="false" ht="15" hidden="false" customHeight="false" outlineLevel="0" collapsed="false">
      <c r="A8" s="3" t="s">
        <v>100</v>
      </c>
      <c r="B8" s="3" t="s">
        <v>101</v>
      </c>
      <c r="C8" s="3" t="s">
        <v>102</v>
      </c>
      <c r="D8" s="3" t="s">
        <v>103</v>
      </c>
      <c r="E8" s="3" t="s">
        <v>82</v>
      </c>
      <c r="F8" s="3" t="s">
        <v>104</v>
      </c>
      <c r="G8" s="3" t="s">
        <v>93</v>
      </c>
      <c r="H8" s="3" t="s">
        <v>105</v>
      </c>
    </row>
    <row r="9" customFormat="false" ht="22.35" hidden="false" customHeight="false" outlineLevel="0" collapsed="false">
      <c r="A9" s="3" t="s">
        <v>106</v>
      </c>
      <c r="B9" s="3" t="s">
        <v>107</v>
      </c>
      <c r="C9" s="3" t="s">
        <v>108</v>
      </c>
      <c r="D9" s="3" t="s">
        <v>109</v>
      </c>
      <c r="E9" s="3" t="s">
        <v>70</v>
      </c>
      <c r="F9" s="3" t="s">
        <v>70</v>
      </c>
      <c r="G9" s="3" t="s">
        <v>110</v>
      </c>
      <c r="H9" s="3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4"/>
  </cols>
  <sheetData>
    <row r="1" customFormat="false" ht="23.85" hidden="false" customHeight="false" outlineLevel="0" collapsed="false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102</v>
      </c>
      <c r="F1" s="2" t="s">
        <v>116</v>
      </c>
      <c r="G1" s="2" t="s">
        <v>117</v>
      </c>
    </row>
    <row r="2" customFormat="false" ht="15" hidden="false" customHeight="false" outlineLevel="0" collapsed="false">
      <c r="A2" s="3" t="s">
        <v>118</v>
      </c>
      <c r="B2" s="3" t="s">
        <v>119</v>
      </c>
      <c r="C2" s="3" t="s">
        <v>120</v>
      </c>
      <c r="D2" s="3" t="s">
        <v>121</v>
      </c>
      <c r="E2" s="3" t="s">
        <v>119</v>
      </c>
      <c r="F2" s="3" t="s">
        <v>121</v>
      </c>
      <c r="G2" s="3" t="s">
        <v>122</v>
      </c>
    </row>
    <row r="3" customFormat="false" ht="15" hidden="false" customHeight="false" outlineLevel="0" collapsed="false">
      <c r="A3" s="3" t="s">
        <v>123</v>
      </c>
      <c r="B3" s="3" t="s">
        <v>119</v>
      </c>
      <c r="C3" s="3" t="s">
        <v>120</v>
      </c>
      <c r="D3" s="3" t="s">
        <v>121</v>
      </c>
      <c r="E3" s="3" t="s">
        <v>119</v>
      </c>
      <c r="F3" s="3" t="s">
        <v>121</v>
      </c>
      <c r="G3" s="3" t="s">
        <v>122</v>
      </c>
    </row>
    <row r="4" customFormat="false" ht="15" hidden="false" customHeight="false" outlineLevel="0" collapsed="false">
      <c r="A4" s="3" t="s">
        <v>124</v>
      </c>
      <c r="B4" s="3" t="s">
        <v>119</v>
      </c>
      <c r="C4" s="3" t="s">
        <v>121</v>
      </c>
      <c r="D4" s="3" t="s">
        <v>120</v>
      </c>
      <c r="E4" s="3" t="s">
        <v>121</v>
      </c>
      <c r="F4" s="3" t="s">
        <v>119</v>
      </c>
      <c r="G4" s="3" t="s">
        <v>122</v>
      </c>
    </row>
    <row r="5" customFormat="false" ht="15" hidden="false" customHeight="false" outlineLevel="0" collapsed="false">
      <c r="A5" s="3" t="s">
        <v>125</v>
      </c>
      <c r="B5" s="3" t="s">
        <v>119</v>
      </c>
      <c r="C5" s="3" t="s">
        <v>119</v>
      </c>
      <c r="D5" s="3" t="s">
        <v>126</v>
      </c>
      <c r="E5" s="3" t="s">
        <v>119</v>
      </c>
      <c r="F5" s="3" t="s">
        <v>119</v>
      </c>
      <c r="G5" s="3" t="s">
        <v>121</v>
      </c>
    </row>
    <row r="6" customFormat="false" ht="15" hidden="false" customHeight="false" outlineLevel="0" collapsed="false">
      <c r="A6" s="3" t="s">
        <v>127</v>
      </c>
      <c r="B6" s="3" t="s">
        <v>119</v>
      </c>
      <c r="C6" s="3" t="s">
        <v>121</v>
      </c>
      <c r="D6" s="3" t="s">
        <v>126</v>
      </c>
      <c r="E6" s="3" t="s">
        <v>119</v>
      </c>
      <c r="F6" s="3" t="s">
        <v>119</v>
      </c>
      <c r="G6" s="3" t="s">
        <v>122</v>
      </c>
    </row>
    <row r="7" customFormat="false" ht="15" hidden="false" customHeight="false" outlineLevel="0" collapsed="false">
      <c r="A7" s="3" t="s">
        <v>128</v>
      </c>
      <c r="B7" s="3" t="s">
        <v>120</v>
      </c>
      <c r="C7" s="3" t="s">
        <v>122</v>
      </c>
      <c r="D7" s="3" t="s">
        <v>121</v>
      </c>
      <c r="E7" s="3" t="s">
        <v>119</v>
      </c>
      <c r="F7" s="3" t="s">
        <v>121</v>
      </c>
      <c r="G7" s="3" t="s">
        <v>122</v>
      </c>
    </row>
    <row r="8" customFormat="false" ht="15" hidden="false" customHeight="false" outlineLevel="0" collapsed="false">
      <c r="A8" s="3" t="s">
        <v>129</v>
      </c>
      <c r="B8" s="3" t="s">
        <v>119</v>
      </c>
      <c r="C8" s="3" t="s">
        <v>119</v>
      </c>
      <c r="D8" s="3" t="s">
        <v>122</v>
      </c>
      <c r="E8" s="3" t="s">
        <v>120</v>
      </c>
      <c r="F8" s="3" t="s">
        <v>119</v>
      </c>
      <c r="G8" s="3" t="s">
        <v>121</v>
      </c>
    </row>
    <row r="9" customFormat="false" ht="15" hidden="false" customHeight="false" outlineLevel="0" collapsed="false">
      <c r="A9" s="3" t="s">
        <v>15</v>
      </c>
      <c r="B9" s="3" t="s">
        <v>119</v>
      </c>
      <c r="C9" s="3" t="s">
        <v>120</v>
      </c>
      <c r="D9" s="3" t="s">
        <v>121</v>
      </c>
      <c r="E9" s="3" t="s">
        <v>119</v>
      </c>
      <c r="F9" s="3" t="s">
        <v>122</v>
      </c>
      <c r="G9" s="3" t="s">
        <v>122</v>
      </c>
    </row>
    <row r="10" customFormat="false" ht="15" hidden="false" customHeight="false" outlineLevel="0" collapsed="false">
      <c r="A10" s="3" t="s">
        <v>130</v>
      </c>
      <c r="B10" s="3" t="s">
        <v>120</v>
      </c>
      <c r="C10" s="3" t="s">
        <v>122</v>
      </c>
      <c r="D10" s="3" t="s">
        <v>121</v>
      </c>
      <c r="E10" s="3" t="s">
        <v>121</v>
      </c>
      <c r="F10" s="3" t="s">
        <v>119</v>
      </c>
      <c r="G10" s="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74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</row>
    <row r="2" customFormat="false" ht="15" hidden="false" customHeight="false" outlineLevel="0" collapsed="false">
      <c r="A2" s="3" t="s">
        <v>138</v>
      </c>
      <c r="B2" s="3" t="s">
        <v>139</v>
      </c>
      <c r="C2" s="3" t="s">
        <v>140</v>
      </c>
      <c r="D2" s="3" t="s">
        <v>141</v>
      </c>
      <c r="E2" s="3" t="s">
        <v>142</v>
      </c>
      <c r="F2" s="3" t="s">
        <v>143</v>
      </c>
      <c r="G2" s="3"/>
    </row>
    <row r="3" customFormat="false" ht="15" hidden="false" customHeight="false" outlineLevel="0" collapsed="false">
      <c r="A3" s="3" t="s">
        <v>144</v>
      </c>
      <c r="B3" s="3" t="s">
        <v>139</v>
      </c>
      <c r="C3" s="3" t="s">
        <v>145</v>
      </c>
      <c r="D3" s="3" t="s">
        <v>141</v>
      </c>
      <c r="E3" s="3" t="s">
        <v>146</v>
      </c>
      <c r="F3" s="3" t="s">
        <v>147</v>
      </c>
      <c r="G3" s="3"/>
    </row>
    <row r="4" customFormat="false" ht="15" hidden="false" customHeight="false" outlineLevel="0" collapsed="false">
      <c r="A4" s="3" t="s">
        <v>148</v>
      </c>
      <c r="B4" s="3" t="s">
        <v>139</v>
      </c>
      <c r="C4" s="3" t="s">
        <v>149</v>
      </c>
      <c r="D4" s="3" t="s">
        <v>141</v>
      </c>
      <c r="E4" s="3" t="s">
        <v>142</v>
      </c>
      <c r="F4" s="3" t="s">
        <v>150</v>
      </c>
      <c r="G4" s="3"/>
    </row>
    <row r="5" customFormat="false" ht="15" hidden="false" customHeight="false" outlineLevel="0" collapsed="false">
      <c r="A5" s="3" t="s">
        <v>151</v>
      </c>
      <c r="B5" s="3" t="s">
        <v>152</v>
      </c>
      <c r="C5" s="3" t="s">
        <v>153</v>
      </c>
      <c r="D5" s="3" t="s">
        <v>141</v>
      </c>
      <c r="E5" s="3" t="s">
        <v>154</v>
      </c>
      <c r="F5" s="3" t="s">
        <v>155</v>
      </c>
      <c r="G5" s="3" t="s">
        <v>156</v>
      </c>
    </row>
    <row r="6" customFormat="false" ht="15" hidden="false" customHeight="false" outlineLevel="0" collapsed="false">
      <c r="A6" s="3" t="s">
        <v>157</v>
      </c>
      <c r="B6" s="3" t="s">
        <v>152</v>
      </c>
      <c r="C6" s="3" t="s">
        <v>158</v>
      </c>
      <c r="D6" s="3" t="s">
        <v>141</v>
      </c>
      <c r="E6" s="3" t="s">
        <v>159</v>
      </c>
      <c r="F6" s="3" t="s">
        <v>160</v>
      </c>
      <c r="G6" s="3" t="s">
        <v>161</v>
      </c>
    </row>
    <row r="7" customFormat="false" ht="15" hidden="false" customHeight="false" outlineLevel="0" collapsed="false">
      <c r="A7" s="3" t="s">
        <v>162</v>
      </c>
      <c r="B7" s="3" t="s">
        <v>152</v>
      </c>
      <c r="C7" s="3" t="s">
        <v>163</v>
      </c>
      <c r="D7" s="3" t="s">
        <v>141</v>
      </c>
      <c r="E7" s="3" t="s">
        <v>115</v>
      </c>
      <c r="F7" s="3" t="s">
        <v>164</v>
      </c>
      <c r="G7" s="3"/>
    </row>
    <row r="8" customFormat="false" ht="15" hidden="false" customHeight="false" outlineLevel="0" collapsed="false">
      <c r="A8" s="3" t="s">
        <v>165</v>
      </c>
      <c r="B8" s="3" t="s">
        <v>152</v>
      </c>
      <c r="C8" s="3" t="s">
        <v>166</v>
      </c>
      <c r="D8" s="3" t="s">
        <v>141</v>
      </c>
      <c r="E8" s="3" t="s">
        <v>115</v>
      </c>
      <c r="F8" s="3" t="s">
        <v>167</v>
      </c>
      <c r="G8" s="3"/>
    </row>
    <row r="9" customFormat="false" ht="15" hidden="false" customHeight="false" outlineLevel="0" collapsed="false">
      <c r="A9" s="3" t="s">
        <v>168</v>
      </c>
      <c r="B9" s="3" t="s">
        <v>152</v>
      </c>
      <c r="C9" s="3" t="s">
        <v>169</v>
      </c>
      <c r="D9" s="3" t="s">
        <v>141</v>
      </c>
      <c r="E9" s="3" t="s">
        <v>159</v>
      </c>
      <c r="F9" s="3" t="s">
        <v>170</v>
      </c>
      <c r="G9" s="3" t="s">
        <v>171</v>
      </c>
    </row>
    <row r="10" customFormat="false" ht="15" hidden="false" customHeight="false" outlineLevel="0" collapsed="false">
      <c r="A10" s="3" t="s">
        <v>172</v>
      </c>
      <c r="B10" s="3" t="s">
        <v>152</v>
      </c>
      <c r="C10" s="3" t="s">
        <v>173</v>
      </c>
      <c r="D10" s="3" t="s">
        <v>141</v>
      </c>
      <c r="E10" s="3" t="s">
        <v>159</v>
      </c>
      <c r="F10" s="3" t="s">
        <v>174</v>
      </c>
      <c r="G10" s="3" t="s">
        <v>175</v>
      </c>
    </row>
    <row r="11" customFormat="false" ht="15" hidden="false" customHeight="false" outlineLevel="0" collapsed="false">
      <c r="A11" s="3" t="s">
        <v>176</v>
      </c>
      <c r="B11" s="3" t="s">
        <v>152</v>
      </c>
      <c r="C11" s="3" t="s">
        <v>177</v>
      </c>
      <c r="D11" s="3" t="s">
        <v>141</v>
      </c>
      <c r="E11" s="3" t="s">
        <v>91</v>
      </c>
      <c r="F11" s="3" t="s">
        <v>178</v>
      </c>
      <c r="G11" s="3" t="s">
        <v>179</v>
      </c>
    </row>
    <row r="12" customFormat="false" ht="15" hidden="false" customHeight="false" outlineLevel="0" collapsed="false">
      <c r="A12" s="3" t="s">
        <v>180</v>
      </c>
      <c r="B12" s="3" t="s">
        <v>152</v>
      </c>
      <c r="C12" s="3" t="s">
        <v>181</v>
      </c>
      <c r="D12" s="3" t="s">
        <v>141</v>
      </c>
      <c r="E12" s="3" t="s">
        <v>142</v>
      </c>
      <c r="F12" s="3" t="s">
        <v>182</v>
      </c>
      <c r="G12" s="3" t="s">
        <v>183</v>
      </c>
    </row>
    <row r="13" customFormat="false" ht="15" hidden="false" customHeight="false" outlineLevel="0" collapsed="false">
      <c r="A13" s="3" t="s">
        <v>184</v>
      </c>
      <c r="B13" s="3" t="s">
        <v>152</v>
      </c>
      <c r="C13" s="3" t="s">
        <v>185</v>
      </c>
      <c r="D13" s="3" t="s">
        <v>186</v>
      </c>
      <c r="E13" s="3" t="s">
        <v>159</v>
      </c>
      <c r="F13" s="3" t="s">
        <v>187</v>
      </c>
      <c r="G13" s="3" t="s">
        <v>188</v>
      </c>
    </row>
    <row r="14" customFormat="false" ht="15" hidden="false" customHeight="false" outlineLevel="0" collapsed="false">
      <c r="A14" s="3" t="s">
        <v>189</v>
      </c>
      <c r="B14" s="3" t="s">
        <v>152</v>
      </c>
      <c r="C14" s="3" t="s">
        <v>190</v>
      </c>
      <c r="D14" s="3" t="s">
        <v>141</v>
      </c>
      <c r="E14" s="3" t="s">
        <v>102</v>
      </c>
      <c r="F14" s="3" t="s">
        <v>191</v>
      </c>
      <c r="G14" s="3" t="s">
        <v>192</v>
      </c>
    </row>
    <row r="15" customFormat="false" ht="15" hidden="false" customHeight="false" outlineLevel="0" collapsed="false">
      <c r="A15" s="3" t="s">
        <v>193</v>
      </c>
      <c r="B15" s="3" t="s">
        <v>194</v>
      </c>
      <c r="C15" s="3" t="s">
        <v>195</v>
      </c>
      <c r="D15" s="3" t="s">
        <v>186</v>
      </c>
      <c r="E15" s="3" t="s">
        <v>115</v>
      </c>
      <c r="F15" s="3" t="s">
        <v>155</v>
      </c>
      <c r="G15" s="3" t="s">
        <v>156</v>
      </c>
    </row>
    <row r="16" customFormat="false" ht="15" hidden="false" customHeight="false" outlineLevel="0" collapsed="false">
      <c r="A16" s="3" t="s">
        <v>196</v>
      </c>
      <c r="B16" s="3" t="s">
        <v>194</v>
      </c>
      <c r="C16" s="3" t="s">
        <v>197</v>
      </c>
      <c r="D16" s="3" t="s">
        <v>186</v>
      </c>
      <c r="E16" s="3" t="s">
        <v>142</v>
      </c>
      <c r="F16" s="3" t="s">
        <v>182</v>
      </c>
      <c r="G16" s="3" t="s">
        <v>183</v>
      </c>
    </row>
    <row r="17" customFormat="false" ht="15" hidden="false" customHeight="false" outlineLevel="0" collapsed="false">
      <c r="A17" s="3" t="s">
        <v>198</v>
      </c>
      <c r="B17" s="3" t="s">
        <v>194</v>
      </c>
      <c r="C17" s="3" t="s">
        <v>199</v>
      </c>
      <c r="D17" s="3" t="s">
        <v>141</v>
      </c>
      <c r="E17" s="3" t="s">
        <v>146</v>
      </c>
      <c r="F17" s="3" t="s">
        <v>167</v>
      </c>
      <c r="G1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54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6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208</v>
      </c>
    </row>
    <row r="2" customFormat="false" ht="15" hidden="false" customHeight="false" outlineLevel="0" collapsed="false">
      <c r="A2" s="3" t="n">
        <v>1</v>
      </c>
      <c r="B2" s="3" t="s">
        <v>155</v>
      </c>
      <c r="C2" s="3" t="s">
        <v>147</v>
      </c>
      <c r="D2" s="3" t="s">
        <v>209</v>
      </c>
      <c r="E2" s="3" t="s">
        <v>154</v>
      </c>
      <c r="F2" s="3" t="s">
        <v>141</v>
      </c>
      <c r="G2" s="3" t="n">
        <v>8</v>
      </c>
      <c r="H2" s="3" t="s">
        <v>210</v>
      </c>
      <c r="I2" s="3" t="s">
        <v>211</v>
      </c>
    </row>
    <row r="3" customFormat="false" ht="15" hidden="false" customHeight="false" outlineLevel="0" collapsed="false">
      <c r="A3" s="3" t="n">
        <v>2</v>
      </c>
      <c r="B3" s="3" t="s">
        <v>160</v>
      </c>
      <c r="C3" s="3" t="s">
        <v>147</v>
      </c>
      <c r="D3" s="3" t="s">
        <v>212</v>
      </c>
      <c r="E3" s="3" t="s">
        <v>159</v>
      </c>
      <c r="F3" s="3" t="s">
        <v>141</v>
      </c>
      <c r="G3" s="3" t="n">
        <v>5</v>
      </c>
      <c r="H3" s="3" t="s">
        <v>210</v>
      </c>
      <c r="I3" s="3" t="s">
        <v>211</v>
      </c>
    </row>
    <row r="4" customFormat="false" ht="15" hidden="false" customHeight="false" outlineLevel="0" collapsed="false">
      <c r="A4" s="3" t="n">
        <v>3</v>
      </c>
      <c r="B4" s="3" t="s">
        <v>164</v>
      </c>
      <c r="C4" s="3" t="s">
        <v>213</v>
      </c>
      <c r="D4" s="3" t="s">
        <v>214</v>
      </c>
      <c r="E4" s="3" t="s">
        <v>215</v>
      </c>
      <c r="F4" s="3" t="s">
        <v>141</v>
      </c>
      <c r="G4" s="3" t="n">
        <v>8</v>
      </c>
      <c r="H4" s="3" t="s">
        <v>216</v>
      </c>
      <c r="I4" s="3" t="s">
        <v>211</v>
      </c>
    </row>
    <row r="5" customFormat="false" ht="15" hidden="false" customHeight="false" outlineLevel="0" collapsed="false">
      <c r="A5" s="3" t="n">
        <v>4</v>
      </c>
      <c r="B5" s="3" t="s">
        <v>167</v>
      </c>
      <c r="C5" s="3" t="s">
        <v>213</v>
      </c>
      <c r="D5" s="3" t="s">
        <v>217</v>
      </c>
      <c r="E5" s="3" t="s">
        <v>215</v>
      </c>
      <c r="F5" s="3" t="s">
        <v>141</v>
      </c>
      <c r="G5" s="3" t="n">
        <v>3</v>
      </c>
      <c r="H5" s="3" t="s">
        <v>210</v>
      </c>
      <c r="I5" s="3" t="s">
        <v>211</v>
      </c>
    </row>
    <row r="6" customFormat="false" ht="15" hidden="false" customHeight="false" outlineLevel="0" collapsed="false">
      <c r="A6" s="3" t="n">
        <v>5</v>
      </c>
      <c r="B6" s="3" t="s">
        <v>170</v>
      </c>
      <c r="C6" s="3" t="s">
        <v>218</v>
      </c>
      <c r="D6" s="3" t="s">
        <v>219</v>
      </c>
      <c r="E6" s="3" t="s">
        <v>159</v>
      </c>
      <c r="F6" s="3" t="s">
        <v>141</v>
      </c>
      <c r="G6" s="3" t="n">
        <v>8</v>
      </c>
      <c r="H6" s="3" t="s">
        <v>216</v>
      </c>
      <c r="I6" s="3" t="s">
        <v>211</v>
      </c>
    </row>
    <row r="7" customFormat="false" ht="15" hidden="false" customHeight="false" outlineLevel="0" collapsed="false">
      <c r="A7" s="3" t="n">
        <v>6</v>
      </c>
      <c r="B7" s="3" t="s">
        <v>174</v>
      </c>
      <c r="C7" s="3" t="s">
        <v>218</v>
      </c>
      <c r="D7" s="3" t="s">
        <v>220</v>
      </c>
      <c r="E7" s="3" t="s">
        <v>159</v>
      </c>
      <c r="F7" s="3" t="s">
        <v>141</v>
      </c>
      <c r="G7" s="3" t="n">
        <v>5</v>
      </c>
      <c r="H7" s="3" t="s">
        <v>221</v>
      </c>
      <c r="I7" s="3" t="s">
        <v>211</v>
      </c>
    </row>
    <row r="8" customFormat="false" ht="15" hidden="false" customHeight="false" outlineLevel="0" collapsed="false">
      <c r="A8" s="3" t="n">
        <v>7</v>
      </c>
      <c r="B8" s="3" t="s">
        <v>178</v>
      </c>
      <c r="C8" s="3" t="s">
        <v>218</v>
      </c>
      <c r="D8" s="3" t="s">
        <v>222</v>
      </c>
      <c r="E8" s="3" t="s">
        <v>91</v>
      </c>
      <c r="F8" s="3" t="s">
        <v>141</v>
      </c>
      <c r="G8" s="3" t="n">
        <v>5</v>
      </c>
      <c r="H8" s="3" t="s">
        <v>221</v>
      </c>
      <c r="I8" s="3" t="s">
        <v>211</v>
      </c>
    </row>
    <row r="9" customFormat="false" ht="15" hidden="false" customHeight="false" outlineLevel="0" collapsed="false">
      <c r="A9" s="3" t="n">
        <v>8</v>
      </c>
      <c r="B9" s="3" t="s">
        <v>182</v>
      </c>
      <c r="C9" s="3" t="s">
        <v>150</v>
      </c>
      <c r="D9" s="3" t="s">
        <v>223</v>
      </c>
      <c r="E9" s="3" t="s">
        <v>224</v>
      </c>
      <c r="F9" s="3" t="s">
        <v>141</v>
      </c>
      <c r="G9" s="3" t="n">
        <v>8</v>
      </c>
      <c r="H9" s="3" t="s">
        <v>225</v>
      </c>
      <c r="I9" s="3" t="s">
        <v>211</v>
      </c>
    </row>
    <row r="10" customFormat="false" ht="15" hidden="false" customHeight="false" outlineLevel="0" collapsed="false">
      <c r="A10" s="3" t="n">
        <v>9</v>
      </c>
      <c r="B10" s="3" t="s">
        <v>187</v>
      </c>
      <c r="C10" s="3" t="s">
        <v>150</v>
      </c>
      <c r="D10" s="3" t="s">
        <v>226</v>
      </c>
      <c r="E10" s="3" t="s">
        <v>159</v>
      </c>
      <c r="F10" s="3" t="s">
        <v>186</v>
      </c>
      <c r="G10" s="3" t="n">
        <v>5</v>
      </c>
      <c r="H10" s="3" t="s">
        <v>221</v>
      </c>
      <c r="I10" s="3" t="s">
        <v>211</v>
      </c>
    </row>
    <row r="11" customFormat="false" ht="15" hidden="false" customHeight="false" outlineLevel="0" collapsed="false">
      <c r="A11" s="3" t="n">
        <v>10</v>
      </c>
      <c r="B11" s="3" t="s">
        <v>191</v>
      </c>
      <c r="C11" s="3" t="s">
        <v>150</v>
      </c>
      <c r="D11" s="3" t="s">
        <v>227</v>
      </c>
      <c r="E11" s="3" t="s">
        <v>102</v>
      </c>
      <c r="F11" s="3" t="s">
        <v>141</v>
      </c>
      <c r="G11" s="3" t="n">
        <v>5</v>
      </c>
      <c r="H11" s="3" t="s">
        <v>225</v>
      </c>
      <c r="I11" s="3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6" min="4" style="0" width="13"/>
    <col collapsed="false" customWidth="true" hidden="false" outlineLevel="0" max="7" min="7" style="0" width="56"/>
  </cols>
  <sheetData>
    <row r="1" customFormat="false" ht="15" hidden="false" customHeight="false" outlineLevel="0" collapsed="false">
      <c r="A1" s="1" t="s">
        <v>228</v>
      </c>
    </row>
    <row r="3" customFormat="false" ht="15" hidden="false" customHeight="false" outlineLevel="0" collapsed="false">
      <c r="A3" s="2" t="s">
        <v>207</v>
      </c>
      <c r="B3" s="2" t="s">
        <v>229</v>
      </c>
      <c r="C3" s="2" t="s">
        <v>230</v>
      </c>
      <c r="D3" s="2" t="s">
        <v>231</v>
      </c>
      <c r="E3" s="2" t="s">
        <v>232</v>
      </c>
      <c r="F3" s="2" t="s">
        <v>233</v>
      </c>
      <c r="G3" s="2" t="s">
        <v>234</v>
      </c>
    </row>
    <row r="4" customFormat="false" ht="15" hidden="false" customHeight="false" outlineLevel="0" collapsed="false">
      <c r="A4" s="3" t="s">
        <v>235</v>
      </c>
      <c r="B4" s="3" t="s">
        <v>236</v>
      </c>
      <c r="C4" s="3" t="s">
        <v>237</v>
      </c>
      <c r="D4" s="3" t="n">
        <v>0</v>
      </c>
      <c r="E4" s="3" t="n">
        <v>0</v>
      </c>
      <c r="F4" s="4" t="str">
        <f aca="false">IF(D4=0,"n/a",E4/D4)</f>
        <v>n/a</v>
      </c>
      <c r="G4" s="3" t="s">
        <v>238</v>
      </c>
    </row>
    <row r="5" customFormat="false" ht="15" hidden="false" customHeight="false" outlineLevel="0" collapsed="false">
      <c r="A5" s="3" t="s">
        <v>210</v>
      </c>
      <c r="B5" s="3" t="s">
        <v>239</v>
      </c>
      <c r="C5" s="3" t="s">
        <v>240</v>
      </c>
      <c r="D5" s="3" t="n">
        <v>16</v>
      </c>
      <c r="E5" s="3" t="n">
        <v>16</v>
      </c>
      <c r="F5" s="4" t="n">
        <f aca="false">IF(D5=0,"n/a",E5/D5)</f>
        <v>1</v>
      </c>
      <c r="G5" s="3" t="s">
        <v>241</v>
      </c>
    </row>
    <row r="6" customFormat="false" ht="15" hidden="false" customHeight="false" outlineLevel="0" collapsed="false">
      <c r="A6" s="3" t="s">
        <v>216</v>
      </c>
      <c r="B6" s="3" t="s">
        <v>242</v>
      </c>
      <c r="C6" s="3" t="s">
        <v>243</v>
      </c>
      <c r="D6" s="3" t="n">
        <v>16</v>
      </c>
      <c r="E6" s="3" t="n">
        <v>16</v>
      </c>
      <c r="F6" s="4" t="n">
        <f aca="false">IF(D6=0,"n/a",E6/D6)</f>
        <v>1</v>
      </c>
      <c r="G6" s="3" t="s">
        <v>244</v>
      </c>
    </row>
    <row r="7" customFormat="false" ht="15" hidden="false" customHeight="false" outlineLevel="0" collapsed="false">
      <c r="A7" s="3" t="s">
        <v>221</v>
      </c>
      <c r="B7" s="3" t="s">
        <v>245</v>
      </c>
      <c r="C7" s="3" t="s">
        <v>246</v>
      </c>
      <c r="D7" s="3" t="n">
        <v>15</v>
      </c>
      <c r="E7" s="3" t="n">
        <v>15</v>
      </c>
      <c r="F7" s="4" t="n">
        <f aca="false">IF(D7=0,"n/a",E7/D7)</f>
        <v>1</v>
      </c>
      <c r="G7" s="3" t="s">
        <v>247</v>
      </c>
    </row>
    <row r="8" customFormat="false" ht="15" hidden="false" customHeight="false" outlineLevel="0" collapsed="false">
      <c r="A8" s="3" t="s">
        <v>225</v>
      </c>
      <c r="B8" s="3" t="s">
        <v>248</v>
      </c>
      <c r="C8" s="3" t="s">
        <v>249</v>
      </c>
      <c r="D8" s="3" t="n">
        <v>13</v>
      </c>
      <c r="E8" s="3" t="n">
        <v>13</v>
      </c>
      <c r="F8" s="4" t="n">
        <f aca="false">IF(D8=0,"n/a",E8/D8)</f>
        <v>1</v>
      </c>
      <c r="G8" s="3" t="s">
        <v>250</v>
      </c>
    </row>
    <row r="10" customFormat="false" ht="15" hidden="false" customHeight="false" outlineLevel="0" collapsed="false">
      <c r="A10" s="0" t="s">
        <v>251</v>
      </c>
      <c r="E10" s="0" t="n">
        <f aca="false">AVERAGE(E5:E8)</f>
        <v>15</v>
      </c>
    </row>
    <row r="11" customFormat="false" ht="15" hidden="false" customHeight="false" outlineLevel="0" collapsed="false">
      <c r="A11" s="0" t="s">
        <v>252</v>
      </c>
      <c r="E11" s="0" t="n">
        <f aca="false">SUM(E4:E8)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10" min="9" style="0" width="12"/>
  </cols>
  <sheetData>
    <row r="1" customFormat="false" ht="23.85" hidden="false" customHeight="false" outlineLevel="0" collapsed="false">
      <c r="A1" s="2" t="s">
        <v>58</v>
      </c>
      <c r="B1" s="2" t="s">
        <v>132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  <c r="H1" s="2" t="s">
        <v>258</v>
      </c>
      <c r="I1" s="2" t="s">
        <v>208</v>
      </c>
      <c r="J1" s="2" t="s">
        <v>259</v>
      </c>
    </row>
    <row r="2" customFormat="false" ht="15" hidden="false" customHeight="false" outlineLevel="0" collapsed="false">
      <c r="A2" s="3" t="s">
        <v>260</v>
      </c>
      <c r="B2" s="3" t="s">
        <v>261</v>
      </c>
      <c r="C2" s="3" t="s">
        <v>262</v>
      </c>
      <c r="D2" s="3" t="n">
        <v>4</v>
      </c>
      <c r="E2" s="3" t="n">
        <v>4</v>
      </c>
      <c r="F2" s="3" t="n">
        <f aca="false">D2*E2</f>
        <v>16</v>
      </c>
      <c r="G2" s="3" t="s">
        <v>96</v>
      </c>
      <c r="H2" s="3" t="s">
        <v>263</v>
      </c>
      <c r="I2" s="3" t="s">
        <v>264</v>
      </c>
      <c r="J2" s="3" t="s">
        <v>265</v>
      </c>
    </row>
    <row r="3" customFormat="false" ht="22.35" hidden="false" customHeight="false" outlineLevel="0" collapsed="false">
      <c r="A3" s="3" t="s">
        <v>266</v>
      </c>
      <c r="B3" s="3" t="s">
        <v>261</v>
      </c>
      <c r="C3" s="3" t="s">
        <v>267</v>
      </c>
      <c r="D3" s="3" t="n">
        <v>5</v>
      </c>
      <c r="E3" s="3" t="n">
        <v>4</v>
      </c>
      <c r="F3" s="3" t="n">
        <f aca="false">D3*E3</f>
        <v>20</v>
      </c>
      <c r="G3" s="3" t="s">
        <v>107</v>
      </c>
      <c r="H3" s="3" t="s">
        <v>268</v>
      </c>
      <c r="I3" s="3" t="s">
        <v>269</v>
      </c>
      <c r="J3" s="3" t="s">
        <v>270</v>
      </c>
    </row>
    <row r="4" customFormat="false" ht="15" hidden="false" customHeight="false" outlineLevel="0" collapsed="false">
      <c r="A4" s="3" t="s">
        <v>271</v>
      </c>
      <c r="B4" s="3" t="s">
        <v>261</v>
      </c>
      <c r="C4" s="3" t="s">
        <v>272</v>
      </c>
      <c r="D4" s="3" t="n">
        <v>3</v>
      </c>
      <c r="E4" s="3" t="n">
        <v>3</v>
      </c>
      <c r="F4" s="3" t="n">
        <f aca="false">D4*E4</f>
        <v>9</v>
      </c>
      <c r="G4" s="3" t="s">
        <v>96</v>
      </c>
      <c r="H4" s="3" t="s">
        <v>273</v>
      </c>
      <c r="I4" s="3" t="s">
        <v>264</v>
      </c>
      <c r="J4" s="3" t="s">
        <v>274</v>
      </c>
    </row>
    <row r="5" customFormat="false" ht="15" hidden="false" customHeight="false" outlineLevel="0" collapsed="false">
      <c r="A5" s="3" t="s">
        <v>275</v>
      </c>
      <c r="B5" s="3" t="s">
        <v>261</v>
      </c>
      <c r="C5" s="3" t="s">
        <v>276</v>
      </c>
      <c r="D5" s="3" t="n">
        <v>3</v>
      </c>
      <c r="E5" s="3" t="n">
        <v>3</v>
      </c>
      <c r="F5" s="3" t="n">
        <f aca="false">D5*E5</f>
        <v>9</v>
      </c>
      <c r="G5" s="3" t="s">
        <v>96</v>
      </c>
      <c r="H5" s="3" t="s">
        <v>277</v>
      </c>
      <c r="I5" s="3" t="s">
        <v>278</v>
      </c>
      <c r="J5" s="3" t="s">
        <v>279</v>
      </c>
    </row>
    <row r="6" customFormat="false" ht="15" hidden="false" customHeight="false" outlineLevel="0" collapsed="false">
      <c r="A6" s="3" t="s">
        <v>280</v>
      </c>
      <c r="B6" s="3" t="s">
        <v>281</v>
      </c>
      <c r="C6" s="3" t="s">
        <v>282</v>
      </c>
      <c r="D6" s="3" t="n">
        <v>3</v>
      </c>
      <c r="E6" s="3" t="n">
        <v>5</v>
      </c>
      <c r="F6" s="3" t="n">
        <f aca="false">D6*E6</f>
        <v>15</v>
      </c>
      <c r="G6" s="3" t="s">
        <v>107</v>
      </c>
      <c r="H6" s="3" t="s">
        <v>283</v>
      </c>
      <c r="I6" s="3" t="s">
        <v>269</v>
      </c>
      <c r="J6" s="3" t="s">
        <v>284</v>
      </c>
    </row>
    <row r="7" customFormat="false" ht="15" hidden="false" customHeight="false" outlineLevel="0" collapsed="false">
      <c r="A7" s="3" t="s">
        <v>285</v>
      </c>
      <c r="B7" s="3" t="s">
        <v>281</v>
      </c>
      <c r="C7" s="3" t="s">
        <v>286</v>
      </c>
      <c r="D7" s="3" t="n">
        <v>2</v>
      </c>
      <c r="E7" s="3" t="n">
        <v>5</v>
      </c>
      <c r="F7" s="3" t="n">
        <f aca="false">D7*E7</f>
        <v>10</v>
      </c>
      <c r="G7" s="3" t="s">
        <v>107</v>
      </c>
      <c r="H7" s="3" t="s">
        <v>287</v>
      </c>
      <c r="I7" s="3" t="s">
        <v>269</v>
      </c>
      <c r="J7" s="3" t="s">
        <v>245</v>
      </c>
    </row>
    <row r="8" customFormat="false" ht="15" hidden="false" customHeight="false" outlineLevel="0" collapsed="false">
      <c r="A8" s="3" t="s">
        <v>288</v>
      </c>
      <c r="B8" s="3" t="s">
        <v>289</v>
      </c>
      <c r="C8" s="3" t="s">
        <v>290</v>
      </c>
      <c r="D8" s="3" t="n">
        <v>4</v>
      </c>
      <c r="E8" s="3" t="n">
        <v>2</v>
      </c>
      <c r="F8" s="3" t="n">
        <f aca="false">D8*E8</f>
        <v>8</v>
      </c>
      <c r="G8" s="3" t="s">
        <v>74</v>
      </c>
      <c r="H8" s="3" t="s">
        <v>291</v>
      </c>
      <c r="I8" s="3" t="s">
        <v>292</v>
      </c>
      <c r="J8" s="3" t="s">
        <v>265</v>
      </c>
    </row>
    <row r="9" customFormat="false" ht="15" hidden="false" customHeight="false" outlineLevel="0" collapsed="false">
      <c r="A9" s="3" t="s">
        <v>293</v>
      </c>
      <c r="B9" s="3" t="s">
        <v>294</v>
      </c>
      <c r="C9" s="3" t="s">
        <v>295</v>
      </c>
      <c r="D9" s="3" t="n">
        <v>4</v>
      </c>
      <c r="E9" s="3" t="n">
        <v>2</v>
      </c>
      <c r="F9" s="3" t="n">
        <f aca="false">D9*E9</f>
        <v>8</v>
      </c>
      <c r="G9" s="3" t="s">
        <v>96</v>
      </c>
      <c r="H9" s="3" t="s">
        <v>296</v>
      </c>
      <c r="I9" s="3" t="s">
        <v>269</v>
      </c>
      <c r="J9" s="3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2" t="s">
        <v>297</v>
      </c>
      <c r="B1" s="2" t="s">
        <v>298</v>
      </c>
      <c r="C1" s="2" t="s">
        <v>299</v>
      </c>
      <c r="D1" s="2" t="s">
        <v>300</v>
      </c>
      <c r="E1" s="2" t="s">
        <v>301</v>
      </c>
      <c r="F1" s="2" t="s">
        <v>302</v>
      </c>
      <c r="G1" s="2" t="s">
        <v>303</v>
      </c>
      <c r="H1" s="2" t="s">
        <v>208</v>
      </c>
    </row>
    <row r="2" customFormat="false" ht="15" hidden="false" customHeight="false" outlineLevel="0" collapsed="false">
      <c r="A2" s="3" t="s">
        <v>304</v>
      </c>
      <c r="B2" s="3" t="s">
        <v>305</v>
      </c>
      <c r="C2" s="3" t="s">
        <v>90</v>
      </c>
      <c r="D2" s="3" t="s">
        <v>306</v>
      </c>
      <c r="E2" s="3" t="s">
        <v>307</v>
      </c>
      <c r="F2" s="3" t="s">
        <v>308</v>
      </c>
      <c r="G2" s="3" t="s">
        <v>309</v>
      </c>
      <c r="H2" s="3" t="s">
        <v>310</v>
      </c>
    </row>
    <row r="3" customFormat="false" ht="15" hidden="false" customHeight="false" outlineLevel="0" collapsed="false">
      <c r="A3" s="3" t="s">
        <v>311</v>
      </c>
      <c r="B3" s="3" t="s">
        <v>312</v>
      </c>
      <c r="C3" s="3" t="s">
        <v>67</v>
      </c>
      <c r="D3" s="3" t="s">
        <v>313</v>
      </c>
      <c r="E3" s="3" t="s">
        <v>314</v>
      </c>
      <c r="F3" s="3" t="s">
        <v>315</v>
      </c>
      <c r="G3" s="3" t="s">
        <v>146</v>
      </c>
      <c r="H3" s="3" t="s">
        <v>269</v>
      </c>
    </row>
    <row r="4" customFormat="false" ht="15" hidden="false" customHeight="false" outlineLevel="0" collapsed="false">
      <c r="A4" s="3" t="s">
        <v>316</v>
      </c>
      <c r="B4" s="3" t="s">
        <v>317</v>
      </c>
      <c r="C4" s="3" t="s">
        <v>74</v>
      </c>
      <c r="D4" s="3" t="s">
        <v>318</v>
      </c>
      <c r="E4" s="3" t="s">
        <v>319</v>
      </c>
      <c r="F4" s="3" t="s">
        <v>308</v>
      </c>
      <c r="G4" s="3" t="s">
        <v>146</v>
      </c>
      <c r="H4" s="3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" t="s">
        <v>321</v>
      </c>
      <c r="B1" s="2" t="s">
        <v>203</v>
      </c>
      <c r="C1" s="2" t="s">
        <v>322</v>
      </c>
      <c r="D1" s="2" t="s">
        <v>132</v>
      </c>
      <c r="E1" s="2" t="s">
        <v>323</v>
      </c>
      <c r="F1" s="2" t="s">
        <v>324</v>
      </c>
      <c r="G1" s="2" t="s">
        <v>298</v>
      </c>
    </row>
    <row r="2" customFormat="false" ht="15" hidden="false" customHeight="false" outlineLevel="0" collapsed="false">
      <c r="A2" s="3" t="s">
        <v>156</v>
      </c>
      <c r="B2" s="3" t="s">
        <v>155</v>
      </c>
      <c r="C2" s="3" t="s">
        <v>325</v>
      </c>
      <c r="D2" s="3" t="s">
        <v>152</v>
      </c>
      <c r="E2" s="3" t="s">
        <v>74</v>
      </c>
      <c r="F2" s="3" t="s">
        <v>326</v>
      </c>
      <c r="G2" s="3" t="s">
        <v>327</v>
      </c>
    </row>
    <row r="3" customFormat="false" ht="15" hidden="false" customHeight="false" outlineLevel="0" collapsed="false">
      <c r="A3" s="3" t="s">
        <v>161</v>
      </c>
      <c r="B3" s="3" t="s">
        <v>160</v>
      </c>
      <c r="C3" s="3" t="s">
        <v>328</v>
      </c>
      <c r="D3" s="3" t="s">
        <v>152</v>
      </c>
      <c r="E3" s="3" t="s">
        <v>74</v>
      </c>
      <c r="F3" s="3" t="s">
        <v>326</v>
      </c>
      <c r="G3" s="3" t="s">
        <v>327</v>
      </c>
    </row>
    <row r="4" customFormat="false" ht="15" hidden="false" customHeight="false" outlineLevel="0" collapsed="false">
      <c r="A4" s="3" t="s">
        <v>329</v>
      </c>
      <c r="B4" s="3" t="s">
        <v>170</v>
      </c>
      <c r="C4" s="3" t="s">
        <v>330</v>
      </c>
      <c r="D4" s="3" t="s">
        <v>152</v>
      </c>
      <c r="E4" s="3" t="s">
        <v>96</v>
      </c>
      <c r="F4" s="3" t="s">
        <v>326</v>
      </c>
      <c r="G4" s="3" t="s">
        <v>331</v>
      </c>
    </row>
    <row r="5" customFormat="false" ht="15" hidden="false" customHeight="false" outlineLevel="0" collapsed="false">
      <c r="A5" s="3" t="s">
        <v>332</v>
      </c>
      <c r="B5" s="3" t="s">
        <v>170</v>
      </c>
      <c r="C5" s="3" t="s">
        <v>333</v>
      </c>
      <c r="D5" s="3" t="s">
        <v>152</v>
      </c>
      <c r="E5" s="3" t="s">
        <v>79</v>
      </c>
      <c r="F5" s="3" t="s">
        <v>326</v>
      </c>
      <c r="G5" s="3" t="s">
        <v>331</v>
      </c>
    </row>
    <row r="6" customFormat="false" ht="15" hidden="false" customHeight="false" outlineLevel="0" collapsed="false">
      <c r="A6" s="3" t="s">
        <v>334</v>
      </c>
      <c r="B6" s="3" t="s">
        <v>174</v>
      </c>
      <c r="C6" s="3" t="s">
        <v>335</v>
      </c>
      <c r="D6" s="3" t="s">
        <v>152</v>
      </c>
      <c r="E6" s="3" t="s">
        <v>86</v>
      </c>
      <c r="F6" s="3" t="s">
        <v>336</v>
      </c>
      <c r="G6" s="3" t="s">
        <v>337</v>
      </c>
    </row>
    <row r="7" customFormat="false" ht="15" hidden="false" customHeight="false" outlineLevel="0" collapsed="false">
      <c r="A7" s="3" t="s">
        <v>338</v>
      </c>
      <c r="B7" s="3" t="s">
        <v>174</v>
      </c>
      <c r="C7" s="3" t="s">
        <v>339</v>
      </c>
      <c r="D7" s="3" t="s">
        <v>340</v>
      </c>
      <c r="E7" s="3" t="s">
        <v>86</v>
      </c>
      <c r="F7" s="3" t="s">
        <v>326</v>
      </c>
      <c r="G7" s="3" t="s">
        <v>341</v>
      </c>
    </row>
    <row r="8" customFormat="false" ht="15" hidden="false" customHeight="false" outlineLevel="0" collapsed="false">
      <c r="A8" s="3" t="s">
        <v>179</v>
      </c>
      <c r="B8" s="3" t="s">
        <v>178</v>
      </c>
      <c r="C8" s="3" t="s">
        <v>342</v>
      </c>
      <c r="D8" s="3" t="s">
        <v>152</v>
      </c>
      <c r="E8" s="3" t="s">
        <v>90</v>
      </c>
      <c r="F8" s="3" t="s">
        <v>326</v>
      </c>
      <c r="G8" s="3" t="s">
        <v>337</v>
      </c>
    </row>
    <row r="9" customFormat="false" ht="15" hidden="false" customHeight="false" outlineLevel="0" collapsed="false">
      <c r="A9" s="3" t="s">
        <v>183</v>
      </c>
      <c r="B9" s="3" t="s">
        <v>182</v>
      </c>
      <c r="C9" s="3" t="s">
        <v>343</v>
      </c>
      <c r="D9" s="3" t="s">
        <v>152</v>
      </c>
      <c r="E9" s="3" t="s">
        <v>67</v>
      </c>
      <c r="F9" s="3" t="s">
        <v>326</v>
      </c>
      <c r="G9" s="3" t="s">
        <v>344</v>
      </c>
    </row>
    <row r="10" customFormat="false" ht="15" hidden="false" customHeight="false" outlineLevel="0" collapsed="false">
      <c r="A10" s="3" t="s">
        <v>192</v>
      </c>
      <c r="B10" s="3" t="s">
        <v>191</v>
      </c>
      <c r="C10" s="3" t="s">
        <v>345</v>
      </c>
      <c r="D10" s="3" t="s">
        <v>346</v>
      </c>
      <c r="E10" s="3" t="s">
        <v>101</v>
      </c>
      <c r="F10" s="3" t="s">
        <v>326</v>
      </c>
      <c r="G10" s="3" t="s">
        <v>344</v>
      </c>
    </row>
    <row r="11" customFormat="false" ht="15" hidden="false" customHeight="false" outlineLevel="0" collapsed="false">
      <c r="A11" s="3" t="s">
        <v>188</v>
      </c>
      <c r="B11" s="3" t="s">
        <v>187</v>
      </c>
      <c r="C11" s="3" t="s">
        <v>347</v>
      </c>
      <c r="D11" s="3" t="s">
        <v>152</v>
      </c>
      <c r="E11" s="3" t="s">
        <v>86</v>
      </c>
      <c r="F11" s="3" t="s">
        <v>326</v>
      </c>
      <c r="G11" s="3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4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2" t="s">
        <v>58</v>
      </c>
      <c r="B1" s="2" t="s">
        <v>349</v>
      </c>
      <c r="C1" s="2" t="s">
        <v>350</v>
      </c>
      <c r="D1" s="2" t="s">
        <v>134</v>
      </c>
      <c r="E1" s="2" t="s">
        <v>351</v>
      </c>
      <c r="F1" s="2" t="s">
        <v>203</v>
      </c>
      <c r="G1" s="2" t="s">
        <v>208</v>
      </c>
      <c r="H1" s="2" t="s">
        <v>352</v>
      </c>
      <c r="I1" s="2" t="s">
        <v>353</v>
      </c>
      <c r="J1" s="2" t="s">
        <v>354</v>
      </c>
    </row>
    <row r="2" customFormat="false" ht="15" hidden="false" customHeight="false" outlineLevel="0" collapsed="false">
      <c r="A2" s="3" t="s">
        <v>355</v>
      </c>
      <c r="B2" s="3" t="s">
        <v>356</v>
      </c>
      <c r="C2" s="3" t="s">
        <v>357</v>
      </c>
      <c r="D2" s="3" t="s">
        <v>358</v>
      </c>
      <c r="E2" s="3" t="s">
        <v>359</v>
      </c>
      <c r="F2" s="3" t="s">
        <v>155</v>
      </c>
      <c r="G2" s="3" t="s">
        <v>269</v>
      </c>
      <c r="H2" s="3" t="s">
        <v>360</v>
      </c>
      <c r="I2" s="3" t="s">
        <v>284</v>
      </c>
      <c r="J2" s="3" t="s">
        <v>361</v>
      </c>
    </row>
    <row r="3" customFormat="false" ht="15" hidden="false" customHeight="false" outlineLevel="0" collapsed="false">
      <c r="A3" s="3" t="s">
        <v>362</v>
      </c>
      <c r="B3" s="3" t="s">
        <v>363</v>
      </c>
      <c r="C3" s="3" t="s">
        <v>357</v>
      </c>
      <c r="D3" s="3" t="s">
        <v>364</v>
      </c>
      <c r="E3" s="3" t="s">
        <v>359</v>
      </c>
      <c r="F3" s="3" t="s">
        <v>160</v>
      </c>
      <c r="G3" s="3" t="s">
        <v>269</v>
      </c>
      <c r="H3" s="3" t="s">
        <v>284</v>
      </c>
      <c r="I3" s="3" t="s">
        <v>365</v>
      </c>
      <c r="J3" s="3" t="s">
        <v>366</v>
      </c>
    </row>
    <row r="4" customFormat="false" ht="15" hidden="false" customHeight="false" outlineLevel="0" collapsed="false">
      <c r="A4" s="3" t="s">
        <v>367</v>
      </c>
      <c r="B4" s="3" t="s">
        <v>368</v>
      </c>
      <c r="C4" s="3" t="s">
        <v>369</v>
      </c>
      <c r="D4" s="3" t="s">
        <v>358</v>
      </c>
      <c r="E4" s="3" t="s">
        <v>359</v>
      </c>
      <c r="F4" s="3" t="s">
        <v>170</v>
      </c>
      <c r="G4" s="3" t="s">
        <v>269</v>
      </c>
      <c r="H4" s="3" t="s">
        <v>370</v>
      </c>
      <c r="I4" s="3" t="s">
        <v>371</v>
      </c>
      <c r="J4" s="3" t="s">
        <v>372</v>
      </c>
    </row>
    <row r="5" customFormat="false" ht="15" hidden="false" customHeight="false" outlineLevel="0" collapsed="false">
      <c r="A5" s="3" t="s">
        <v>373</v>
      </c>
      <c r="B5" s="3" t="s">
        <v>374</v>
      </c>
      <c r="C5" s="3" t="s">
        <v>357</v>
      </c>
      <c r="D5" s="3" t="s">
        <v>358</v>
      </c>
      <c r="E5" s="3" t="s">
        <v>359</v>
      </c>
      <c r="F5" s="3" t="s">
        <v>170</v>
      </c>
      <c r="G5" s="3" t="s">
        <v>269</v>
      </c>
      <c r="H5" s="3" t="s">
        <v>371</v>
      </c>
      <c r="I5" s="3" t="s">
        <v>375</v>
      </c>
      <c r="J5" s="3" t="s">
        <v>376</v>
      </c>
    </row>
    <row r="6" customFormat="false" ht="15" hidden="false" customHeight="false" outlineLevel="0" collapsed="false">
      <c r="A6" s="3" t="s">
        <v>377</v>
      </c>
      <c r="B6" s="3" t="s">
        <v>378</v>
      </c>
      <c r="C6" s="3" t="s">
        <v>379</v>
      </c>
      <c r="D6" s="3" t="s">
        <v>380</v>
      </c>
      <c r="E6" s="3" t="s">
        <v>359</v>
      </c>
      <c r="F6" s="3" t="s">
        <v>178</v>
      </c>
      <c r="G6" s="3" t="s">
        <v>269</v>
      </c>
      <c r="H6" s="3" t="s">
        <v>245</v>
      </c>
      <c r="I6" s="3" t="s">
        <v>312</v>
      </c>
      <c r="J6" s="3" t="s">
        <v>381</v>
      </c>
    </row>
    <row r="7" customFormat="false" ht="15" hidden="false" customHeight="false" outlineLevel="0" collapsed="false">
      <c r="A7" s="3" t="s">
        <v>382</v>
      </c>
      <c r="B7" s="3" t="s">
        <v>383</v>
      </c>
      <c r="C7" s="3" t="s">
        <v>379</v>
      </c>
      <c r="D7" s="3" t="s">
        <v>364</v>
      </c>
      <c r="E7" s="3" t="s">
        <v>15</v>
      </c>
      <c r="F7" s="3" t="s">
        <v>174</v>
      </c>
      <c r="G7" s="3" t="s">
        <v>269</v>
      </c>
      <c r="H7" s="3" t="s">
        <v>337</v>
      </c>
      <c r="I7" s="3" t="s">
        <v>341</v>
      </c>
      <c r="J7" s="3" t="s">
        <v>384</v>
      </c>
    </row>
    <row r="8" customFormat="false" ht="15" hidden="false" customHeight="false" outlineLevel="0" collapsed="false">
      <c r="A8" s="3" t="s">
        <v>385</v>
      </c>
      <c r="B8" s="3" t="s">
        <v>386</v>
      </c>
      <c r="C8" s="3" t="s">
        <v>357</v>
      </c>
      <c r="D8" s="3" t="s">
        <v>364</v>
      </c>
      <c r="E8" s="3" t="s">
        <v>359</v>
      </c>
      <c r="F8" s="3" t="s">
        <v>191</v>
      </c>
      <c r="G8" s="3" t="s">
        <v>269</v>
      </c>
      <c r="H8" s="3" t="s">
        <v>387</v>
      </c>
      <c r="I8" s="3" t="s">
        <v>388</v>
      </c>
      <c r="J8" s="3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2" t="s">
        <v>350</v>
      </c>
      <c r="B1" s="2" t="s">
        <v>21</v>
      </c>
      <c r="C1" s="2" t="s">
        <v>390</v>
      </c>
      <c r="D1" s="2" t="s">
        <v>258</v>
      </c>
      <c r="E1" s="2" t="s">
        <v>391</v>
      </c>
    </row>
    <row r="2" customFormat="false" ht="15" hidden="false" customHeight="false" outlineLevel="0" collapsed="false">
      <c r="A2" s="3" t="s">
        <v>392</v>
      </c>
      <c r="B2" s="3" t="s">
        <v>393</v>
      </c>
      <c r="C2" s="3" t="s">
        <v>394</v>
      </c>
      <c r="D2" s="3" t="s">
        <v>395</v>
      </c>
      <c r="E2" s="3" t="s">
        <v>396</v>
      </c>
    </row>
    <row r="3" customFormat="false" ht="15" hidden="false" customHeight="false" outlineLevel="0" collapsed="false">
      <c r="A3" s="3" t="s">
        <v>397</v>
      </c>
      <c r="B3" s="3" t="s">
        <v>398</v>
      </c>
      <c r="C3" s="3" t="s">
        <v>399</v>
      </c>
      <c r="D3" s="3" t="s">
        <v>396</v>
      </c>
      <c r="E3" s="3" t="s">
        <v>400</v>
      </c>
    </row>
    <row r="4" customFormat="false" ht="15" hidden="false" customHeight="false" outlineLevel="0" collapsed="false">
      <c r="A4" s="3" t="s">
        <v>401</v>
      </c>
      <c r="B4" s="3" t="s">
        <v>402</v>
      </c>
      <c r="C4" s="3" t="s">
        <v>403</v>
      </c>
      <c r="D4" s="3" t="s">
        <v>400</v>
      </c>
      <c r="E4" s="3" t="s">
        <v>404</v>
      </c>
    </row>
    <row r="5" customFormat="false" ht="15" hidden="false" customHeight="false" outlineLevel="0" collapsed="false">
      <c r="A5" s="3" t="s">
        <v>405</v>
      </c>
      <c r="B5" s="3" t="s">
        <v>406</v>
      </c>
      <c r="C5" s="3" t="s">
        <v>407</v>
      </c>
      <c r="D5" s="3" t="s">
        <v>408</v>
      </c>
      <c r="E5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409</v>
      </c>
    </row>
    <row r="3" customFormat="false" ht="15" hidden="false" customHeight="false" outlineLevel="0" collapsed="false">
      <c r="A3" s="2" t="s">
        <v>410</v>
      </c>
      <c r="B3" s="2" t="s">
        <v>411</v>
      </c>
      <c r="C3" s="2" t="s">
        <v>412</v>
      </c>
    </row>
    <row r="4" customFormat="false" ht="15" hidden="false" customHeight="false" outlineLevel="0" collapsed="false">
      <c r="A4" s="3" t="s">
        <v>413</v>
      </c>
      <c r="B4" s="3" t="n">
        <v>43</v>
      </c>
      <c r="C4" s="5" t="n">
        <f aca="false">B4/2238</f>
        <v>0.0192135835567471</v>
      </c>
    </row>
    <row r="5" customFormat="false" ht="15" hidden="false" customHeight="false" outlineLevel="0" collapsed="false">
      <c r="A5" s="3" t="s">
        <v>414</v>
      </c>
      <c r="B5" s="3" t="n">
        <v>33</v>
      </c>
      <c r="C5" s="5" t="n">
        <f aca="false">B5/2238</f>
        <v>0.014745308310992</v>
      </c>
    </row>
    <row r="6" customFormat="false" ht="15" hidden="false" customHeight="false" outlineLevel="0" collapsed="false">
      <c r="A6" s="3" t="s">
        <v>415</v>
      </c>
      <c r="B6" s="3" t="n">
        <v>30</v>
      </c>
      <c r="C6" s="5" t="n">
        <f aca="false">B6/2238</f>
        <v>0.0134048257372654</v>
      </c>
    </row>
    <row r="7" customFormat="false" ht="15" hidden="false" customHeight="false" outlineLevel="0" collapsed="false">
      <c r="A7" s="3" t="s">
        <v>416</v>
      </c>
      <c r="B7" s="3" t="n">
        <v>21</v>
      </c>
      <c r="C7" s="5" t="n">
        <f aca="false">B7/2238</f>
        <v>0.00938337801608579</v>
      </c>
    </row>
    <row r="8" customFormat="false" ht="15" hidden="false" customHeight="false" outlineLevel="0" collapsed="false">
      <c r="A8" s="3" t="s">
        <v>417</v>
      </c>
      <c r="B8" s="3" t="n">
        <v>16</v>
      </c>
      <c r="C8" s="5" t="n">
        <f aca="false">B8/2238</f>
        <v>0.00714924039320822</v>
      </c>
    </row>
    <row r="9" customFormat="false" ht="15" hidden="false" customHeight="false" outlineLevel="0" collapsed="false">
      <c r="A9" s="3" t="s">
        <v>418</v>
      </c>
      <c r="B9" s="3" t="n">
        <v>14</v>
      </c>
      <c r="C9" s="5" t="n">
        <f aca="false">B9/2238</f>
        <v>0.00625558534405719</v>
      </c>
    </row>
    <row r="10" customFormat="false" ht="15" hidden="false" customHeight="false" outlineLevel="0" collapsed="false">
      <c r="A10" s="3" t="s">
        <v>419</v>
      </c>
      <c r="B10" s="3" t="n">
        <v>13</v>
      </c>
      <c r="C10" s="5" t="n">
        <f aca="false">B10/2238</f>
        <v>0.00580875781948168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2026-10-03T06:07:49Z</dcterms:created>
  <dc:creator>openpyxl</dc:creator>
  <dc:description/>
  <dc:language>en-US</dc:language>
  <cp:lastModifiedBy/>
  <dcterms:modified xsi:type="dcterms:W3CDTF">2026-10-03T06:07:50Z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