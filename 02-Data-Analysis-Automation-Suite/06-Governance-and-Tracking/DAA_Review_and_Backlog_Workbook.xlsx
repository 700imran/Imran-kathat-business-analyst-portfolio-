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equirements Trace" sheetId="2" state="visible" r:id="rId4"/>
    <sheet name="Module Inventory" sheetId="3" state="visible" r:id="rId5"/>
    <sheet name="Business Rules" sheetId="4" state="visible" r:id="rId6"/>
    <sheet name="Findings" sheetId="5" state="visible" r:id="rId7"/>
    <sheet name="Backlog" sheetId="6" state="visible" r:id="rId8"/>
    <sheet name="Claims Register" sheetId="7" state="visible" r:id="rId9"/>
    <sheet name="Verification" sheetId="8" state="visible" r:id="rId10"/>
    <sheet name="RAID" sheetId="9" state="visible" r:id="rId11"/>
    <sheet name="Triage Matrix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<sst xmlns="http://schemas.openxmlformats.org/spreadsheetml/2006/main" count="570" uniqueCount="404">
  <si>
    <t xml:space="preserve">Data Analysis Automation Suite. Source repository: https://github.com/700imran/data-analysis-automation-script (reviewed at commit a04c40c). Requirements are reverse-engineered from the code and README.</t>
  </si>
  <si>
    <t xml:space="preserve">Sheet</t>
  </si>
  <si>
    <t xml:space="preserve">Purpose</t>
  </si>
  <si>
    <t xml:space="preserve">Requirements Trace</t>
  </si>
  <si>
    <t xml:space="preserve">Functional and non-functional requirements mapped to modules and verification evidence</t>
  </si>
  <si>
    <t xml:space="preserve">Module Inventory</t>
  </si>
  <si>
    <t xml:space="preserve">Files, size and role</t>
  </si>
  <si>
    <t xml:space="preserve">Business Rules</t>
  </si>
  <si>
    <t xml:space="preserve">Rules found in the code</t>
  </si>
  <si>
    <t xml:space="preserve">Findings</t>
  </si>
  <si>
    <t xml:space="preserve">Review findings with evidence and backlog link</t>
  </si>
  <si>
    <t xml:space="preserve">Backlog</t>
  </si>
  <si>
    <t xml:space="preserve">Proposed improvements (not built)</t>
  </si>
  <si>
    <t xml:space="preserve">Claims Register</t>
  </si>
  <si>
    <t xml:space="preserve">Benefit claims in the source docs and their evidence status</t>
  </si>
  <si>
    <t xml:space="preserve">Verification</t>
  </si>
  <si>
    <t xml:space="preserve">Checks executed and their results</t>
  </si>
  <si>
    <t xml:space="preserve">RAID</t>
  </si>
  <si>
    <t xml:space="preserve">Risks, assumptions, dependencies</t>
  </si>
  <si>
    <t xml:space="preserve">Triage Matrix</t>
  </si>
  <si>
    <t xml:space="preserve">Severity rules</t>
  </si>
  <si>
    <t xml:space="preserve">Req ID</t>
  </si>
  <si>
    <t xml:space="preserve">Requirement</t>
  </si>
  <si>
    <t xml:space="preserve">Priority</t>
  </si>
  <si>
    <t xml:space="preserve">Module(s)</t>
  </si>
  <si>
    <t xml:space="preserve">Verification / status</t>
  </si>
  <si>
    <t xml:space="preserve">FR-01</t>
  </si>
  <si>
    <t xml:space="preserve">Load the latest data file automatically, or a named file from a default folder (.csv and .xlsx)</t>
  </si>
  <si>
    <t xml:space="preserve">Must</t>
  </si>
  <si>
    <t xml:space="preserve">latest_data_utils.py, default_folder.py</t>
  </si>
  <si>
    <t xml:space="preserve">Verified by reading; path portability issue F-06</t>
  </si>
  <si>
    <t xml:space="preserve">FR-02</t>
  </si>
  <si>
    <t xml:space="preserve">Standardise a raw dataset: lower-case snake_case column names, trimmed text, no duplicate or empty rows, numeric casting</t>
  </si>
  <si>
    <t xml:space="preserve">primary_clean_utils.py</t>
  </si>
  <si>
    <t xml:space="preserve">Executed: 62 input rows, 60 output rows (2 duplicates removed), columns normalised, text trimmed</t>
  </si>
  <si>
    <t xml:space="preserve">FR-03</t>
  </si>
  <si>
    <t xml:space="preserve">Run OLS regression for chosen predictors and a target and append fitted values (scenario analysis)</t>
  </si>
  <si>
    <t xml:space="preserve">analysis_utils.py, task_runner.py</t>
  </si>
  <si>
    <t xml:space="preserve">Executed on seeded synthetic data: R-squared 0.436, n = 60 (0.789 with n = 58 when blanks are left out, see F-07)</t>
  </si>
  <si>
    <t xml:space="preserve">FR-04</t>
  </si>
  <si>
    <t xml:space="preserve">Compute Pearson correlation and p-value between two numeric columns</t>
  </si>
  <si>
    <t xml:space="preserve">analysis_utils.py</t>
  </si>
  <si>
    <t xml:space="preserve">Executed: r = 0.6179, p &lt; 0.0001</t>
  </si>
  <si>
    <t xml:space="preserve">FR-05</t>
  </si>
  <si>
    <t xml:space="preserve">Compare a metric between two groups with an independent t-test</t>
  </si>
  <si>
    <t xml:space="preserve">Executed: t = -1.008, p = 0.318</t>
  </si>
  <si>
    <t xml:space="preserve">FR-06</t>
  </si>
  <si>
    <t xml:space="preserve">Chart total of a metric by group</t>
  </si>
  <si>
    <t xml:space="preserve">Should</t>
  </si>
  <si>
    <t xml:space="preserve">Not executed (needs display)</t>
  </si>
  <si>
    <t xml:space="preserve">FR-07</t>
  </si>
  <si>
    <t xml:space="preserve">Compute valuation KPIs (P/E, P/B, earnings yield, dividend yield, valuation flag) for a market ticker</t>
  </si>
  <si>
    <t xml:space="preserve">kpi_utils.py</t>
  </si>
  <si>
    <t xml:space="preserve">Not executed (needs live market data); call from task_runner mismatched, F-03</t>
  </si>
  <si>
    <t xml:space="preserve">FR-08</t>
  </si>
  <si>
    <t xml:space="preserve">Derive forecast assumptions from live financial statements, including CAPM discount rate</t>
  </si>
  <si>
    <t xml:space="preserve">financial_metrics_utils.py</t>
  </si>
  <si>
    <t xml:space="preserve">Not executed (needs live market data)</t>
  </si>
  <si>
    <t xml:space="preserve">FR-09</t>
  </si>
  <si>
    <t xml:space="preserve">Project five years of revenue to free cash flow and derive enterprise value</t>
  </si>
  <si>
    <t xml:space="preserve">forecast_utils.py</t>
  </si>
  <si>
    <t xml:space="preserve">Executed with default inputs: EV 30,393.81; see F-08</t>
  </si>
  <si>
    <t xml:space="preserve">FR-10</t>
  </si>
  <si>
    <t xml:space="preserve">Build income statement, cash flow and balance sheet with shareholding pattern (three-statement model)</t>
  </si>
  <si>
    <t xml:space="preserve">Could</t>
  </si>
  <si>
    <t xml:space="preserve">cashflow_utils.py, balance_sheet_utils.py</t>
  </si>
  <si>
    <t xml:space="preserve">Functions present; orchestration run_forecast missing, F-01</t>
  </si>
  <si>
    <t xml:space="preserve">FR-11</t>
  </si>
  <si>
    <t xml:space="preserve">Save every result to a fixed 'live' file and optionally to a timestamped archive</t>
  </si>
  <si>
    <t xml:space="preserve">output_utils.py</t>
  </si>
  <si>
    <t xml:space="preserve">Executed: fails when file path is None, F-05</t>
  </si>
  <si>
    <t xml:space="preserve">FR-12</t>
  </si>
  <si>
    <t xml:space="preserve">Run any of six tasks from one entry point (run_task)</t>
  </si>
  <si>
    <t xml:space="preserve">task_runner.py</t>
  </si>
  <si>
    <t xml:space="preserve">Import fails on a clean machine, F-01 and F-02</t>
  </si>
  <si>
    <t xml:space="preserve">NFR-01</t>
  </si>
  <si>
    <t xml:space="preserve">Reusable functions callable from notebooks as well as from the runner</t>
  </si>
  <si>
    <t xml:space="preserve">-</t>
  </si>
  <si>
    <t xml:space="preserve">Eight call notebooks in the repository</t>
  </si>
  <si>
    <t xml:space="preserve">NFR-02</t>
  </si>
  <si>
    <t xml:space="preserve">Outputs consumable by Power BI / Excel (CSV and XLSX in a fixed folder)</t>
  </si>
  <si>
    <t xml:space="preserve">output_utils.py, kpi_utils.save_kpis</t>
  </si>
  <si>
    <t xml:space="preserve">NFR-03</t>
  </si>
  <si>
    <t xml:space="preserve">Fail safely on missing statement labels from the market data provider</t>
  </si>
  <si>
    <t xml:space="preserve">safe_get() in financial_metrics_utils.py and forecast_utils.py</t>
  </si>
  <si>
    <t xml:space="preserve">NFR-04</t>
  </si>
  <si>
    <t xml:space="preserve">Run on a fresh machine from the README alone</t>
  </si>
  <si>
    <t xml:space="preserve">Not met today: no requirements file, hard-coded paths (F-06, F-12)</t>
  </si>
  <si>
    <t xml:space="preserve">File</t>
  </si>
  <si>
    <t xml:space="preserve">Lines</t>
  </si>
  <si>
    <t xml:space="preserve">Group</t>
  </si>
  <si>
    <t xml:space="preserve">What it does</t>
  </si>
  <si>
    <t xml:space="preserve">Depends on</t>
  </si>
  <si>
    <t xml:space="preserve">Orchestrator</t>
  </si>
  <si>
    <t xml:space="preserve">run_task(task, filepath, ...) loads a file, applies basic cleaning, then runs one of six tasks: clean, scenario, relation, comparison, kpi, model</t>
  </si>
  <si>
    <t xml:space="preserve">pandas, numpy, scipy, statsmodels, sklearn, openpyxl, yfinance (imports); all utility modules</t>
  </si>
  <si>
    <t xml:space="preserve">latest_data_utils.py</t>
  </si>
  <si>
    <t xml:space="preserve">Input</t>
  </si>
  <si>
    <t xml:space="preserve">get_latest_data(folder): picks the newest .xlsx/.csv by creation time</t>
  </si>
  <si>
    <t xml:space="preserve">os, glob, pandas</t>
  </si>
  <si>
    <t xml:space="preserve">default_folder.py</t>
  </si>
  <si>
    <t xml:space="preserve">load_file(filepath): attaches the default input folder when only a file name is given</t>
  </si>
  <si>
    <t xml:space="preserve">pandas (not imported, see F-04)</t>
  </si>
  <si>
    <t xml:space="preserve">Cleaning</t>
  </si>
  <si>
    <t xml:space="preserve">clean_dataframe(df): normalises column names, trims strings, drops duplicates and empty rows, fills numeric NaN with 0, casts numeric-looking columns</t>
  </si>
  <si>
    <t xml:space="preserve">pandas</t>
  </si>
  <si>
    <t xml:space="preserve">analysis_target_entry.py</t>
  </si>
  <si>
    <t xml:space="preserve">Analysis input</t>
  </si>
  <si>
    <t xml:space="preserve">ask_for_columns(df): prompts for predictor columns and target</t>
  </si>
  <si>
    <t xml:space="preserve">none</t>
  </si>
  <si>
    <t xml:space="preserve">Analysis</t>
  </si>
  <si>
    <t xml:space="preserve">prepare_regression (OLS), check_correlation (Pearson), compare_groups (independent t-test), plot_sales_by_group (bar chart)</t>
  </si>
  <si>
    <t xml:space="preserve">statsmodels, scipy, matplotlib</t>
  </si>
  <si>
    <t xml:space="preserve">Valuation KPIs</t>
  </si>
  <si>
    <t xml:space="preserve">valuation_kpis(ticker): P/E, P/B, earnings yield, dividend yield and an over/undervalued flag; save_kpis writes CSV and XLSX</t>
  </si>
  <si>
    <t xml:space="preserve">yfinance</t>
  </si>
  <si>
    <t xml:space="preserve">Assumptions</t>
  </si>
  <si>
    <t xml:space="preserve">get_assumptions(ticker): growth, COGS %, opex %, tax, capex %, depreciation %, working capital %, CAPM discount rate from live statements</t>
  </si>
  <si>
    <t xml:space="preserve">Forecast</t>
  </si>
  <si>
    <t xml:space="preserve">get_industry_metrics(industry), financial_forecast(...) five-year DCF projection, forecast_with_industry(...)</t>
  </si>
  <si>
    <t xml:space="preserve">yfinance, pandas</t>
  </si>
  <si>
    <t xml:space="preserve">cashflow_utils.py</t>
  </si>
  <si>
    <t xml:space="preserve">Three-statement</t>
  </si>
  <si>
    <t xml:space="preserve">compute_working_capital_change, compute_cash_flows (operating, investing, financing)</t>
  </si>
  <si>
    <t xml:space="preserve">balance_sheet_utils.py</t>
  </si>
  <si>
    <t xml:space="preserve">compute_working_capital_accounts, compute_balance_sheet, compute_shareholding_pattern</t>
  </si>
  <si>
    <t xml:space="preserve">Output</t>
  </si>
  <si>
    <t xml:space="preserve">save_output(df, filepath, analysis_type): always overwrites a fixed 'live' CSV; optionally writes a timestamped archive</t>
  </si>
  <si>
    <t xml:space="preserve">os, pandas, datetime</t>
  </si>
  <si>
    <t xml:space="preserve">Total lines of Python</t>
  </si>
  <si>
    <t xml:space="preserve">ID</t>
  </si>
  <si>
    <t xml:space="preserve">Rule</t>
  </si>
  <si>
    <t xml:space="preserve">Where</t>
  </si>
  <si>
    <t xml:space="preserve">BRL-01</t>
  </si>
  <si>
    <t xml:space="preserve">Column names are lower-cased, trimmed and spaces become underscores</t>
  </si>
  <si>
    <t xml:space="preserve">BRL-02</t>
  </si>
  <si>
    <t xml:space="preserve">Leading and trailing spaces are removed from text values</t>
  </si>
  <si>
    <t xml:space="preserve">BRL-03</t>
  </si>
  <si>
    <t xml:space="preserve">Exact duplicate rows are dropped; fully empty rows are dropped</t>
  </si>
  <si>
    <t xml:space="preserve">BRL-04</t>
  </si>
  <si>
    <t xml:space="preserve">Missing numeric values are replaced with 0</t>
  </si>
  <si>
    <t xml:space="preserve">primary_clean_utils.py (see F-07)</t>
  </si>
  <si>
    <t xml:space="preserve">BRL-05</t>
  </si>
  <si>
    <t xml:space="preserve">Columns that can be converted to numbers are converted</t>
  </si>
  <si>
    <t xml:space="preserve">BRL-06</t>
  </si>
  <si>
    <t xml:space="preserve">Regression rows with missing predictor or target are dropped before fitting; a constant is added</t>
  </si>
  <si>
    <t xml:space="preserve">BRL-07</t>
  </si>
  <si>
    <t xml:space="preserve">Correlation uses only rows where both columns are numeric</t>
  </si>
  <si>
    <t xml:space="preserve">BRL-08</t>
  </si>
  <si>
    <t xml:space="preserve">Group comparison is an independent two-sample t-test (equal variance assumed)</t>
  </si>
  <si>
    <t xml:space="preserve">analysis_utils.py (see F-09)</t>
  </si>
  <si>
    <t xml:space="preserve">BRL-09</t>
  </si>
  <si>
    <t xml:space="preserve">Discount rate (CAPM) = risk-free rate + beta x (market return - risk-free rate); defaults 7% and 12%</t>
  </si>
  <si>
    <t xml:space="preserve">BRL-10</t>
  </si>
  <si>
    <t xml:space="preserve">Earnings yield above the government bond yield (default 7%) is flagged Undervalued, otherwise Overvalued</t>
  </si>
  <si>
    <t xml:space="preserve">kpi_utils.py (see F-11)</t>
  </si>
  <si>
    <t xml:space="preserve">BRL-11</t>
  </si>
  <si>
    <t xml:space="preserve">Industry benchmarks come from sector ETFs: Technology XLK, Retail XRT, Healthcare XLV, Financials XLF, Energy XLE</t>
  </si>
  <si>
    <t xml:space="preserve">BRL-12</t>
  </si>
  <si>
    <t xml:space="preserve">Forecast defaults: growth 10%, COGS 60%, opex 20%, tax 30%, capex 5%, depreciation 4%, working capital 10%, discount 12%, terminal growth 3%, 5 years</t>
  </si>
  <si>
    <t xml:space="preserve">BRL-13</t>
  </si>
  <si>
    <t xml:space="preserve">Terminal value = last-year FCF x (1 + g) / (discount - g), discounted to year 0; EV = sum of discounted FCF + discounted terminal value</t>
  </si>
  <si>
    <t xml:space="preserve">BRL-14</t>
  </si>
  <si>
    <t xml:space="preserve">Output file name = &lt;input name&gt;_&lt;analysis type&gt;_output.csv (live) and ..._&lt;yyyymmdd_hhmm&gt;.csv (archive, on request)</t>
  </si>
  <si>
    <t xml:space="preserve">Severity</t>
  </si>
  <si>
    <t xml:space="preserve">Area</t>
  </si>
  <si>
    <t xml:space="preserve">Finding</t>
  </si>
  <si>
    <t xml:space="preserve">Evidence</t>
  </si>
  <si>
    <t xml:space="preserve">Recommended fix</t>
  </si>
  <si>
    <t xml:space="preserve">F-01</t>
  </si>
  <si>
    <t xml:space="preserve">High</t>
  </si>
  <si>
    <t xml:space="preserve">Reliability</t>
  </si>
  <si>
    <t xml:space="preserve">run_forecast is imported by task_runner.py and documented in README, forecast.md and two notebooks, but is not defined in the committed forecast_utils.py. The cashflow and balance-sheet modules expect an income-statement table (Year, Revenue, COGS, Depreciation, EBIT, NetIncome) that no committed function builds.</t>
  </si>
  <si>
    <t xml:space="preserve">Verified: hasattr(forecast_utils, 'run_forecast') is False; text search</t>
  </si>
  <si>
    <t xml:space="preserve">Add run_forecast (or commit the local version) that builds the income statement and calls compute_cash_flows and compute_balance_sheet</t>
  </si>
  <si>
    <t xml:space="preserve">DAA-101</t>
  </si>
  <si>
    <t xml:space="preserve">F-02</t>
  </si>
  <si>
    <t xml:space="preserve">latest_data_utils.py calls get_latest_data() at module level (the notebook example was left in the file), so importing it, and therefore task_runner, reads the input folder and raises FileNotFoundError when the folder is empty or missing.</t>
  </si>
  <si>
    <t xml:space="preserve">Verified: import task_runner on a machine without the folder raises FileNotFoundError</t>
  </si>
  <si>
    <t xml:space="preserve">Move the example under if __name__ == '__main__'</t>
  </si>
  <si>
    <t xml:space="preserve">DAA-102</t>
  </si>
  <si>
    <t xml:space="preserve">F-03</t>
  </si>
  <si>
    <t xml:space="preserve">task_runner calls valuation_kpis(df, predictors, target, ticker) but the function is defined as valuation_kpis(ticker_symbol, gov_bond_yield=0.07). The kpi task would raise TypeError, and it prompts for predictors it never uses.</t>
  </si>
  <si>
    <t xml:space="preserve">Verified: inspect.signature</t>
  </si>
  <si>
    <t xml:space="preserve">Call valuation_kpis(ticker) and remove the unused prompts</t>
  </si>
  <si>
    <t xml:space="preserve">DAA-103</t>
  </si>
  <si>
    <t xml:space="preserve">F-04</t>
  </si>
  <si>
    <t xml:space="preserve">Medium</t>
  </si>
  <si>
    <t xml:space="preserve">default_folder.py uses pd.read_excel / pd.read_csv without importing pandas.</t>
  </si>
  <si>
    <t xml:space="preserve">Verified: load_file raises NameError</t>
  </si>
  <si>
    <t xml:space="preserve">Add import pandas as pd</t>
  </si>
  <si>
    <t xml:space="preserve">DAA-104</t>
  </si>
  <si>
    <t xml:space="preserve">F-05</t>
  </si>
  <si>
    <t xml:space="preserve">save_output builds the file name from os.path.basename(filepath); when the runner auto-selects the latest file, filepath is None and every task fails at the save step.</t>
  </si>
  <si>
    <t xml:space="preserve">Verified: save_output(df, None, 'clean') raises TypeError</t>
  </si>
  <si>
    <t xml:space="preserve">Return the picked path from get_latest_data and pass it on</t>
  </si>
  <si>
    <t xml:space="preserve">DAA-105</t>
  </si>
  <si>
    <t xml:space="preserve">F-06</t>
  </si>
  <si>
    <t xml:space="preserve">Portability</t>
  </si>
  <si>
    <t xml:space="preserve">Input and output folders are hard-coded to C:\Users\Dell\... in default_folder.py, latest_data_utils.py, output_utils.py and kpi_utils.py; output_utils creates its folder at import time.</t>
  </si>
  <si>
    <t xml:space="preserve">Read from code</t>
  </si>
  <si>
    <t xml:space="preserve">Single configuration (environment variable or YAML) with sensible defaults</t>
  </si>
  <si>
    <t xml:space="preserve">DAA-106</t>
  </si>
  <si>
    <t xml:space="preserve">F-07</t>
  </si>
  <si>
    <t xml:space="preserve">Data quality</t>
  </si>
  <si>
    <t xml:space="preserve">clean_dataframe replaces every missing numeric value with 0. Zeros are then treated as real observations by the mean, regression and t-test, which biases results silently.</t>
  </si>
  <si>
    <t xml:space="preserve">Verified on seeded synthetic data: two missing numbers became 0; regression R-squared fell from 0.789 (blanks left out, n = 58) to 0.436 (zero-filled, n = 60)</t>
  </si>
  <si>
    <t xml:space="preserve">Configurable policy (leave missing, median, flag column) with a report of what was filled</t>
  </si>
  <si>
    <t xml:space="preserve">DAA-108</t>
  </si>
  <si>
    <t xml:space="preserve">F-08</t>
  </si>
  <si>
    <t xml:space="preserve">Model correctness</t>
  </si>
  <si>
    <t xml:space="preserve">financial_forecast subtracts revenue x working-capital % each year as the working-capital change (a level, not a year-on-year change) and sets NPV to 10% of final-year FCF (a placeholder constant). With default inputs FCF is 2,200 on 1.1m revenue and EV is 30,393.81, so valuations are not reliable.</t>
  </si>
  <si>
    <t xml:space="preserve">Verified by running defaults; formulas read from code</t>
  </si>
  <si>
    <t xml:space="preserve">Use change in working capital; define NPV against an initial investment input; add a balance-sheet check</t>
  </si>
  <si>
    <t xml:space="preserve">DAA-111</t>
  </si>
  <si>
    <t xml:space="preserve">F-09</t>
  </si>
  <si>
    <t xml:space="preserve">Low</t>
  </si>
  <si>
    <t xml:space="preserve">Statistics</t>
  </si>
  <si>
    <t xml:space="preserve">compare_groups uses Student's t-test (equal variance). Welch's test is safer when group variances differ; no effect size is reported.</t>
  </si>
  <si>
    <t xml:space="preserve">Read from code (scipy ttest_ind default)</t>
  </si>
  <si>
    <t xml:space="preserve">Option for Welch; report mean difference and confidence interval</t>
  </si>
  <si>
    <t xml:space="preserve">DAA-109</t>
  </si>
  <si>
    <t xml:space="preserve">F-10</t>
  </si>
  <si>
    <t xml:space="preserve">Output design</t>
  </si>
  <si>
    <t xml:space="preserve">The relation task uses only the first predictor and writes the single correlation value into every row of the output.</t>
  </si>
  <si>
    <t xml:space="preserve">Output a one-row summary table or per-predictor table</t>
  </si>
  <si>
    <t xml:space="preserve">DAA-110</t>
  </si>
  <si>
    <t xml:space="preserve">F-11</t>
  </si>
  <si>
    <t xml:space="preserve">Valuation logic</t>
  </si>
  <si>
    <t xml:space="preserve">The valuation flag returns Overvalued whenever earnings yield is missing, and compares against a 7% bond yield default regardless of the ticker's market.</t>
  </si>
  <si>
    <t xml:space="preserve">Return 'Insufficient data'; make bond yield an input per market</t>
  </si>
  <si>
    <t xml:space="preserve">F-12</t>
  </si>
  <si>
    <t xml:space="preserve">Project hygiene</t>
  </si>
  <si>
    <t xml:space="preserve">No requirements file, no tests, no setup steps in README, and the entry-point notebooks contain no recorded outputs for most tasks.</t>
  </si>
  <si>
    <t xml:space="preserve">Verified by listing the repository</t>
  </si>
  <si>
    <t xml:space="preserve">requirements.txt, pytest suite, setup section</t>
  </si>
  <si>
    <t xml:space="preserve">DAA-107, DAA-113</t>
  </si>
  <si>
    <t xml:space="preserve">F-13</t>
  </si>
  <si>
    <t xml:space="preserve">Info</t>
  </si>
  <si>
    <t xml:space="preserve">Benefit claims</t>
  </si>
  <si>
    <t xml:space="preserve">README and module notes state 70-80% faster workflows, 10-15 analyst hours saved a week, 20% faster and 10-12% more accurate valuations, 30-40% better reliability. The repository has no measurement behind these figures.</t>
  </si>
  <si>
    <t xml:space="preserve">Verified by search for timings, baselines or logs</t>
  </si>
  <si>
    <t xml:space="preserve">Measure on a sample workload and quote the measured figures (DAA-114); until then describe them as estimates</t>
  </si>
  <si>
    <t xml:space="preserve">DAA-114</t>
  </si>
  <si>
    <t xml:space="preserve">Rank</t>
  </si>
  <si>
    <t xml:space="preserve">Key</t>
  </si>
  <si>
    <t xml:space="preserve">Epic</t>
  </si>
  <si>
    <t xml:space="preserve">Story</t>
  </si>
  <si>
    <t xml:space="preserve">Persona</t>
  </si>
  <si>
    <t xml:space="preserve">MoSCoW</t>
  </si>
  <si>
    <t xml:space="preserve">SP</t>
  </si>
  <si>
    <t xml:space="preserve">Status</t>
  </si>
  <si>
    <t xml:space="preserve">DAA-E1</t>
  </si>
  <si>
    <t xml:space="preserve">Provide run_forecast and build the income statement</t>
  </si>
  <si>
    <t xml:space="preserve">Analyst</t>
  </si>
  <si>
    <t xml:space="preserve">Highest</t>
  </si>
  <si>
    <t xml:space="preserve">To Do</t>
  </si>
  <si>
    <t xml:space="preserve">Remove import-time side effects</t>
  </si>
  <si>
    <t xml:space="preserve">Fix the kpi task call and missing-data valuation flag</t>
  </si>
  <si>
    <t xml:space="preserve">Add missing pandas import in default_folder</t>
  </si>
  <si>
    <t xml:space="preserve">Support auto-selected files in save_output</t>
  </si>
  <si>
    <t xml:space="preserve">DAA-E2</t>
  </si>
  <si>
    <t xml:space="preserve">Central configuration for input and output folders</t>
  </si>
  <si>
    <t xml:space="preserve">DAA-107</t>
  </si>
  <si>
    <t xml:space="preserve">requirements.txt and setup guide</t>
  </si>
  <si>
    <t xml:space="preserve">New user</t>
  </si>
  <si>
    <t xml:space="preserve">DAA-E3</t>
  </si>
  <si>
    <t xml:space="preserve">Configurable missing-value policy with a fill report</t>
  </si>
  <si>
    <t xml:space="preserve">Welch t-test option and effect size</t>
  </si>
  <si>
    <t xml:space="preserve">Clear output for the relation task</t>
  </si>
  <si>
    <t xml:space="preserve">DAA-E4</t>
  </si>
  <si>
    <t xml:space="preserve">Correct working-capital change and NPV definition</t>
  </si>
  <si>
    <t xml:space="preserve">Finance reviewer</t>
  </si>
  <si>
    <t xml:space="preserve">DAA-112</t>
  </si>
  <si>
    <t xml:space="preserve">Three-statement integrity checks</t>
  </si>
  <si>
    <t xml:space="preserve">DAA-113</t>
  </si>
  <si>
    <t xml:space="preserve">DAA-E5</t>
  </si>
  <si>
    <t xml:space="preserve">Automated tests for cleaning and analysis</t>
  </si>
  <si>
    <t xml:space="preserve">Maintainer</t>
  </si>
  <si>
    <t xml:space="preserve">Benchmark harness for time and effort claims</t>
  </si>
  <si>
    <t xml:space="preserve">Hiring manager or analyst</t>
  </si>
  <si>
    <t xml:space="preserve">Where stated</t>
  </si>
  <si>
    <t xml:space="preserve">Claim</t>
  </si>
  <si>
    <t xml:space="preserve">Evidence status</t>
  </si>
  <si>
    <t xml:space="preserve">Evidence found</t>
  </si>
  <si>
    <t xml:space="preserve">Next step</t>
  </si>
  <si>
    <t xml:space="preserve">README / task_runner.md</t>
  </si>
  <si>
    <t xml:space="preserve">70-80% faster analytics workflows</t>
  </si>
  <si>
    <t xml:space="preserve">Not measured</t>
  </si>
  <si>
    <t xml:space="preserve">No timings or baseline in the repository</t>
  </si>
  <si>
    <t xml:space="preserve">Run DAA-114 and quote the result</t>
  </si>
  <si>
    <t xml:space="preserve">Saves 10-15 analyst hours per week</t>
  </si>
  <si>
    <t xml:space="preserve">No time study</t>
  </si>
  <si>
    <t xml:space="preserve">Time a sample weekly workload before and after</t>
  </si>
  <si>
    <t xml:space="preserve">task_runner.md</t>
  </si>
  <si>
    <t xml:space="preserve">30-40% improvement in reliability of analysis</t>
  </si>
  <si>
    <t xml:space="preserve">No definition of reliability</t>
  </si>
  <si>
    <t xml:space="preserve">Define the metric (for example error rate on a known dataset)</t>
  </si>
  <si>
    <t xml:space="preserve">forecast.md / README</t>
  </si>
  <si>
    <t xml:space="preserve">20% faster workflows and 10-12% more accurate valuations</t>
  </si>
  <si>
    <t xml:space="preserve">Not measured; model inputs unvalidated (F-08)</t>
  </si>
  <si>
    <t xml:space="preserve">No comparison against a reference valuation</t>
  </si>
  <si>
    <t xml:space="preserve">Compare against a reference model after DAA-111</t>
  </si>
  <si>
    <t xml:space="preserve">README</t>
  </si>
  <si>
    <t xml:space="preserve">Reusable functions for cleaning, statistics, KPI and forecasting</t>
  </si>
  <si>
    <t xml:space="preserve">Supported</t>
  </si>
  <si>
    <t xml:space="preserve">Functions exist and the core ones were executed (cleaning, regression, correlation, t-test)</t>
  </si>
  <si>
    <t xml:space="preserve">None</t>
  </si>
  <si>
    <t xml:space="preserve">Item</t>
  </si>
  <si>
    <t xml:space="preserve">Condition</t>
  </si>
  <si>
    <t xml:space="preserve">Result</t>
  </si>
  <si>
    <t xml:space="preserve">Detail</t>
  </si>
  <si>
    <t xml:space="preserve">V-01</t>
  </si>
  <si>
    <t xml:space="preserve">clean_dataframe</t>
  </si>
  <si>
    <t xml:space="preserve">Synthetic store dataset: 62 rows incl. 2 duplicates, padded text, mixed-case headers, 2 missing numbers</t>
  </si>
  <si>
    <t xml:space="preserve">Pass</t>
  </si>
  <si>
    <t xml:space="preserve">60 rows returned, all columns snake_case, region values trimmed</t>
  </si>
  <si>
    <t xml:space="preserve">V-02</t>
  </si>
  <si>
    <t xml:space="preserve">Missing numeric value in Store_Sales</t>
  </si>
  <si>
    <t xml:space="preserve">Behaviour noted</t>
  </si>
  <si>
    <t xml:space="preserve">Replaced by 0 and included in later statistics; mean sales 38,149 (blanks skipped) became 37,523 (F-07)</t>
  </si>
  <si>
    <t xml:space="preserve">V-03</t>
  </si>
  <si>
    <t xml:space="preserve">prepare_regression</t>
  </si>
  <si>
    <t xml:space="preserve">Sales on store area and daily customers, n = 60 after cleaning</t>
  </si>
  <si>
    <t xml:space="preserve">R-squared 0.436; 0.789 when blanks are left out instead of zero-filled (F-07)</t>
  </si>
  <si>
    <t xml:space="preserve">V-04</t>
  </si>
  <si>
    <t xml:space="preserve">check_correlation</t>
  </si>
  <si>
    <t xml:space="preserve">Store area vs sales</t>
  </si>
  <si>
    <t xml:space="preserve">r = 0.6179, p &lt; 0.0001</t>
  </si>
  <si>
    <t xml:space="preserve">V-05</t>
  </si>
  <si>
    <t xml:space="preserve">compare_groups</t>
  </si>
  <si>
    <t xml:space="preserve">Sales by region North vs South</t>
  </si>
  <si>
    <t xml:space="preserve">t = -1.008, p = 0.318 (no significant difference, as generated)</t>
  </si>
  <si>
    <t xml:space="preserve">V-06</t>
  </si>
  <si>
    <t xml:space="preserve">financial_forecast</t>
  </si>
  <si>
    <t xml:space="preserve">Default inputs</t>
  </si>
  <si>
    <t xml:space="preserve">Runs</t>
  </si>
  <si>
    <t xml:space="preserve">EV 30,393.81, NPV 322.10; FCF year 1 = 2,200 (F-08)</t>
  </si>
  <si>
    <t xml:space="preserve">V-07</t>
  </si>
  <si>
    <t xml:space="preserve">import task_runner</t>
  </si>
  <si>
    <t xml:space="preserve">Machine without the Windows input folder</t>
  </si>
  <si>
    <t xml:space="preserve">Fail</t>
  </si>
  <si>
    <t xml:space="preserve">FileNotFoundError at import (F-02)</t>
  </si>
  <si>
    <t xml:space="preserve">V-08</t>
  </si>
  <si>
    <t xml:space="preserve">hasattr(forecast_utils, 'run_forecast')</t>
  </si>
  <si>
    <t xml:space="preserve">Committed code</t>
  </si>
  <si>
    <t xml:space="preserve">False (F-01)</t>
  </si>
  <si>
    <t xml:space="preserve">V-09</t>
  </si>
  <si>
    <t xml:space="preserve">valuation_kpis signature</t>
  </si>
  <si>
    <t xml:space="preserve">(ticker_symbol, gov_bond_yield=0.07) vs call with four arguments (F-03)</t>
  </si>
  <si>
    <t xml:space="preserve">V-10</t>
  </si>
  <si>
    <t xml:space="preserve">default_folder.load_file('x.csv')</t>
  </si>
  <si>
    <t xml:space="preserve">NameError: pd is not defined (F-04)</t>
  </si>
  <si>
    <t xml:space="preserve">V-11</t>
  </si>
  <si>
    <t xml:space="preserve">save_output(df, None, 'clean')</t>
  </si>
  <si>
    <t xml:space="preserve">Auto-selected file case</t>
  </si>
  <si>
    <t xml:space="preserve">TypeError (F-05)</t>
  </si>
  <si>
    <t xml:space="preserve">V-12</t>
  </si>
  <si>
    <t xml:space="preserve">kpi_utils, financial_metrics_utils, forecast_utils.get_industry_metrics</t>
  </si>
  <si>
    <t xml:space="preserve">Live market data</t>
  </si>
  <si>
    <t xml:space="preserve">Not executed</t>
  </si>
  <si>
    <t xml:space="preserve">Needs internet access to the market data provider; to be run by the owner</t>
  </si>
  <si>
    <t xml:space="preserve">Type</t>
  </si>
  <si>
    <t xml:space="preserve">Description</t>
  </si>
  <si>
    <t xml:space="preserve">Impact (1-5)</t>
  </si>
  <si>
    <t xml:space="preserve">Probability (1-5)</t>
  </si>
  <si>
    <t xml:space="preserve">Score</t>
  </si>
  <si>
    <t xml:space="preserve">Owner</t>
  </si>
  <si>
    <t xml:space="preserve">Response</t>
  </si>
  <si>
    <t xml:space="preserve">R-01</t>
  </si>
  <si>
    <t xml:space="preserve">Risk</t>
  </si>
  <si>
    <t xml:space="preserve">Market data provider (yfinance) changes labels or limits access, breaking KPI, assumptions and benchmarks</t>
  </si>
  <si>
    <t xml:space="preserve">safe_get() fallbacks exist; add contract tests with recorded responses</t>
  </si>
  <si>
    <t xml:space="preserve">Open</t>
  </si>
  <si>
    <t xml:space="preserve">R-02</t>
  </si>
  <si>
    <t xml:space="preserve">Valuation outputs are used for decisions while model formulas are unvalidated (F-08)</t>
  </si>
  <si>
    <t xml:space="preserve">Label outputs as indicative until DAA-111/112 are done</t>
  </si>
  <si>
    <t xml:space="preserve">R-03</t>
  </si>
  <si>
    <t xml:space="preserve">Silent zero-fill biases analysis (F-07)</t>
  </si>
  <si>
    <t xml:space="preserve">R-04</t>
  </si>
  <si>
    <t xml:space="preserve">Single maintainer; code runs only on one Windows machine</t>
  </si>
  <si>
    <t xml:space="preserve">DAA-106, DAA-107</t>
  </si>
  <si>
    <t xml:space="preserve">A-01</t>
  </si>
  <si>
    <t xml:space="preserve">Assumption</t>
  </si>
  <si>
    <t xml:space="preserve">Input data arrives as CSV or XLSX with a header row</t>
  </si>
  <si>
    <t xml:space="preserve">Validate headers on load</t>
  </si>
  <si>
    <t xml:space="preserve">D-01</t>
  </si>
  <si>
    <t xml:space="preserve">Dependency</t>
  </si>
  <si>
    <t xml:space="preserve">Internet access to Yahoo Finance for KPI, assumptions and benchmarks</t>
  </si>
  <si>
    <t xml:space="preserve">Cache last successful response</t>
  </si>
  <si>
    <t xml:space="preserve">Definition</t>
  </si>
  <si>
    <t xml:space="preserve">Action</t>
  </si>
  <si>
    <t xml:space="preserve">Backlog position</t>
  </si>
  <si>
    <t xml:space="preserve">Task cannot run from a clean checkout, or wrong numbers are produced silently</t>
  </si>
  <si>
    <t xml:space="preserve">Fix first</t>
  </si>
  <si>
    <t xml:space="preserve">Backlog rank 1-5</t>
  </si>
  <si>
    <t xml:space="preserve">Works only on the owner's machine, or can bias results</t>
  </si>
  <si>
    <t xml:space="preserve">Fix next</t>
  </si>
  <si>
    <t xml:space="preserve">Backlog rank 6-12</t>
  </si>
  <si>
    <t xml:space="preserve">Output design or statistics refinements</t>
  </si>
  <si>
    <t xml:space="preserve">Plan</t>
  </si>
  <si>
    <t xml:space="preserve">Backlog rank 13+</t>
  </si>
  <si>
    <t xml:space="preserve">Documentation or evidence gaps</t>
  </si>
  <si>
    <t xml:space="preserve">With DAA-114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</si>
</sst>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  <row r="12" customFormat="false" ht="15" hidden="false" customHeight="false" outlineLevel="0" collapsed="false">
      <c r="A12" s="3" t="s">
        <v>19</v>
      </c>
      <c r="B12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9"/>
    <col collapsed="false" customWidth="true" hidden="false" outlineLevel="0" max="4" min="4" style="0" width="36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</row>
    <row r="2" customFormat="false" ht="15" hidden="false" customHeight="false" outlineLevel="0" collapsed="false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22.35" hidden="false" customHeight="false" outlineLevel="0" collapsed="false">
      <c r="A3" s="3" t="s">
        <v>31</v>
      </c>
      <c r="B3" s="3" t="s">
        <v>32</v>
      </c>
      <c r="C3" s="3" t="s">
        <v>28</v>
      </c>
      <c r="D3" s="3" t="s">
        <v>33</v>
      </c>
      <c r="E3" s="3" t="s">
        <v>34</v>
      </c>
    </row>
    <row r="4" customFormat="false" ht="22.35" hidden="false" customHeight="false" outlineLevel="0" collapsed="false">
      <c r="A4" s="3" t="s">
        <v>35</v>
      </c>
      <c r="B4" s="3" t="s">
        <v>36</v>
      </c>
      <c r="C4" s="3" t="s">
        <v>28</v>
      </c>
      <c r="D4" s="3" t="s">
        <v>37</v>
      </c>
      <c r="E4" s="3" t="s">
        <v>38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 t="s">
        <v>28</v>
      </c>
      <c r="D5" s="3" t="s">
        <v>41</v>
      </c>
      <c r="E5" s="3" t="s">
        <v>42</v>
      </c>
    </row>
    <row r="6" customFormat="false" ht="15" hidden="false" customHeight="false" outlineLevel="0" collapsed="false">
      <c r="A6" s="3" t="s">
        <v>43</v>
      </c>
      <c r="B6" s="3" t="s">
        <v>44</v>
      </c>
      <c r="C6" s="3" t="s">
        <v>28</v>
      </c>
      <c r="D6" s="3" t="s">
        <v>41</v>
      </c>
      <c r="E6" s="3" t="s">
        <v>45</v>
      </c>
    </row>
    <row r="7" customFormat="false" ht="15" hidden="false" customHeight="false" outlineLevel="0" collapsed="false">
      <c r="A7" s="3" t="s">
        <v>46</v>
      </c>
      <c r="B7" s="3" t="s">
        <v>47</v>
      </c>
      <c r="C7" s="3" t="s">
        <v>48</v>
      </c>
      <c r="D7" s="3" t="s">
        <v>41</v>
      </c>
      <c r="E7" s="3" t="s">
        <v>49</v>
      </c>
    </row>
    <row r="8" customFormat="false" ht="22.35" hidden="false" customHeight="false" outlineLevel="0" collapsed="false">
      <c r="A8" s="3" t="s">
        <v>50</v>
      </c>
      <c r="B8" s="3" t="s">
        <v>51</v>
      </c>
      <c r="C8" s="3" t="s">
        <v>48</v>
      </c>
      <c r="D8" s="3" t="s">
        <v>52</v>
      </c>
      <c r="E8" s="3" t="s">
        <v>53</v>
      </c>
    </row>
    <row r="9" customFormat="false" ht="15" hidden="false" customHeight="false" outlineLevel="0" collapsed="false">
      <c r="A9" s="3" t="s">
        <v>54</v>
      </c>
      <c r="B9" s="3" t="s">
        <v>55</v>
      </c>
      <c r="C9" s="3" t="s">
        <v>48</v>
      </c>
      <c r="D9" s="3" t="s">
        <v>56</v>
      </c>
      <c r="E9" s="3" t="s">
        <v>57</v>
      </c>
    </row>
    <row r="10" customFormat="false" ht="15" hidden="false" customHeight="false" outlineLevel="0" collapsed="false">
      <c r="A10" s="3" t="s">
        <v>58</v>
      </c>
      <c r="B10" s="3" t="s">
        <v>59</v>
      </c>
      <c r="C10" s="3" t="s">
        <v>48</v>
      </c>
      <c r="D10" s="3" t="s">
        <v>60</v>
      </c>
      <c r="E10" s="3" t="s">
        <v>61</v>
      </c>
    </row>
    <row r="11" customFormat="false" ht="22.35" hidden="false" customHeight="false" outlineLevel="0" collapsed="false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</row>
    <row r="12" customFormat="false" ht="15" hidden="false" customHeight="false" outlineLevel="0" collapsed="false">
      <c r="A12" s="3" t="s">
        <v>67</v>
      </c>
      <c r="B12" s="3" t="s">
        <v>68</v>
      </c>
      <c r="C12" s="3" t="s">
        <v>28</v>
      </c>
      <c r="D12" s="3" t="s">
        <v>69</v>
      </c>
      <c r="E12" s="3" t="s">
        <v>70</v>
      </c>
    </row>
    <row r="13" customFormat="false" ht="15" hidden="false" customHeight="false" outlineLevel="0" collapsed="false">
      <c r="A13" s="3" t="s">
        <v>71</v>
      </c>
      <c r="B13" s="3" t="s">
        <v>72</v>
      </c>
      <c r="C13" s="3" t="s">
        <v>28</v>
      </c>
      <c r="D13" s="3" t="s">
        <v>73</v>
      </c>
      <c r="E13" s="3" t="s">
        <v>74</v>
      </c>
    </row>
    <row r="14" customFormat="false" ht="15" hidden="false" customHeight="false" outlineLevel="0" collapsed="false">
      <c r="A14" s="3" t="s">
        <v>75</v>
      </c>
      <c r="B14" s="3" t="s">
        <v>76</v>
      </c>
      <c r="C14" s="3" t="s">
        <v>48</v>
      </c>
      <c r="D14" s="3" t="s">
        <v>77</v>
      </c>
      <c r="E14" s="3" t="s">
        <v>78</v>
      </c>
    </row>
    <row r="15" customFormat="false" ht="15" hidden="false" customHeight="false" outlineLevel="0" collapsed="false">
      <c r="A15" s="3" t="s">
        <v>79</v>
      </c>
      <c r="B15" s="3" t="s">
        <v>80</v>
      </c>
      <c r="C15" s="3" t="s">
        <v>48</v>
      </c>
      <c r="D15" s="3" t="s">
        <v>77</v>
      </c>
      <c r="E15" s="3" t="s">
        <v>81</v>
      </c>
    </row>
    <row r="16" customFormat="false" ht="15" hidden="false" customHeight="false" outlineLevel="0" collapsed="false">
      <c r="A16" s="3" t="s">
        <v>82</v>
      </c>
      <c r="B16" s="3" t="s">
        <v>83</v>
      </c>
      <c r="C16" s="3" t="s">
        <v>48</v>
      </c>
      <c r="D16" s="3" t="s">
        <v>77</v>
      </c>
      <c r="E16" s="3" t="s">
        <v>84</v>
      </c>
    </row>
    <row r="17" customFormat="false" ht="15" hidden="false" customHeight="false" outlineLevel="0" collapsed="false">
      <c r="A17" s="3" t="s">
        <v>85</v>
      </c>
      <c r="B17" s="3" t="s">
        <v>86</v>
      </c>
      <c r="C17" s="3" t="s">
        <v>28</v>
      </c>
      <c r="D17" s="3" t="s">
        <v>77</v>
      </c>
      <c r="E17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8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</row>
    <row r="2" customFormat="false" ht="22.35" hidden="false" customHeight="false" outlineLevel="0" collapsed="false">
      <c r="A2" s="3" t="s">
        <v>73</v>
      </c>
      <c r="B2" s="3" t="n">
        <v>137</v>
      </c>
      <c r="C2" s="3" t="s">
        <v>93</v>
      </c>
      <c r="D2" s="3" t="s">
        <v>94</v>
      </c>
      <c r="E2" s="3" t="s">
        <v>95</v>
      </c>
    </row>
    <row r="3" customFormat="false" ht="15" hidden="false" customHeight="false" outlineLevel="0" collapsed="false">
      <c r="A3" s="3" t="s">
        <v>96</v>
      </c>
      <c r="B3" s="3" t="n">
        <v>14</v>
      </c>
      <c r="C3" s="3" t="s">
        <v>97</v>
      </c>
      <c r="D3" s="3" t="s">
        <v>98</v>
      </c>
      <c r="E3" s="3" t="s">
        <v>99</v>
      </c>
    </row>
    <row r="4" customFormat="false" ht="15" hidden="false" customHeight="false" outlineLevel="0" collapsed="false">
      <c r="A4" s="3" t="s">
        <v>100</v>
      </c>
      <c r="B4" s="3" t="n">
        <v>9</v>
      </c>
      <c r="C4" s="3" t="s">
        <v>97</v>
      </c>
      <c r="D4" s="3" t="s">
        <v>101</v>
      </c>
      <c r="E4" s="3" t="s">
        <v>102</v>
      </c>
    </row>
    <row r="5" customFormat="false" ht="22.35" hidden="false" customHeight="false" outlineLevel="0" collapsed="false">
      <c r="A5" s="3" t="s">
        <v>33</v>
      </c>
      <c r="B5" s="3" t="n">
        <v>39</v>
      </c>
      <c r="C5" s="3" t="s">
        <v>103</v>
      </c>
      <c r="D5" s="3" t="s">
        <v>104</v>
      </c>
      <c r="E5" s="3" t="s">
        <v>105</v>
      </c>
    </row>
    <row r="6" customFormat="false" ht="15" hidden="false" customHeight="false" outlineLevel="0" collapsed="false">
      <c r="A6" s="3" t="s">
        <v>106</v>
      </c>
      <c r="B6" s="3" t="n">
        <v>21</v>
      </c>
      <c r="C6" s="3" t="s">
        <v>107</v>
      </c>
      <c r="D6" s="3" t="s">
        <v>108</v>
      </c>
      <c r="E6" s="3" t="s">
        <v>109</v>
      </c>
    </row>
    <row r="7" customFormat="false" ht="22.35" hidden="false" customHeight="false" outlineLevel="0" collapsed="false">
      <c r="A7" s="3" t="s">
        <v>41</v>
      </c>
      <c r="B7" s="3" t="n">
        <v>48</v>
      </c>
      <c r="C7" s="3" t="s">
        <v>110</v>
      </c>
      <c r="D7" s="3" t="s">
        <v>111</v>
      </c>
      <c r="E7" s="3" t="s">
        <v>112</v>
      </c>
    </row>
    <row r="8" customFormat="false" ht="22.35" hidden="false" customHeight="false" outlineLevel="0" collapsed="false">
      <c r="A8" s="3" t="s">
        <v>52</v>
      </c>
      <c r="B8" s="3" t="n">
        <v>70</v>
      </c>
      <c r="C8" s="3" t="s">
        <v>113</v>
      </c>
      <c r="D8" s="3" t="s">
        <v>114</v>
      </c>
      <c r="E8" s="3" t="s">
        <v>115</v>
      </c>
    </row>
    <row r="9" customFormat="false" ht="22.35" hidden="false" customHeight="false" outlineLevel="0" collapsed="false">
      <c r="A9" s="3" t="s">
        <v>56</v>
      </c>
      <c r="B9" s="3" t="n">
        <v>73</v>
      </c>
      <c r="C9" s="3" t="s">
        <v>116</v>
      </c>
      <c r="D9" s="3" t="s">
        <v>117</v>
      </c>
      <c r="E9" s="3" t="s">
        <v>115</v>
      </c>
    </row>
    <row r="10" customFormat="false" ht="15" hidden="false" customHeight="false" outlineLevel="0" collapsed="false">
      <c r="A10" s="3" t="s">
        <v>60</v>
      </c>
      <c r="B10" s="3" t="n">
        <v>143</v>
      </c>
      <c r="C10" s="3" t="s">
        <v>118</v>
      </c>
      <c r="D10" s="3" t="s">
        <v>119</v>
      </c>
      <c r="E10" s="3" t="s">
        <v>120</v>
      </c>
    </row>
    <row r="11" customFormat="false" ht="15" hidden="false" customHeight="false" outlineLevel="0" collapsed="false">
      <c r="A11" s="3" t="s">
        <v>121</v>
      </c>
      <c r="B11" s="3" t="n">
        <v>70</v>
      </c>
      <c r="C11" s="3" t="s">
        <v>122</v>
      </c>
      <c r="D11" s="3" t="s">
        <v>123</v>
      </c>
      <c r="E11" s="3" t="s">
        <v>105</v>
      </c>
    </row>
    <row r="12" customFormat="false" ht="15" hidden="false" customHeight="false" outlineLevel="0" collapsed="false">
      <c r="A12" s="3" t="s">
        <v>124</v>
      </c>
      <c r="B12" s="3" t="n">
        <v>125</v>
      </c>
      <c r="C12" s="3" t="s">
        <v>122</v>
      </c>
      <c r="D12" s="3" t="s">
        <v>125</v>
      </c>
      <c r="E12" s="3" t="s">
        <v>105</v>
      </c>
    </row>
    <row r="13" customFormat="false" ht="22.35" hidden="false" customHeight="false" outlineLevel="0" collapsed="false">
      <c r="A13" s="3" t="s">
        <v>69</v>
      </c>
      <c r="B13" s="3" t="n">
        <v>42</v>
      </c>
      <c r="C13" s="3" t="s">
        <v>126</v>
      </c>
      <c r="D13" s="3" t="s">
        <v>127</v>
      </c>
      <c r="E13" s="3" t="s">
        <v>128</v>
      </c>
    </row>
    <row r="14" customFormat="false" ht="15" hidden="false" customHeight="false" outlineLevel="0" collapsed="false">
      <c r="A14" s="0" t="s">
        <v>129</v>
      </c>
      <c r="B14" s="0" t="n">
        <f aca="false">SUM(B2:B13)</f>
        <v>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2" t="s">
        <v>130</v>
      </c>
      <c r="B1" s="2" t="s">
        <v>131</v>
      </c>
      <c r="C1" s="2" t="s">
        <v>132</v>
      </c>
    </row>
    <row r="2" customFormat="false" ht="15" hidden="false" customHeight="false" outlineLevel="0" collapsed="false">
      <c r="A2" s="3" t="s">
        <v>133</v>
      </c>
      <c r="B2" s="3" t="s">
        <v>134</v>
      </c>
      <c r="C2" s="3" t="s">
        <v>33</v>
      </c>
    </row>
    <row r="3" customFormat="false" ht="15" hidden="false" customHeight="false" outlineLevel="0" collapsed="false">
      <c r="A3" s="3" t="s">
        <v>135</v>
      </c>
      <c r="B3" s="3" t="s">
        <v>136</v>
      </c>
      <c r="C3" s="3" t="s">
        <v>33</v>
      </c>
    </row>
    <row r="4" customFormat="false" ht="15" hidden="false" customHeight="false" outlineLevel="0" collapsed="false">
      <c r="A4" s="3" t="s">
        <v>137</v>
      </c>
      <c r="B4" s="3" t="s">
        <v>138</v>
      </c>
      <c r="C4" s="3" t="s">
        <v>33</v>
      </c>
    </row>
    <row r="5" customFormat="false" ht="15" hidden="false" customHeight="false" outlineLevel="0" collapsed="false">
      <c r="A5" s="3" t="s">
        <v>139</v>
      </c>
      <c r="B5" s="3" t="s">
        <v>140</v>
      </c>
      <c r="C5" s="3" t="s">
        <v>141</v>
      </c>
    </row>
    <row r="6" customFormat="false" ht="15" hidden="false" customHeight="false" outlineLevel="0" collapsed="false">
      <c r="A6" s="3" t="s">
        <v>142</v>
      </c>
      <c r="B6" s="3" t="s">
        <v>143</v>
      </c>
      <c r="C6" s="3" t="s">
        <v>33</v>
      </c>
    </row>
    <row r="7" customFormat="false" ht="15" hidden="false" customHeight="false" outlineLevel="0" collapsed="false">
      <c r="A7" s="3" t="s">
        <v>144</v>
      </c>
      <c r="B7" s="3" t="s">
        <v>145</v>
      </c>
      <c r="C7" s="3" t="s">
        <v>41</v>
      </c>
    </row>
    <row r="8" customFormat="false" ht="15" hidden="false" customHeight="false" outlineLevel="0" collapsed="false">
      <c r="A8" s="3" t="s">
        <v>146</v>
      </c>
      <c r="B8" s="3" t="s">
        <v>147</v>
      </c>
      <c r="C8" s="3" t="s">
        <v>41</v>
      </c>
    </row>
    <row r="9" customFormat="false" ht="15" hidden="false" customHeight="false" outlineLevel="0" collapsed="false">
      <c r="A9" s="3" t="s">
        <v>148</v>
      </c>
      <c r="B9" s="3" t="s">
        <v>149</v>
      </c>
      <c r="C9" s="3" t="s">
        <v>150</v>
      </c>
    </row>
    <row r="10" customFormat="false" ht="15" hidden="false" customHeight="false" outlineLevel="0" collapsed="false">
      <c r="A10" s="3" t="s">
        <v>151</v>
      </c>
      <c r="B10" s="3" t="s">
        <v>152</v>
      </c>
      <c r="C10" s="3" t="s">
        <v>56</v>
      </c>
    </row>
    <row r="11" customFormat="false" ht="15" hidden="false" customHeight="false" outlineLevel="0" collapsed="false">
      <c r="A11" s="3" t="s">
        <v>153</v>
      </c>
      <c r="B11" s="3" t="s">
        <v>154</v>
      </c>
      <c r="C11" s="3" t="s">
        <v>155</v>
      </c>
    </row>
    <row r="12" customFormat="false" ht="15" hidden="false" customHeight="false" outlineLevel="0" collapsed="false">
      <c r="A12" s="3" t="s">
        <v>156</v>
      </c>
      <c r="B12" s="3" t="s">
        <v>157</v>
      </c>
      <c r="C12" s="3" t="s">
        <v>60</v>
      </c>
    </row>
    <row r="13" customFormat="false" ht="22.35" hidden="false" customHeight="false" outlineLevel="0" collapsed="false">
      <c r="A13" s="3" t="s">
        <v>158</v>
      </c>
      <c r="B13" s="3" t="s">
        <v>159</v>
      </c>
      <c r="C13" s="3" t="s">
        <v>60</v>
      </c>
    </row>
    <row r="14" customFormat="false" ht="22.35" hidden="false" customHeight="false" outlineLevel="0" collapsed="false">
      <c r="A14" s="3" t="s">
        <v>160</v>
      </c>
      <c r="B14" s="3" t="s">
        <v>161</v>
      </c>
      <c r="C14" s="3" t="s">
        <v>60</v>
      </c>
    </row>
    <row r="15" customFormat="false" ht="15" hidden="false" customHeight="false" outlineLevel="0" collapsed="false">
      <c r="A15" s="3" t="s">
        <v>162</v>
      </c>
      <c r="B15" s="3" t="s">
        <v>163</v>
      </c>
      <c r="C15" s="3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80"/>
    <col collapsed="false" customWidth="true" hidden="false" outlineLevel="0" max="5" min="5" style="0" width="40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2" t="s">
        <v>130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11</v>
      </c>
    </row>
    <row r="2" customFormat="false" ht="43.25" hidden="false" customHeight="false" outlineLevel="0" collapsed="false">
      <c r="A2" s="3" t="s">
        <v>169</v>
      </c>
      <c r="B2" s="3" t="s">
        <v>170</v>
      </c>
      <c r="C2" s="3" t="s">
        <v>171</v>
      </c>
      <c r="D2" s="3" t="s">
        <v>172</v>
      </c>
      <c r="E2" s="3" t="s">
        <v>173</v>
      </c>
      <c r="F2" s="3" t="s">
        <v>174</v>
      </c>
      <c r="G2" s="3" t="s">
        <v>175</v>
      </c>
    </row>
    <row r="3" customFormat="false" ht="32.8" hidden="false" customHeight="false" outlineLevel="0" collapsed="false">
      <c r="A3" s="3" t="s">
        <v>176</v>
      </c>
      <c r="B3" s="3" t="s">
        <v>170</v>
      </c>
      <c r="C3" s="3" t="s">
        <v>171</v>
      </c>
      <c r="D3" s="3" t="s">
        <v>177</v>
      </c>
      <c r="E3" s="3" t="s">
        <v>178</v>
      </c>
      <c r="F3" s="3" t="s">
        <v>179</v>
      </c>
      <c r="G3" s="3" t="s">
        <v>180</v>
      </c>
    </row>
    <row r="4" customFormat="false" ht="32.8" hidden="false" customHeight="false" outlineLevel="0" collapsed="false">
      <c r="A4" s="3" t="s">
        <v>181</v>
      </c>
      <c r="B4" s="3" t="s">
        <v>170</v>
      </c>
      <c r="C4" s="3" t="s">
        <v>171</v>
      </c>
      <c r="D4" s="3" t="s">
        <v>182</v>
      </c>
      <c r="E4" s="3" t="s">
        <v>183</v>
      </c>
      <c r="F4" s="3" t="s">
        <v>184</v>
      </c>
      <c r="G4" s="3" t="s">
        <v>185</v>
      </c>
    </row>
    <row r="5" customFormat="false" ht="15" hidden="false" customHeight="false" outlineLevel="0" collapsed="false">
      <c r="A5" s="3" t="s">
        <v>186</v>
      </c>
      <c r="B5" s="3" t="s">
        <v>187</v>
      </c>
      <c r="C5" s="3" t="s">
        <v>171</v>
      </c>
      <c r="D5" s="3" t="s">
        <v>188</v>
      </c>
      <c r="E5" s="3" t="s">
        <v>189</v>
      </c>
      <c r="F5" s="3" t="s">
        <v>190</v>
      </c>
      <c r="G5" s="3" t="s">
        <v>191</v>
      </c>
    </row>
    <row r="6" customFormat="false" ht="22.35" hidden="false" customHeight="false" outlineLevel="0" collapsed="false">
      <c r="A6" s="3" t="s">
        <v>192</v>
      </c>
      <c r="B6" s="3" t="s">
        <v>187</v>
      </c>
      <c r="C6" s="3" t="s">
        <v>171</v>
      </c>
      <c r="D6" s="3" t="s">
        <v>193</v>
      </c>
      <c r="E6" s="3" t="s">
        <v>194</v>
      </c>
      <c r="F6" s="3" t="s">
        <v>195</v>
      </c>
      <c r="G6" s="3" t="s">
        <v>196</v>
      </c>
    </row>
    <row r="7" customFormat="false" ht="22.35" hidden="false" customHeight="false" outlineLevel="0" collapsed="false">
      <c r="A7" s="3" t="s">
        <v>197</v>
      </c>
      <c r="B7" s="3" t="s">
        <v>187</v>
      </c>
      <c r="C7" s="3" t="s">
        <v>198</v>
      </c>
      <c r="D7" s="3" t="s">
        <v>199</v>
      </c>
      <c r="E7" s="3" t="s">
        <v>200</v>
      </c>
      <c r="F7" s="3" t="s">
        <v>201</v>
      </c>
      <c r="G7" s="3" t="s">
        <v>202</v>
      </c>
    </row>
    <row r="8" customFormat="false" ht="43.25" hidden="false" customHeight="false" outlineLevel="0" collapsed="false">
      <c r="A8" s="3" t="s">
        <v>203</v>
      </c>
      <c r="B8" s="3" t="s">
        <v>187</v>
      </c>
      <c r="C8" s="3" t="s">
        <v>204</v>
      </c>
      <c r="D8" s="3" t="s">
        <v>205</v>
      </c>
      <c r="E8" s="3" t="s">
        <v>206</v>
      </c>
      <c r="F8" s="3" t="s">
        <v>207</v>
      </c>
      <c r="G8" s="3" t="s">
        <v>208</v>
      </c>
    </row>
    <row r="9" customFormat="false" ht="32.8" hidden="false" customHeight="false" outlineLevel="0" collapsed="false">
      <c r="A9" s="3" t="s">
        <v>209</v>
      </c>
      <c r="B9" s="3" t="s">
        <v>187</v>
      </c>
      <c r="C9" s="3" t="s">
        <v>210</v>
      </c>
      <c r="D9" s="3" t="s">
        <v>211</v>
      </c>
      <c r="E9" s="3" t="s">
        <v>212</v>
      </c>
      <c r="F9" s="3" t="s">
        <v>213</v>
      </c>
      <c r="G9" s="3" t="s">
        <v>214</v>
      </c>
    </row>
    <row r="10" customFormat="false" ht="22.35" hidden="false" customHeight="false" outlineLevel="0" collapsed="false">
      <c r="A10" s="3" t="s">
        <v>215</v>
      </c>
      <c r="B10" s="3" t="s">
        <v>216</v>
      </c>
      <c r="C10" s="3" t="s">
        <v>217</v>
      </c>
      <c r="D10" s="3" t="s">
        <v>218</v>
      </c>
      <c r="E10" s="3" t="s">
        <v>219</v>
      </c>
      <c r="F10" s="3" t="s">
        <v>220</v>
      </c>
      <c r="G10" s="3" t="s">
        <v>221</v>
      </c>
    </row>
    <row r="11" customFormat="false" ht="22.35" hidden="false" customHeight="false" outlineLevel="0" collapsed="false">
      <c r="A11" s="3" t="s">
        <v>222</v>
      </c>
      <c r="B11" s="3" t="s">
        <v>216</v>
      </c>
      <c r="C11" s="3" t="s">
        <v>223</v>
      </c>
      <c r="D11" s="3" t="s">
        <v>224</v>
      </c>
      <c r="E11" s="3" t="s">
        <v>200</v>
      </c>
      <c r="F11" s="3" t="s">
        <v>225</v>
      </c>
      <c r="G11" s="3" t="s">
        <v>226</v>
      </c>
    </row>
    <row r="12" customFormat="false" ht="22.35" hidden="false" customHeight="false" outlineLevel="0" collapsed="false">
      <c r="A12" s="3" t="s">
        <v>227</v>
      </c>
      <c r="B12" s="3" t="s">
        <v>216</v>
      </c>
      <c r="C12" s="3" t="s">
        <v>228</v>
      </c>
      <c r="D12" s="3" t="s">
        <v>229</v>
      </c>
      <c r="E12" s="3" t="s">
        <v>200</v>
      </c>
      <c r="F12" s="3" t="s">
        <v>230</v>
      </c>
      <c r="G12" s="3" t="s">
        <v>185</v>
      </c>
    </row>
    <row r="13" customFormat="false" ht="22.35" hidden="false" customHeight="false" outlineLevel="0" collapsed="false">
      <c r="A13" s="3" t="s">
        <v>231</v>
      </c>
      <c r="B13" s="3" t="s">
        <v>216</v>
      </c>
      <c r="C13" s="3" t="s">
        <v>232</v>
      </c>
      <c r="D13" s="3" t="s">
        <v>233</v>
      </c>
      <c r="E13" s="3" t="s">
        <v>234</v>
      </c>
      <c r="F13" s="3" t="s">
        <v>235</v>
      </c>
      <c r="G13" s="3" t="s">
        <v>236</v>
      </c>
    </row>
    <row r="14" customFormat="false" ht="32.8" hidden="false" customHeight="false" outlineLevel="0" collapsed="false">
      <c r="A14" s="3" t="s">
        <v>237</v>
      </c>
      <c r="B14" s="3" t="s">
        <v>238</v>
      </c>
      <c r="C14" s="3" t="s">
        <v>239</v>
      </c>
      <c r="D14" s="3" t="s">
        <v>240</v>
      </c>
      <c r="E14" s="3" t="s">
        <v>241</v>
      </c>
      <c r="F14" s="3" t="s">
        <v>242</v>
      </c>
      <c r="G14" s="3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56"/>
    <col collapsed="false" customWidth="true" hidden="false" outlineLevel="0" max="5" min="5" style="0" width="20"/>
    <col collapsed="false" customWidth="true" hidden="false" outlineLevel="0" max="7" min="6" style="0" width="9"/>
    <col collapsed="false" customWidth="true" hidden="false" outlineLevel="0" max="8" min="8" style="0" width="6"/>
    <col collapsed="false" customWidth="true" hidden="false" outlineLevel="0" max="9" min="9" style="0" width="9"/>
  </cols>
  <sheetData>
    <row r="1" customFormat="false" ht="15" hidden="false" customHeight="false" outlineLevel="0" collapsed="false">
      <c r="A1" s="2" t="s">
        <v>244</v>
      </c>
      <c r="B1" s="2" t="s">
        <v>245</v>
      </c>
      <c r="C1" s="2" t="s">
        <v>246</v>
      </c>
      <c r="D1" s="2" t="s">
        <v>247</v>
      </c>
      <c r="E1" s="2" t="s">
        <v>248</v>
      </c>
      <c r="F1" s="2" t="s">
        <v>249</v>
      </c>
      <c r="G1" s="2" t="s">
        <v>23</v>
      </c>
      <c r="H1" s="2" t="s">
        <v>250</v>
      </c>
      <c r="I1" s="2" t="s">
        <v>251</v>
      </c>
    </row>
    <row r="2" customFormat="false" ht="15" hidden="false" customHeight="false" outlineLevel="0" collapsed="false">
      <c r="A2" s="3" t="n">
        <v>1</v>
      </c>
      <c r="B2" s="3" t="s">
        <v>175</v>
      </c>
      <c r="C2" s="3" t="s">
        <v>252</v>
      </c>
      <c r="D2" s="3" t="s">
        <v>253</v>
      </c>
      <c r="E2" s="3" t="s">
        <v>254</v>
      </c>
      <c r="F2" s="3" t="s">
        <v>28</v>
      </c>
      <c r="G2" s="3" t="s">
        <v>255</v>
      </c>
      <c r="H2" s="3" t="n">
        <v>13</v>
      </c>
      <c r="I2" s="3" t="s">
        <v>256</v>
      </c>
    </row>
    <row r="3" customFormat="false" ht="15" hidden="false" customHeight="false" outlineLevel="0" collapsed="false">
      <c r="A3" s="3" t="n">
        <v>2</v>
      </c>
      <c r="B3" s="3" t="s">
        <v>180</v>
      </c>
      <c r="C3" s="3" t="s">
        <v>252</v>
      </c>
      <c r="D3" s="3" t="s">
        <v>257</v>
      </c>
      <c r="E3" s="3" t="s">
        <v>254</v>
      </c>
      <c r="F3" s="3" t="s">
        <v>28</v>
      </c>
      <c r="G3" s="3" t="s">
        <v>255</v>
      </c>
      <c r="H3" s="3" t="n">
        <v>2</v>
      </c>
      <c r="I3" s="3" t="s">
        <v>256</v>
      </c>
    </row>
    <row r="4" customFormat="false" ht="15" hidden="false" customHeight="false" outlineLevel="0" collapsed="false">
      <c r="A4" s="3" t="n">
        <v>3</v>
      </c>
      <c r="B4" s="3" t="s">
        <v>185</v>
      </c>
      <c r="C4" s="3" t="s">
        <v>252</v>
      </c>
      <c r="D4" s="3" t="s">
        <v>258</v>
      </c>
      <c r="E4" s="3" t="s">
        <v>254</v>
      </c>
      <c r="F4" s="3" t="s">
        <v>28</v>
      </c>
      <c r="G4" s="3" t="s">
        <v>170</v>
      </c>
      <c r="H4" s="3" t="n">
        <v>3</v>
      </c>
      <c r="I4" s="3" t="s">
        <v>256</v>
      </c>
    </row>
    <row r="5" customFormat="false" ht="15" hidden="false" customHeight="false" outlineLevel="0" collapsed="false">
      <c r="A5" s="3" t="n">
        <v>4</v>
      </c>
      <c r="B5" s="3" t="s">
        <v>191</v>
      </c>
      <c r="C5" s="3" t="s">
        <v>252</v>
      </c>
      <c r="D5" s="3" t="s">
        <v>259</v>
      </c>
      <c r="E5" s="3" t="s">
        <v>254</v>
      </c>
      <c r="F5" s="3" t="s">
        <v>28</v>
      </c>
      <c r="G5" s="3" t="s">
        <v>170</v>
      </c>
      <c r="H5" s="3" t="n">
        <v>2</v>
      </c>
      <c r="I5" s="3" t="s">
        <v>256</v>
      </c>
    </row>
    <row r="6" customFormat="false" ht="15" hidden="false" customHeight="false" outlineLevel="0" collapsed="false">
      <c r="A6" s="3" t="n">
        <v>5</v>
      </c>
      <c r="B6" s="3" t="s">
        <v>196</v>
      </c>
      <c r="C6" s="3" t="s">
        <v>252</v>
      </c>
      <c r="D6" s="3" t="s">
        <v>260</v>
      </c>
      <c r="E6" s="3" t="s">
        <v>254</v>
      </c>
      <c r="F6" s="3" t="s">
        <v>28</v>
      </c>
      <c r="G6" s="3" t="s">
        <v>170</v>
      </c>
      <c r="H6" s="3" t="n">
        <v>2</v>
      </c>
      <c r="I6" s="3" t="s">
        <v>256</v>
      </c>
    </row>
    <row r="7" customFormat="false" ht="15" hidden="false" customHeight="false" outlineLevel="0" collapsed="false">
      <c r="A7" s="3" t="n">
        <v>6</v>
      </c>
      <c r="B7" s="3" t="s">
        <v>202</v>
      </c>
      <c r="C7" s="3" t="s">
        <v>261</v>
      </c>
      <c r="D7" s="3" t="s">
        <v>262</v>
      </c>
      <c r="E7" s="3" t="s">
        <v>254</v>
      </c>
      <c r="F7" s="3" t="s">
        <v>28</v>
      </c>
      <c r="G7" s="3" t="s">
        <v>170</v>
      </c>
      <c r="H7" s="3" t="n">
        <v>3</v>
      </c>
      <c r="I7" s="3" t="s">
        <v>256</v>
      </c>
    </row>
    <row r="8" customFormat="false" ht="15" hidden="false" customHeight="false" outlineLevel="0" collapsed="false">
      <c r="A8" s="3" t="n">
        <v>7</v>
      </c>
      <c r="B8" s="3" t="s">
        <v>263</v>
      </c>
      <c r="C8" s="3" t="s">
        <v>261</v>
      </c>
      <c r="D8" s="3" t="s">
        <v>264</v>
      </c>
      <c r="E8" s="3" t="s">
        <v>265</v>
      </c>
      <c r="F8" s="3" t="s">
        <v>28</v>
      </c>
      <c r="G8" s="3" t="s">
        <v>187</v>
      </c>
      <c r="H8" s="3" t="n">
        <v>2</v>
      </c>
      <c r="I8" s="3" t="s">
        <v>256</v>
      </c>
    </row>
    <row r="9" customFormat="false" ht="15" hidden="false" customHeight="false" outlineLevel="0" collapsed="false">
      <c r="A9" s="3" t="n">
        <v>8</v>
      </c>
      <c r="B9" s="3" t="s">
        <v>208</v>
      </c>
      <c r="C9" s="3" t="s">
        <v>266</v>
      </c>
      <c r="D9" s="3" t="s">
        <v>267</v>
      </c>
      <c r="E9" s="3" t="s">
        <v>254</v>
      </c>
      <c r="F9" s="3" t="s">
        <v>48</v>
      </c>
      <c r="G9" s="3" t="s">
        <v>187</v>
      </c>
      <c r="H9" s="3" t="n">
        <v>5</v>
      </c>
      <c r="I9" s="3" t="s">
        <v>256</v>
      </c>
    </row>
    <row r="10" customFormat="false" ht="15" hidden="false" customHeight="false" outlineLevel="0" collapsed="false">
      <c r="A10" s="3" t="n">
        <v>9</v>
      </c>
      <c r="B10" s="3" t="s">
        <v>221</v>
      </c>
      <c r="C10" s="3" t="s">
        <v>266</v>
      </c>
      <c r="D10" s="3" t="s">
        <v>268</v>
      </c>
      <c r="E10" s="3" t="s">
        <v>254</v>
      </c>
      <c r="F10" s="3" t="s">
        <v>48</v>
      </c>
      <c r="G10" s="3" t="s">
        <v>187</v>
      </c>
      <c r="H10" s="3" t="n">
        <v>3</v>
      </c>
      <c r="I10" s="3" t="s">
        <v>256</v>
      </c>
    </row>
    <row r="11" customFormat="false" ht="15" hidden="false" customHeight="false" outlineLevel="0" collapsed="false">
      <c r="A11" s="3" t="n">
        <v>10</v>
      </c>
      <c r="B11" s="3" t="s">
        <v>226</v>
      </c>
      <c r="C11" s="3" t="s">
        <v>266</v>
      </c>
      <c r="D11" s="3" t="s">
        <v>269</v>
      </c>
      <c r="E11" s="3" t="s">
        <v>254</v>
      </c>
      <c r="F11" s="3" t="s">
        <v>48</v>
      </c>
      <c r="G11" s="3" t="s">
        <v>216</v>
      </c>
      <c r="H11" s="3" t="n">
        <v>3</v>
      </c>
      <c r="I11" s="3" t="s">
        <v>256</v>
      </c>
    </row>
    <row r="12" customFormat="false" ht="15" hidden="false" customHeight="false" outlineLevel="0" collapsed="false">
      <c r="A12" s="3" t="n">
        <v>11</v>
      </c>
      <c r="B12" s="3" t="s">
        <v>214</v>
      </c>
      <c r="C12" s="3" t="s">
        <v>270</v>
      </c>
      <c r="D12" s="3" t="s">
        <v>271</v>
      </c>
      <c r="E12" s="3" t="s">
        <v>272</v>
      </c>
      <c r="F12" s="3" t="s">
        <v>48</v>
      </c>
      <c r="G12" s="3" t="s">
        <v>170</v>
      </c>
      <c r="H12" s="3" t="n">
        <v>5</v>
      </c>
      <c r="I12" s="3" t="s">
        <v>256</v>
      </c>
    </row>
    <row r="13" customFormat="false" ht="15" hidden="false" customHeight="false" outlineLevel="0" collapsed="false">
      <c r="A13" s="3" t="n">
        <v>12</v>
      </c>
      <c r="B13" s="3" t="s">
        <v>273</v>
      </c>
      <c r="C13" s="3" t="s">
        <v>270</v>
      </c>
      <c r="D13" s="3" t="s">
        <v>274</v>
      </c>
      <c r="E13" s="3" t="s">
        <v>272</v>
      </c>
      <c r="F13" s="3" t="s">
        <v>48</v>
      </c>
      <c r="G13" s="3" t="s">
        <v>187</v>
      </c>
      <c r="H13" s="3" t="n">
        <v>8</v>
      </c>
      <c r="I13" s="3" t="s">
        <v>256</v>
      </c>
    </row>
    <row r="14" customFormat="false" ht="15" hidden="false" customHeight="false" outlineLevel="0" collapsed="false">
      <c r="A14" s="3" t="n">
        <v>13</v>
      </c>
      <c r="B14" s="3" t="s">
        <v>275</v>
      </c>
      <c r="C14" s="3" t="s">
        <v>276</v>
      </c>
      <c r="D14" s="3" t="s">
        <v>277</v>
      </c>
      <c r="E14" s="3" t="s">
        <v>278</v>
      </c>
      <c r="F14" s="3" t="s">
        <v>48</v>
      </c>
      <c r="G14" s="3" t="s">
        <v>187</v>
      </c>
      <c r="H14" s="3" t="n">
        <v>5</v>
      </c>
      <c r="I14" s="3" t="s">
        <v>256</v>
      </c>
    </row>
    <row r="15" customFormat="false" ht="15" hidden="false" customHeight="false" outlineLevel="0" collapsed="false">
      <c r="A15" s="3" t="n">
        <v>14</v>
      </c>
      <c r="B15" s="3" t="s">
        <v>243</v>
      </c>
      <c r="C15" s="3" t="s">
        <v>276</v>
      </c>
      <c r="D15" s="3" t="s">
        <v>279</v>
      </c>
      <c r="E15" s="3" t="s">
        <v>280</v>
      </c>
      <c r="F15" s="3" t="s">
        <v>48</v>
      </c>
      <c r="G15" s="3" t="s">
        <v>187</v>
      </c>
      <c r="H15" s="3" t="n">
        <v>5</v>
      </c>
      <c r="I15" s="3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5" min="4" style="0" width="44"/>
  </cols>
  <sheetData>
    <row r="1" customFormat="false" ht="15" hidden="false" customHeight="false" outlineLevel="0" collapsed="false">
      <c r="A1" s="2" t="s">
        <v>281</v>
      </c>
      <c r="B1" s="2" t="s">
        <v>282</v>
      </c>
      <c r="C1" s="2" t="s">
        <v>283</v>
      </c>
      <c r="D1" s="2" t="s">
        <v>284</v>
      </c>
      <c r="E1" s="2" t="s">
        <v>285</v>
      </c>
    </row>
    <row r="2" customFormat="false" ht="15" hidden="false" customHeight="false" outlineLevel="0" collapsed="false">
      <c r="A2" s="3" t="s">
        <v>286</v>
      </c>
      <c r="B2" s="3" t="s">
        <v>287</v>
      </c>
      <c r="C2" s="3" t="s">
        <v>288</v>
      </c>
      <c r="D2" s="3" t="s">
        <v>289</v>
      </c>
      <c r="E2" s="3" t="s">
        <v>290</v>
      </c>
    </row>
    <row r="3" customFormat="false" ht="15" hidden="false" customHeight="false" outlineLevel="0" collapsed="false">
      <c r="A3" s="3" t="s">
        <v>286</v>
      </c>
      <c r="B3" s="3" t="s">
        <v>291</v>
      </c>
      <c r="C3" s="3" t="s">
        <v>288</v>
      </c>
      <c r="D3" s="3" t="s">
        <v>292</v>
      </c>
      <c r="E3" s="3" t="s">
        <v>293</v>
      </c>
    </row>
    <row r="4" customFormat="false" ht="22.35" hidden="false" customHeight="false" outlineLevel="0" collapsed="false">
      <c r="A4" s="3" t="s">
        <v>294</v>
      </c>
      <c r="B4" s="3" t="s">
        <v>295</v>
      </c>
      <c r="C4" s="3" t="s">
        <v>288</v>
      </c>
      <c r="D4" s="3" t="s">
        <v>296</v>
      </c>
      <c r="E4" s="3" t="s">
        <v>297</v>
      </c>
    </row>
    <row r="5" customFormat="false" ht="22.35" hidden="false" customHeight="false" outlineLevel="0" collapsed="false">
      <c r="A5" s="3" t="s">
        <v>298</v>
      </c>
      <c r="B5" s="3" t="s">
        <v>299</v>
      </c>
      <c r="C5" s="3" t="s">
        <v>300</v>
      </c>
      <c r="D5" s="3" t="s">
        <v>301</v>
      </c>
      <c r="E5" s="3" t="s">
        <v>302</v>
      </c>
    </row>
    <row r="6" customFormat="false" ht="22.35" hidden="false" customHeight="false" outlineLevel="0" collapsed="false">
      <c r="A6" s="3" t="s">
        <v>303</v>
      </c>
      <c r="B6" s="3" t="s">
        <v>304</v>
      </c>
      <c r="C6" s="3" t="s">
        <v>305</v>
      </c>
      <c r="D6" s="3" t="s">
        <v>306</v>
      </c>
      <c r="E6" s="3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2" t="s">
        <v>130</v>
      </c>
      <c r="B1" s="2" t="s">
        <v>308</v>
      </c>
      <c r="C1" s="2" t="s">
        <v>309</v>
      </c>
      <c r="D1" s="2" t="s">
        <v>310</v>
      </c>
      <c r="E1" s="2" t="s">
        <v>311</v>
      </c>
    </row>
    <row r="2" customFormat="false" ht="22.35" hidden="false" customHeight="false" outlineLevel="0" collapsed="false">
      <c r="A2" s="3" t="s">
        <v>312</v>
      </c>
      <c r="B2" s="3" t="s">
        <v>313</v>
      </c>
      <c r="C2" s="3" t="s">
        <v>314</v>
      </c>
      <c r="D2" s="3" t="s">
        <v>315</v>
      </c>
      <c r="E2" s="3" t="s">
        <v>316</v>
      </c>
    </row>
    <row r="3" customFormat="false" ht="22.35" hidden="false" customHeight="false" outlineLevel="0" collapsed="false">
      <c r="A3" s="3" t="s">
        <v>317</v>
      </c>
      <c r="B3" s="3" t="s">
        <v>313</v>
      </c>
      <c r="C3" s="3" t="s">
        <v>318</v>
      </c>
      <c r="D3" s="3" t="s">
        <v>319</v>
      </c>
      <c r="E3" s="3" t="s">
        <v>320</v>
      </c>
    </row>
    <row r="4" customFormat="false" ht="15" hidden="false" customHeight="false" outlineLevel="0" collapsed="false">
      <c r="A4" s="3" t="s">
        <v>321</v>
      </c>
      <c r="B4" s="3" t="s">
        <v>322</v>
      </c>
      <c r="C4" s="3" t="s">
        <v>323</v>
      </c>
      <c r="D4" s="3" t="s">
        <v>315</v>
      </c>
      <c r="E4" s="3" t="s">
        <v>324</v>
      </c>
    </row>
    <row r="5" customFormat="false" ht="15" hidden="false" customHeight="false" outlineLevel="0" collapsed="false">
      <c r="A5" s="3" t="s">
        <v>325</v>
      </c>
      <c r="B5" s="3" t="s">
        <v>326</v>
      </c>
      <c r="C5" s="3" t="s">
        <v>327</v>
      </c>
      <c r="D5" s="3" t="s">
        <v>315</v>
      </c>
      <c r="E5" s="3" t="s">
        <v>328</v>
      </c>
    </row>
    <row r="6" customFormat="false" ht="15" hidden="false" customHeight="false" outlineLevel="0" collapsed="false">
      <c r="A6" s="3" t="s">
        <v>329</v>
      </c>
      <c r="B6" s="3" t="s">
        <v>330</v>
      </c>
      <c r="C6" s="3" t="s">
        <v>331</v>
      </c>
      <c r="D6" s="3" t="s">
        <v>315</v>
      </c>
      <c r="E6" s="3" t="s">
        <v>332</v>
      </c>
    </row>
    <row r="7" customFormat="false" ht="15" hidden="false" customHeight="false" outlineLevel="0" collapsed="false">
      <c r="A7" s="3" t="s">
        <v>333</v>
      </c>
      <c r="B7" s="3" t="s">
        <v>334</v>
      </c>
      <c r="C7" s="3" t="s">
        <v>335</v>
      </c>
      <c r="D7" s="3" t="s">
        <v>336</v>
      </c>
      <c r="E7" s="3" t="s">
        <v>337</v>
      </c>
    </row>
    <row r="8" customFormat="false" ht="15" hidden="false" customHeight="false" outlineLevel="0" collapsed="false">
      <c r="A8" s="3" t="s">
        <v>338</v>
      </c>
      <c r="B8" s="3" t="s">
        <v>339</v>
      </c>
      <c r="C8" s="3" t="s">
        <v>340</v>
      </c>
      <c r="D8" s="3" t="s">
        <v>341</v>
      </c>
      <c r="E8" s="3" t="s">
        <v>342</v>
      </c>
    </row>
    <row r="9" customFormat="false" ht="15" hidden="false" customHeight="false" outlineLevel="0" collapsed="false">
      <c r="A9" s="3" t="s">
        <v>343</v>
      </c>
      <c r="B9" s="3" t="s">
        <v>344</v>
      </c>
      <c r="C9" s="3" t="s">
        <v>345</v>
      </c>
      <c r="D9" s="3" t="s">
        <v>341</v>
      </c>
      <c r="E9" s="3" t="s">
        <v>346</v>
      </c>
    </row>
    <row r="10" customFormat="false" ht="15" hidden="false" customHeight="false" outlineLevel="0" collapsed="false">
      <c r="A10" s="3" t="s">
        <v>347</v>
      </c>
      <c r="B10" s="3" t="s">
        <v>348</v>
      </c>
      <c r="C10" s="3" t="s">
        <v>345</v>
      </c>
      <c r="D10" s="3" t="s">
        <v>341</v>
      </c>
      <c r="E10" s="3" t="s">
        <v>349</v>
      </c>
    </row>
    <row r="11" customFormat="false" ht="15" hidden="false" customHeight="false" outlineLevel="0" collapsed="false">
      <c r="A11" s="3" t="s">
        <v>350</v>
      </c>
      <c r="B11" s="3" t="s">
        <v>351</v>
      </c>
      <c r="C11" s="3" t="s">
        <v>345</v>
      </c>
      <c r="D11" s="3" t="s">
        <v>341</v>
      </c>
      <c r="E11" s="3" t="s">
        <v>352</v>
      </c>
    </row>
    <row r="12" customFormat="false" ht="15" hidden="false" customHeight="false" outlineLevel="0" collapsed="false">
      <c r="A12" s="3" t="s">
        <v>353</v>
      </c>
      <c r="B12" s="3" t="s">
        <v>354</v>
      </c>
      <c r="C12" s="3" t="s">
        <v>355</v>
      </c>
      <c r="D12" s="3" t="s">
        <v>341</v>
      </c>
      <c r="E12" s="3" t="s">
        <v>356</v>
      </c>
    </row>
    <row r="13" customFormat="false" ht="22.35" hidden="false" customHeight="false" outlineLevel="0" collapsed="false">
      <c r="A13" s="3" t="s">
        <v>357</v>
      </c>
      <c r="B13" s="3" t="s">
        <v>358</v>
      </c>
      <c r="C13" s="3" t="s">
        <v>359</v>
      </c>
      <c r="D13" s="3" t="s">
        <v>360</v>
      </c>
      <c r="E13" s="3" t="s">
        <v>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56"/>
    <col collapsed="false" customWidth="true" hidden="false" outlineLevel="0" max="9" min="9" style="0" width="10"/>
  </cols>
  <sheetData>
    <row r="1" customFormat="false" ht="23.85" hidden="false" customHeight="false" outlineLevel="0" collapsed="false">
      <c r="A1" s="2" t="s">
        <v>130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366</v>
      </c>
      <c r="G1" s="2" t="s">
        <v>367</v>
      </c>
      <c r="H1" s="2" t="s">
        <v>368</v>
      </c>
      <c r="I1" s="2" t="s">
        <v>251</v>
      </c>
    </row>
    <row r="2" customFormat="false" ht="22.35" hidden="false" customHeight="false" outlineLevel="0" collapsed="false">
      <c r="A2" s="3" t="s">
        <v>369</v>
      </c>
      <c r="B2" s="3" t="s">
        <v>370</v>
      </c>
      <c r="C2" s="3" t="s">
        <v>371</v>
      </c>
      <c r="D2" s="3" t="n">
        <v>4</v>
      </c>
      <c r="E2" s="3" t="n">
        <v>4</v>
      </c>
      <c r="F2" s="3" t="n">
        <f aca="false">D2*E2</f>
        <v>16</v>
      </c>
      <c r="G2" s="3" t="s">
        <v>367</v>
      </c>
      <c r="H2" s="3" t="s">
        <v>372</v>
      </c>
      <c r="I2" s="3" t="s">
        <v>373</v>
      </c>
    </row>
    <row r="3" customFormat="false" ht="15" hidden="false" customHeight="false" outlineLevel="0" collapsed="false">
      <c r="A3" s="3" t="s">
        <v>374</v>
      </c>
      <c r="B3" s="3" t="s">
        <v>370</v>
      </c>
      <c r="C3" s="3" t="s">
        <v>375</v>
      </c>
      <c r="D3" s="3" t="n">
        <v>5</v>
      </c>
      <c r="E3" s="3" t="n">
        <v>3</v>
      </c>
      <c r="F3" s="3" t="n">
        <f aca="false">D3*E3</f>
        <v>15</v>
      </c>
      <c r="G3" s="3" t="s">
        <v>367</v>
      </c>
      <c r="H3" s="3" t="s">
        <v>376</v>
      </c>
      <c r="I3" s="3" t="s">
        <v>373</v>
      </c>
    </row>
    <row r="4" customFormat="false" ht="15" hidden="false" customHeight="false" outlineLevel="0" collapsed="false">
      <c r="A4" s="3" t="s">
        <v>377</v>
      </c>
      <c r="B4" s="3" t="s">
        <v>370</v>
      </c>
      <c r="C4" s="3" t="s">
        <v>378</v>
      </c>
      <c r="D4" s="3" t="n">
        <v>4</v>
      </c>
      <c r="E4" s="3" t="n">
        <v>4</v>
      </c>
      <c r="F4" s="3" t="n">
        <f aca="false">D4*E4</f>
        <v>16</v>
      </c>
      <c r="G4" s="3" t="s">
        <v>367</v>
      </c>
      <c r="H4" s="3" t="s">
        <v>208</v>
      </c>
      <c r="I4" s="3" t="s">
        <v>373</v>
      </c>
    </row>
    <row r="5" customFormat="false" ht="15" hidden="false" customHeight="false" outlineLevel="0" collapsed="false">
      <c r="A5" s="3" t="s">
        <v>379</v>
      </c>
      <c r="B5" s="3" t="s">
        <v>370</v>
      </c>
      <c r="C5" s="3" t="s">
        <v>380</v>
      </c>
      <c r="D5" s="3" t="n">
        <v>3</v>
      </c>
      <c r="E5" s="3" t="n">
        <v>4</v>
      </c>
      <c r="F5" s="3" t="n">
        <f aca="false">D5*E5</f>
        <v>12</v>
      </c>
      <c r="G5" s="3" t="s">
        <v>367</v>
      </c>
      <c r="H5" s="3" t="s">
        <v>381</v>
      </c>
      <c r="I5" s="3" t="s">
        <v>373</v>
      </c>
    </row>
    <row r="6" customFormat="false" ht="15" hidden="false" customHeight="false" outlineLevel="0" collapsed="false">
      <c r="A6" s="3" t="s">
        <v>382</v>
      </c>
      <c r="B6" s="3" t="s">
        <v>383</v>
      </c>
      <c r="C6" s="3" t="s">
        <v>384</v>
      </c>
      <c r="D6" s="3" t="n">
        <v>4</v>
      </c>
      <c r="E6" s="3" t="n">
        <v>2</v>
      </c>
      <c r="F6" s="3" t="n">
        <f aca="false">D6*E6</f>
        <v>8</v>
      </c>
      <c r="G6" s="3" t="s">
        <v>367</v>
      </c>
      <c r="H6" s="3" t="s">
        <v>385</v>
      </c>
      <c r="I6" s="3" t="s">
        <v>373</v>
      </c>
    </row>
    <row r="7" customFormat="false" ht="15" hidden="false" customHeight="false" outlineLevel="0" collapsed="false">
      <c r="A7" s="3" t="s">
        <v>386</v>
      </c>
      <c r="B7" s="3" t="s">
        <v>387</v>
      </c>
      <c r="C7" s="3" t="s">
        <v>388</v>
      </c>
      <c r="D7" s="3" t="n">
        <v>4</v>
      </c>
      <c r="E7" s="3" t="n">
        <v>3</v>
      </c>
      <c r="F7" s="3" t="n">
        <f aca="false">D7*E7</f>
        <v>12</v>
      </c>
      <c r="G7" s="3" t="s">
        <v>367</v>
      </c>
      <c r="H7" s="3" t="s">
        <v>389</v>
      </c>
      <c r="I7" s="3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4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15" hidden="false" customHeight="false" outlineLevel="0" collapsed="false">
      <c r="A1" s="2" t="s">
        <v>164</v>
      </c>
      <c r="B1" s="2" t="s">
        <v>390</v>
      </c>
      <c r="C1" s="2" t="s">
        <v>391</v>
      </c>
      <c r="D1" s="2" t="s">
        <v>392</v>
      </c>
    </row>
    <row r="2" customFormat="false" ht="15" hidden="false" customHeight="false" outlineLevel="0" collapsed="false">
      <c r="A2" s="3" t="s">
        <v>170</v>
      </c>
      <c r="B2" s="3" t="s">
        <v>393</v>
      </c>
      <c r="C2" s="3" t="s">
        <v>394</v>
      </c>
      <c r="D2" s="3" t="s">
        <v>395</v>
      </c>
    </row>
    <row r="3" customFormat="false" ht="15" hidden="false" customHeight="false" outlineLevel="0" collapsed="false">
      <c r="A3" s="3" t="s">
        <v>187</v>
      </c>
      <c r="B3" s="3" t="s">
        <v>396</v>
      </c>
      <c r="C3" s="3" t="s">
        <v>397</v>
      </c>
      <c r="D3" s="3" t="s">
        <v>398</v>
      </c>
    </row>
    <row r="4" customFormat="false" ht="15" hidden="false" customHeight="false" outlineLevel="0" collapsed="false">
      <c r="A4" s="3" t="s">
        <v>216</v>
      </c>
      <c r="B4" s="3" t="s">
        <v>399</v>
      </c>
      <c r="C4" s="3" t="s">
        <v>400</v>
      </c>
      <c r="D4" s="3" t="s">
        <v>401</v>
      </c>
    </row>
    <row r="5" customFormat="false" ht="15" hidden="false" customHeight="false" outlineLevel="0" collapsed="false">
      <c r="A5" s="3" t="s">
        <v>238</v>
      </c>
      <c r="B5" s="3" t="s">
        <v>402</v>
      </c>
      <c r="C5" s="3" t="s">
        <v>400</v>
      </c>
      <c r="D5" s="3" t="s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2026-10-04T00:49:35Z</dcterms:created>
  <dc:creator>openpyxl</dc:creator>
  <dc:description/>
  <dc:language>en-US</dc:language>
  <cp:lastModifiedBy/>
  <dcterms:modified xsi:type="dcterms:W3CDTF">2026-10-04T00:49:35Z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