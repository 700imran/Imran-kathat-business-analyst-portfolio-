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keholder Register" sheetId="2" state="visible" r:id="rId4"/>
    <sheet name="RACI" sheetId="3" state="visible" r:id="rId5"/>
    <sheet name="Requirements Trace" sheetId="4" state="visible" r:id="rId6"/>
    <sheet name="MoSCoW Backlog" sheetId="5" state="visible" r:id="rId7"/>
    <sheet name="Sprint Metrics" sheetId="6" state="visible" r:id="rId8"/>
    <sheet name="RAID Log" sheetId="7" state="visible" r:id="rId9"/>
    <sheet name="Risk Register" sheetId="8" state="visible" r:id="rId10"/>
    <sheet name="Change Log" sheetId="9" state="visible" r:id="rId11"/>
    <sheet name="UAT" sheetId="10" state="visible" r:id="rId12"/>
    <sheet name="Defects" sheetId="11" state="visible" r:id="rId13"/>
    <sheet name="Defect Triage Matrix" sheetId="12" state="visible" r:id="rId14"/>
    <sheet name="Budget EVM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<sst xmlns="http://schemas.openxmlformats.org/spreadsheetml/2006/main" count="1048" uniqueCount="564">
  <si>
    <t xml:space="preserve">Masroof - simulated portfolio project. Fictional client, people and data.</t>
  </si>
  <si>
    <t xml:space="preserve">Sheet</t>
  </si>
  <si>
    <t xml:space="preserve">Purpose</t>
  </si>
  <si>
    <t xml:space="preserve">Stakeholder Register</t>
  </si>
  <si>
    <t xml:space="preserve">Influence/interest and engagement</t>
  </si>
  <si>
    <t xml:space="preserve">RACI</t>
  </si>
  <si>
    <t xml:space="preserve">Responsibilities per deliverable</t>
  </si>
  <si>
    <t xml:space="preserve">Requirements Trace</t>
  </si>
  <si>
    <t xml:space="preserve">BR/FR/NFR to story to UAT</t>
  </si>
  <si>
    <t xml:space="preserve">MoSCoW Backlog</t>
  </si>
  <si>
    <t xml:space="preserve">Release backlog with story points</t>
  </si>
  <si>
    <t xml:space="preserve">Sprint Metrics</t>
  </si>
  <si>
    <t xml:space="preserve">Velocity and defect metrics (formulas)</t>
  </si>
  <si>
    <t xml:space="preserve">RAID Log</t>
  </si>
  <si>
    <t xml:space="preserve">Risks, assumptions, issues, dependencies</t>
  </si>
  <si>
    <t xml:space="preserve">Risk Register</t>
  </si>
  <si>
    <t xml:space="preserve">Scored risk register with mitigation</t>
  </si>
  <si>
    <t xml:space="preserve">Change Log</t>
  </si>
  <si>
    <t xml:space="preserve">Change control decisions</t>
  </si>
  <si>
    <t xml:space="preserve">UAT</t>
  </si>
  <si>
    <t xml:space="preserve">Acceptance tests and results</t>
  </si>
  <si>
    <t xml:space="preserve">Defects</t>
  </si>
  <si>
    <t xml:space="preserve">Defect log</t>
  </si>
  <si>
    <t xml:space="preserve">Defect Triage Matrix</t>
  </si>
  <si>
    <t xml:space="preserve">Severity rules</t>
  </si>
  <si>
    <t xml:space="preserve">Budget EVM</t>
  </si>
  <si>
    <t xml:space="preserve">Planned vs actual cost with formulas</t>
  </si>
  <si>
    <t xml:space="preserve">ID</t>
  </si>
  <si>
    <t xml:space="preserve">Name (fictional)</t>
  </si>
  <si>
    <t xml:space="preserve">Role</t>
  </si>
  <si>
    <t xml:space="preserve">Project role</t>
  </si>
  <si>
    <t xml:space="preserve">Influence</t>
  </si>
  <si>
    <t xml:space="preserve">Interest</t>
  </si>
  <si>
    <t xml:space="preserve">Strategy</t>
  </si>
  <si>
    <t xml:space="preserve">Needs / notes</t>
  </si>
  <si>
    <t xml:space="preserve">SH-01</t>
  </si>
  <si>
    <t xml:space="preserve">Khalid Al Mansoori</t>
  </si>
  <si>
    <t xml:space="preserve">Chief Financial Officer</t>
  </si>
  <si>
    <t xml:space="preserve">Executive sponsor</t>
  </si>
  <si>
    <t xml:space="preserve">High</t>
  </si>
  <si>
    <t xml:space="preserve">Manage closely</t>
  </si>
  <si>
    <t xml:space="preserve">Approves charter, budget and go-live; wants VAT recovery and audit readiness</t>
  </si>
  <si>
    <t xml:space="preserve">SH-02</t>
  </si>
  <si>
    <t xml:space="preserve">Reem Bakr</t>
  </si>
  <si>
    <t xml:space="preserve">Finance Controller</t>
  </si>
  <si>
    <t xml:space="preserve">Product Owner</t>
  </si>
  <si>
    <t xml:space="preserve">Owns policy, thresholds, backlog priority</t>
  </si>
  <si>
    <t xml:space="preserve">SH-03</t>
  </si>
  <si>
    <t xml:space="preserve">Vikram Shetty</t>
  </si>
  <si>
    <t xml:space="preserve">Head of Procurement and Admin</t>
  </si>
  <si>
    <t xml:space="preserve">Business owner of expense policy</t>
  </si>
  <si>
    <t xml:space="preserve">Medium</t>
  </si>
  <si>
    <t xml:space="preserve">Keep satisfied</t>
  </si>
  <si>
    <t xml:space="preserve">Concerned about split claims and vendor spend visibility</t>
  </si>
  <si>
    <t xml:space="preserve">SH-04</t>
  </si>
  <si>
    <t xml:space="preserve">Aisha Farooq</t>
  </si>
  <si>
    <t xml:space="preserve">HR Business Partner</t>
  </si>
  <si>
    <t xml:space="preserve">Org hierarchy and leave data owner</t>
  </si>
  <si>
    <t xml:space="preserve">Keep informed</t>
  </si>
  <si>
    <t xml:space="preserve">Hierarchy sync and delegation rules</t>
  </si>
  <si>
    <t xml:space="preserve">SH-05</t>
  </si>
  <si>
    <t xml:space="preserve">Tariq Mahmood</t>
  </si>
  <si>
    <t xml:space="preserve">IT Director</t>
  </si>
  <si>
    <t xml:space="preserve">Security and infrastructure</t>
  </si>
  <si>
    <t xml:space="preserve">UAE-region hosting, SSO, audit-log controls</t>
  </si>
  <si>
    <t xml:space="preserve">SH-06</t>
  </si>
  <si>
    <t xml:space="preserve">Joanna D'Souza</t>
  </si>
  <si>
    <t xml:space="preserve">Senior Accountant (AP)</t>
  </si>
  <si>
    <t xml:space="preserve">ERP posting and reimbursement runs</t>
  </si>
  <si>
    <t xml:space="preserve">Journal mapping, bank file format</t>
  </si>
  <si>
    <t xml:space="preserve">SH-07</t>
  </si>
  <si>
    <t xml:space="preserve">Mohammed Zaid</t>
  </si>
  <si>
    <t xml:space="preserve">Head of Sales (field team)</t>
  </si>
  <si>
    <t xml:space="preserve">Frequent claimants</t>
  </si>
  <si>
    <t xml:space="preserve">Mobile receipt capture, foreign travel</t>
  </si>
  <si>
    <t xml:space="preserve">SH-08</t>
  </si>
  <si>
    <t xml:space="preserve">Hana Ibrahim</t>
  </si>
  <si>
    <t xml:space="preserve">Internal Auditor</t>
  </si>
  <si>
    <t xml:space="preserve">Audit consumer</t>
  </si>
  <si>
    <t xml:space="preserve">Audit log integrity, retention</t>
  </si>
  <si>
    <t xml:space="preserve">SH-09</t>
  </si>
  <si>
    <t xml:space="preserve">Sergey Petrov</t>
  </si>
  <si>
    <t xml:space="preserve">Engineering Lead</t>
  </si>
  <si>
    <t xml:space="preserve">Delivery lead</t>
  </si>
  <si>
    <t xml:space="preserve">Estimates, OCR and ERP risks</t>
  </si>
  <si>
    <t xml:space="preserve">SH-10</t>
  </si>
  <si>
    <t xml:space="preserve">Noor Siddiqui</t>
  </si>
  <si>
    <t xml:space="preserve">QA Lead</t>
  </si>
  <si>
    <t xml:space="preserve">Test owner</t>
  </si>
  <si>
    <t xml:space="preserve">Test data, UAT scripts</t>
  </si>
  <si>
    <t xml:space="preserve">SH-11</t>
  </si>
  <si>
    <t xml:space="preserve">Imran Kathat</t>
  </si>
  <si>
    <t xml:space="preserve">Business Analyst</t>
  </si>
  <si>
    <t xml:space="preserve">Requirements, scope, governance</t>
  </si>
  <si>
    <t xml:space="preserve">Author</t>
  </si>
  <si>
    <t xml:space="preserve">Owns BRD/SRS, change control, traceability</t>
  </si>
  <si>
    <t xml:space="preserve">R=Responsible, A=Accountable, C=Consulted, I=Informed</t>
  </si>
  <si>
    <t xml:space="preserve">Deliverable</t>
  </si>
  <si>
    <t xml:space="preserve">CFO (Sponsor)</t>
  </si>
  <si>
    <t xml:space="preserve">Controller (PO)</t>
  </si>
  <si>
    <t xml:space="preserve">Eng Lead</t>
  </si>
  <si>
    <t xml:space="preserve">BA</t>
  </si>
  <si>
    <t xml:space="preserve">Procurement</t>
  </si>
  <si>
    <t xml:space="preserve">Audit</t>
  </si>
  <si>
    <t xml:space="preserve">Project charter</t>
  </si>
  <si>
    <t xml:space="preserve">A</t>
  </si>
  <si>
    <t xml:space="preserve">R</t>
  </si>
  <si>
    <t xml:space="preserve">C</t>
  </si>
  <si>
    <t xml:space="preserve">I</t>
  </si>
  <si>
    <t xml:space="preserve">Business case and build vs buy</t>
  </si>
  <si>
    <t xml:space="preserve">Scope statement</t>
  </si>
  <si>
    <t xml:space="preserve">Requirements elicitation</t>
  </si>
  <si>
    <t xml:space="preserve">BRD and SRS authoring</t>
  </si>
  <si>
    <t xml:space="preserve">Policy rules (tiers, categories)</t>
  </si>
  <si>
    <t xml:space="preserve">A/R</t>
  </si>
  <si>
    <t xml:space="preserve">Backlog and MoSCoW prioritization</t>
  </si>
  <si>
    <t xml:space="preserve">Architecture and hosting decisions</t>
  </si>
  <si>
    <t xml:space="preserve">Build and integration</t>
  </si>
  <si>
    <t xml:space="preserve">Test strategy and acceptance tests</t>
  </si>
  <si>
    <t xml:space="preserve">Change control board decisions</t>
  </si>
  <si>
    <t xml:space="preserve">UAT execution and sign-off</t>
  </si>
  <si>
    <t xml:space="preserve">Executive reporting</t>
  </si>
  <si>
    <t xml:space="preserve">Go-live approval</t>
  </si>
  <si>
    <t xml:space="preserve">Req ID</t>
  </si>
  <si>
    <t xml:space="preserve">Type</t>
  </si>
  <si>
    <t xml:space="preserve">Requirement</t>
  </si>
  <si>
    <t xml:space="preserve">Priority</t>
  </si>
  <si>
    <t xml:space="preserve">Source</t>
  </si>
  <si>
    <t xml:space="preserve">Epic / Story</t>
  </si>
  <si>
    <t xml:space="preserve">UAT cases</t>
  </si>
  <si>
    <t xml:space="preserve">BR-01</t>
  </si>
  <si>
    <t xml:space="preserve">Business</t>
  </si>
  <si>
    <t xml:space="preserve">Reduce expense claim cycle time from submission to reimbursement</t>
  </si>
  <si>
    <t xml:space="preserve">Must</t>
  </si>
  <si>
    <t xml:space="preserve">CFO</t>
  </si>
  <si>
    <t xml:space="preserve">MAS-E1, MAS-E4</t>
  </si>
  <si>
    <t xml:space="preserve">BR-02</t>
  </si>
  <si>
    <t xml:space="preserve">Recover input VAT only where a valid UAE tax invoice with TRN exists</t>
  </si>
  <si>
    <t xml:space="preserve">MAS-E2</t>
  </si>
  <si>
    <t xml:space="preserve">BR-03</t>
  </si>
  <si>
    <t xml:space="preserve">Enforce approval authority by value; prevent self-approval and split claims</t>
  </si>
  <si>
    <t xml:space="preserve">MAS-E1</t>
  </si>
  <si>
    <t xml:space="preserve">BR-04</t>
  </si>
  <si>
    <t xml:space="preserve">Provide an audit trail that cannot be altered unnoticed and meets retention requirements</t>
  </si>
  <si>
    <t xml:space="preserve">Internal Audit</t>
  </si>
  <si>
    <t xml:space="preserve">BR-05</t>
  </si>
  <si>
    <t xml:space="preserve">Reimburse foreign-currency expenses by a defined, explainable rate rule</t>
  </si>
  <si>
    <t xml:space="preserve">Should</t>
  </si>
  <si>
    <t xml:space="preserve">MAS-E3</t>
  </si>
  <si>
    <t xml:space="preserve">FR-01</t>
  </si>
  <si>
    <t xml:space="preserve">Functional</t>
  </si>
  <si>
    <t xml:space="preserve">Route each expense line to approvers by AED value tiers (1,000 / 5,000 / 25,000)</t>
  </si>
  <si>
    <t xml:space="preserve">MAS-101</t>
  </si>
  <si>
    <t xml:space="preserve">UAT-01, UAT-02, UAT-03</t>
  </si>
  <si>
    <t xml:space="preserve">FR-02</t>
  </si>
  <si>
    <t xml:space="preserve">Convert foreign-currency lines; hold payout if the AED value moves more than 2.0% from submission</t>
  </si>
  <si>
    <t xml:space="preserve">MAS-102</t>
  </si>
  <si>
    <t xml:space="preserve">UAT-04, UAT-05, UAT-06</t>
  </si>
  <si>
    <t xml:space="preserve">FR-03</t>
  </si>
  <si>
    <t xml:space="preserve">Configure policy tiers and categories with effective dates</t>
  </si>
  <si>
    <t xml:space="preserve">MAS-103</t>
  </si>
  <si>
    <t xml:space="preserve">FR-04</t>
  </si>
  <si>
    <t xml:space="preserve">Capture receipts and extract fields with confidence threshold 0.85</t>
  </si>
  <si>
    <t xml:space="preserve">Employee</t>
  </si>
  <si>
    <t xml:space="preserve">MAS-104</t>
  </si>
  <si>
    <t xml:space="preserve">UAT-07</t>
  </si>
  <si>
    <t xml:space="preserve">FR-05</t>
  </si>
  <si>
    <t xml:space="preserve">Validate 15-digit TRN; apply full vs simplified invoice rule; set VAT recoverability</t>
  </si>
  <si>
    <t xml:space="preserve">Finance Analyst</t>
  </si>
  <si>
    <t xml:space="preserve">MAS-105</t>
  </si>
  <si>
    <t xml:space="preserve">UAT-08</t>
  </si>
  <si>
    <t xml:space="preserve">FR-06</t>
  </si>
  <si>
    <t xml:space="preserve">Maintain daily AED rates; refuse rates older than 24 hours</t>
  </si>
  <si>
    <t xml:space="preserve">MAS-106</t>
  </si>
  <si>
    <t xml:space="preserve">FR-07</t>
  </si>
  <si>
    <t xml:space="preserve">Post approved reports to the ERP once, idempotently</t>
  </si>
  <si>
    <t xml:space="preserve">Accounts Payable</t>
  </si>
  <si>
    <t xml:space="preserve">MAS-107</t>
  </si>
  <si>
    <t xml:space="preserve">UAT-09</t>
  </si>
  <si>
    <t xml:space="preserve">FR-08</t>
  </si>
  <si>
    <t xml:space="preserve">Generate reimbursement file with control total</t>
  </si>
  <si>
    <t xml:space="preserve">MAS-108</t>
  </si>
  <si>
    <t xml:space="preserve">UAT-10, UAT-10R</t>
  </si>
  <si>
    <t xml:space="preserve">FR-09</t>
  </si>
  <si>
    <t xml:space="preserve">Record every event in a hash-chained append-only log</t>
  </si>
  <si>
    <t xml:space="preserve">MAS-109</t>
  </si>
  <si>
    <t xml:space="preserve">UAT-11</t>
  </si>
  <si>
    <t xml:space="preserve">FR-10</t>
  </si>
  <si>
    <t xml:space="preserve">Delegate approvals during approved leave</t>
  </si>
  <si>
    <t xml:space="preserve">Line Manager</t>
  </si>
  <si>
    <t xml:space="preserve">MAS-110</t>
  </si>
  <si>
    <t xml:space="preserve">UAT-12</t>
  </si>
  <si>
    <t xml:space="preserve">FR-11</t>
  </si>
  <si>
    <t xml:space="preserve">Retain tax documents 5 years (VAT) and 7 years (Corporate Tax) in a UAE region</t>
  </si>
  <si>
    <t xml:space="preserve">MAS-111</t>
  </si>
  <si>
    <t xml:space="preserve">UAT-13</t>
  </si>
  <si>
    <t xml:space="preserve">FR-12</t>
  </si>
  <si>
    <t xml:space="preserve">Notify approvers, remind at 24 and 48 working hours, daily digest</t>
  </si>
  <si>
    <t xml:space="preserve">MAS-112</t>
  </si>
  <si>
    <t xml:space="preserve">NFR-01</t>
  </si>
  <si>
    <t xml:space="preserve">Non-functional</t>
  </si>
  <si>
    <t xml:space="preserve">OCR extraction p95 under 6 seconds; 20-second timeout falls back to manual entry</t>
  </si>
  <si>
    <t xml:space="preserve">NFR-02</t>
  </si>
  <si>
    <t xml:space="preserve">ERP approval-to-journal posting under 5 seconds p95 in normal load</t>
  </si>
  <si>
    <t xml:space="preserve">NFR-03</t>
  </si>
  <si>
    <t xml:space="preserve">All data and logs hosted in a UAE cloud region (PDPL alignment)</t>
  </si>
  <si>
    <t xml:space="preserve">MAS-109, MAS-111</t>
  </si>
  <si>
    <t xml:space="preserve">UAT-11, UAT-13</t>
  </si>
  <si>
    <t xml:space="preserve">NFR-04</t>
  </si>
  <si>
    <t xml:space="preserve">SSO with the corporate identity provider; role-based access</t>
  </si>
  <si>
    <t xml:space="preserve">NFR-05</t>
  </si>
  <si>
    <t xml:space="preserve">Mobile web and native mobile on current iOS and Android; WCAG 2.1 AA for web</t>
  </si>
  <si>
    <t xml:space="preserve">Rank</t>
  </si>
  <si>
    <t xml:space="preserve">Key</t>
  </si>
  <si>
    <t xml:space="preserve">Epic</t>
  </si>
  <si>
    <t xml:space="preserve">Story</t>
  </si>
  <si>
    <t xml:space="preserve">Persona</t>
  </si>
  <si>
    <t xml:space="preserve">MoSCoW</t>
  </si>
  <si>
    <t xml:space="preserve">SP</t>
  </si>
  <si>
    <t xml:space="preserve">Sprint</t>
  </si>
  <si>
    <t xml:space="preserve">Status</t>
  </si>
  <si>
    <t xml:space="preserve">Multi-tier approval for expense lines above AED 1,000</t>
  </si>
  <si>
    <t xml:space="preserve">MAS Sprint 2</t>
  </si>
  <si>
    <t xml:space="preserve">Done</t>
  </si>
  <si>
    <t xml:space="preserve">Foreign-currency expenses with FX tolerance and tax-document enforcement</t>
  </si>
  <si>
    <t xml:space="preserve">MAS Sprint 3</t>
  </si>
  <si>
    <t xml:space="preserve">Approval policy configuration for administrators</t>
  </si>
  <si>
    <t xml:space="preserve">MAS Sprint 1</t>
  </si>
  <si>
    <t xml:space="preserve">Receipt upload with OCR extraction</t>
  </si>
  <si>
    <t xml:space="preserve">TRN validation and VAT recoverability</t>
  </si>
  <si>
    <t xml:space="preserve">FX rate service with staleness guard</t>
  </si>
  <si>
    <t xml:space="preserve">MAS-E4</t>
  </si>
  <si>
    <t xml:space="preserve">Post approved expenses to the ERP as journals</t>
  </si>
  <si>
    <t xml:space="preserve">MAS Sprint 5</t>
  </si>
  <si>
    <t xml:space="preserve">Generate bank reimbursement file</t>
  </si>
  <si>
    <t xml:space="preserve">MAS Sprint 4</t>
  </si>
  <si>
    <t xml:space="preserve">Tamper-evident audit log</t>
  </si>
  <si>
    <t xml:space="preserve">Approval delegation for leave and absence</t>
  </si>
  <si>
    <t xml:space="preserve">Retention and e-archive of tax documents</t>
  </si>
  <si>
    <t xml:space="preserve">Approval notifications and reminders</t>
  </si>
  <si>
    <t xml:space="preserve">MAS-113</t>
  </si>
  <si>
    <t xml:space="preserve">MAS-E5</t>
  </si>
  <si>
    <t xml:space="preserve">Match corporate card transactions to expense claims</t>
  </si>
  <si>
    <t xml:space="preserve">Could</t>
  </si>
  <si>
    <t xml:space="preserve">Backlog</t>
  </si>
  <si>
    <t xml:space="preserve">MAS-114</t>
  </si>
  <si>
    <t xml:space="preserve">MAS-E6</t>
  </si>
  <si>
    <t xml:space="preserve">GPS mileage tracking and Salik toll import</t>
  </si>
  <si>
    <t xml:space="preserve">Field Sales Executive</t>
  </si>
  <si>
    <t xml:space="preserve">Won't</t>
  </si>
  <si>
    <t xml:space="preserve">Ramadan (from 1 Mar 2025) reduced capacity in Sprints 2 and 3; Eid pause 30 Mar - 4 Apr.</t>
  </si>
  <si>
    <t xml:space="preserve">Start</t>
  </si>
  <si>
    <t xml:space="preserve">End</t>
  </si>
  <si>
    <t xml:space="preserve">Committed SP</t>
  </si>
  <si>
    <t xml:space="preserve">Completed SP</t>
  </si>
  <si>
    <t xml:space="preserve">Completion %</t>
  </si>
  <si>
    <t xml:space="preserve">Focus</t>
  </si>
  <si>
    <t xml:space="preserve">Sprint 0 - Discovery</t>
  </si>
  <si>
    <t xml:space="preserve">2025-02-03</t>
  </si>
  <si>
    <t xml:space="preserve">2025-02-14</t>
  </si>
  <si>
    <t xml:space="preserve">Charter, business case, BRD v0.1</t>
  </si>
  <si>
    <t xml:space="preserve">2025-02-17</t>
  </si>
  <si>
    <t xml:space="preserve">2025-02-28</t>
  </si>
  <si>
    <t xml:space="preserve">Policy config, OCR capture, retention</t>
  </si>
  <si>
    <t xml:space="preserve">2025-03-03</t>
  </si>
  <si>
    <t xml:space="preserve">2025-03-14</t>
  </si>
  <si>
    <t xml:space="preserve">Approvals, TRN/VAT, delegation (Ramadan hours)</t>
  </si>
  <si>
    <t xml:space="preserve">2025-03-17</t>
  </si>
  <si>
    <t xml:space="preserve">2025-03-28</t>
  </si>
  <si>
    <t xml:space="preserve">FX service, multi-currency, notifications</t>
  </si>
  <si>
    <t xml:space="preserve">2025-04-07</t>
  </si>
  <si>
    <t xml:space="preserve">2025-04-18</t>
  </si>
  <si>
    <t xml:space="preserve">Audit log, bank file (after Eid pause)</t>
  </si>
  <si>
    <t xml:space="preserve">2025-04-21</t>
  </si>
  <si>
    <t xml:space="preserve">2025-05-02</t>
  </si>
  <si>
    <t xml:space="preserve">ERP posting, hardening</t>
  </si>
  <si>
    <t xml:space="preserve">Average velocity (Sprints 1-5)</t>
  </si>
  <si>
    <t xml:space="preserve">Total completed SP (release 1)</t>
  </si>
  <si>
    <t xml:space="preserve">Defects found (SIT + UAT)</t>
  </si>
  <si>
    <t xml:space="preserve">Defect density (defects per story point)</t>
  </si>
  <si>
    <t xml:space="preserve">Description</t>
  </si>
  <si>
    <t xml:space="preserve">Impact (1-5)</t>
  </si>
  <si>
    <t xml:space="preserve">Probability (1-5)</t>
  </si>
  <si>
    <t xml:space="preserve">Score</t>
  </si>
  <si>
    <t xml:space="preserve">Owner</t>
  </si>
  <si>
    <t xml:space="preserve">Response / mitigation</t>
  </si>
  <si>
    <t xml:space="preserve">Raised</t>
  </si>
  <si>
    <t xml:space="preserve">R-01</t>
  </si>
  <si>
    <t xml:space="preserve">Risk</t>
  </si>
  <si>
    <t xml:space="preserve">OCR receipt extraction latency exceeds tolerance at month-end peaks</t>
  </si>
  <si>
    <t xml:space="preserve">Async queue, p95 target 6s, 20s timeout fallback to manual entry, UAE-region OCR (MAS-104)</t>
  </si>
  <si>
    <t xml:space="preserve">Mitigated</t>
  </si>
  <si>
    <t xml:space="preserve">2025-02-05</t>
  </si>
  <si>
    <t xml:space="preserve">D-02</t>
  </si>
  <si>
    <t xml:space="preserve">Dependency</t>
  </si>
  <si>
    <t xml:space="preserve">ERP and FX-rate APIs enforce rate limits; payout runs can hit HTTP 429</t>
  </si>
  <si>
    <t xml:space="preserve">Token bucket at 70% of limit, chunks of 50, backoff with jitter, idempotency keys (MAS-107)</t>
  </si>
  <si>
    <t xml:space="preserve">R-03</t>
  </si>
  <si>
    <t xml:space="preserve">Audit log altered by privileged DB user</t>
  </si>
  <si>
    <t xml:space="preserve">Append-only grants, SHA-256 hash chain, nightly verification, object-lock export (MAS-109)</t>
  </si>
  <si>
    <t xml:space="preserve">2025-02-06</t>
  </si>
  <si>
    <t xml:space="preserve">R-04</t>
  </si>
  <si>
    <t xml:space="preserve">Ramadan working hours (from 1 Mar) reduce team capacity by about 20%</t>
  </si>
  <si>
    <t xml:space="preserve">Sprint 2 and 3 commitments reduced to 16 SP; UAT scheduled after Eid</t>
  </si>
  <si>
    <t xml:space="preserve">Closed</t>
  </si>
  <si>
    <t xml:space="preserve">2025-02-10</t>
  </si>
  <si>
    <t xml:space="preserve">R-05</t>
  </si>
  <si>
    <t xml:space="preserve">Eid Al Fitr break (about 30 Mar - 2 Apr) interrupts Sprint 3 to 4 handover</t>
  </si>
  <si>
    <t xml:space="preserve">Eid pause between Sprint 3 and Sprint 4; no work scheduled</t>
  </si>
  <si>
    <t xml:space="preserve">R-06</t>
  </si>
  <si>
    <t xml:space="preserve">HR hierarchy data is incomplete, breaking approval chains</t>
  </si>
  <si>
    <t xml:space="preserve">Data clean-up sprint 0; validation report on import; fallback to department head</t>
  </si>
  <si>
    <t xml:space="preserve">2025-02-12</t>
  </si>
  <si>
    <t xml:space="preserve">R-07</t>
  </si>
  <si>
    <t xml:space="preserve">Employees circumvent thresholds by splitting claims</t>
  </si>
  <si>
    <t xml:space="preserve">Same-merchant same-day aggregation rule (MAS-101)</t>
  </si>
  <si>
    <t xml:space="preserve">R-08</t>
  </si>
  <si>
    <t xml:space="preserve">Scope creep: per-diem rates, mileage and card feed requested</t>
  </si>
  <si>
    <t xml:space="preserve">Change control; MoSCoW; CR-002 deferred</t>
  </si>
  <si>
    <t xml:space="preserve">Open</t>
  </si>
  <si>
    <t xml:space="preserve">2025-03-10</t>
  </si>
  <si>
    <t xml:space="preserve">I-01</t>
  </si>
  <si>
    <t xml:space="preserve">Issue</t>
  </si>
  <si>
    <t xml:space="preserve">FX test data missing EUR rate for 29 Mar (Saturday) causing stale-rate alert</t>
  </si>
  <si>
    <t xml:space="preserve">Rule uses last business-day rate; test fixture added</t>
  </si>
  <si>
    <t xml:space="preserve">2025-03-27</t>
  </si>
  <si>
    <t xml:space="preserve">I-02</t>
  </si>
  <si>
    <t xml:space="preserve">Vendor bank file spec delivered 2 weeks late</t>
  </si>
  <si>
    <t xml:space="preserve">Bank file built to mock spec, validated at UAT</t>
  </si>
  <si>
    <t xml:space="preserve">2025-04-14</t>
  </si>
  <si>
    <t xml:space="preserve">A-01</t>
  </si>
  <si>
    <t xml:space="preserve">Assumption</t>
  </si>
  <si>
    <t xml:space="preserve">Hierarchy and leave data available via HR API or daily file</t>
  </si>
  <si>
    <t xml:space="preserve">Daily CSV confirmed 11 Feb</t>
  </si>
  <si>
    <t xml:space="preserve">Validated</t>
  </si>
  <si>
    <t xml:space="preserve">D-01</t>
  </si>
  <si>
    <t xml:space="preserve">UAE-region cloud subscription and SSO tenant ready by 17 Feb</t>
  </si>
  <si>
    <t xml:space="preserve">Delivered 14 Feb</t>
  </si>
  <si>
    <t xml:space="preserve">Category</t>
  </si>
  <si>
    <t xml:space="preserve">Cause / description</t>
  </si>
  <si>
    <t xml:space="preserve">Impact</t>
  </si>
  <si>
    <t xml:space="preserve">Probability</t>
  </si>
  <si>
    <t xml:space="preserve">Mitigation</t>
  </si>
  <si>
    <t xml:space="preserve">RK-01</t>
  </si>
  <si>
    <t xml:space="preserve">Technical</t>
  </si>
  <si>
    <t xml:space="preserve">OCR latency</t>
  </si>
  <si>
    <t xml:space="preserve">Receipts take too long to process</t>
  </si>
  <si>
    <t xml:space="preserve">Async OCR, timeout fallback</t>
  </si>
  <si>
    <t xml:space="preserve">RK-02</t>
  </si>
  <si>
    <t xml:space="preserve">Compliance</t>
  </si>
  <si>
    <t xml:space="preserve">VAT recovery rejected at FTA audit</t>
  </si>
  <si>
    <t xml:space="preserve">Missing TRN or invalid tax invoices</t>
  </si>
  <si>
    <t xml:space="preserve">TRN validation, mandatory attachments, retention (MAS-105, MAS-111)</t>
  </si>
  <si>
    <t xml:space="preserve">RK-03</t>
  </si>
  <si>
    <t xml:space="preserve">Security</t>
  </si>
  <si>
    <t xml:space="preserve">Audit-log tampering</t>
  </si>
  <si>
    <t xml:space="preserve">Altered approval history</t>
  </si>
  <si>
    <t xml:space="preserve">Hash chain, WORM export</t>
  </si>
  <si>
    <t xml:space="preserve">RK-04</t>
  </si>
  <si>
    <t xml:space="preserve">Data residency</t>
  </si>
  <si>
    <t xml:space="preserve">Receipts leave UAE region</t>
  </si>
  <si>
    <t xml:space="preserve">OCR or storage vendor hosts abroad</t>
  </si>
  <si>
    <t xml:space="preserve">UAE-region services only; contract check before go-live</t>
  </si>
  <si>
    <t xml:space="preserve">RK-05</t>
  </si>
  <si>
    <t xml:space="preserve">Delivery</t>
  </si>
  <si>
    <t xml:space="preserve">Capacity loss in Ramadan and Eid</t>
  </si>
  <si>
    <t xml:space="preserve">Fewer productive hours</t>
  </si>
  <si>
    <t xml:space="preserve">Reduced sprint commitments, Eid pause</t>
  </si>
  <si>
    <t xml:space="preserve">RK-06</t>
  </si>
  <si>
    <t xml:space="preserve">Adoption</t>
  </si>
  <si>
    <t xml:space="preserve">Employees keep using spreadsheets</t>
  </si>
  <si>
    <t xml:space="preserve">Low usage after go-live</t>
  </si>
  <si>
    <t xml:space="preserve">Champions in each office, training, policy cut-over date</t>
  </si>
  <si>
    <t xml:space="preserve">RK-07</t>
  </si>
  <si>
    <t xml:space="preserve">Integration</t>
  </si>
  <si>
    <t xml:space="preserve">ERP rate limiting causes partial postings</t>
  </si>
  <si>
    <t xml:space="preserve">Duplicate or missing journals</t>
  </si>
  <si>
    <t xml:space="preserve">Idempotency, chunking, resume</t>
  </si>
  <si>
    <t xml:space="preserve">RK-08</t>
  </si>
  <si>
    <t xml:space="preserve">Finance</t>
  </si>
  <si>
    <t xml:space="preserve">FX movement between submission and payout</t>
  </si>
  <si>
    <t xml:space="preserve">Reimbursement differs from approval</t>
  </si>
  <si>
    <t xml:space="preserve">Tolerance hold, rate rule (MAS-102)</t>
  </si>
  <si>
    <t xml:space="preserve">CR ID</t>
  </si>
  <si>
    <t xml:space="preserve">Date</t>
  </si>
  <si>
    <t xml:space="preserve">Requested by</t>
  </si>
  <si>
    <t xml:space="preserve">Change</t>
  </si>
  <si>
    <t xml:space="preserve">Impact assessment</t>
  </si>
  <si>
    <t xml:space="preserve">Decision</t>
  </si>
  <si>
    <t xml:space="preserve">Approvers</t>
  </si>
  <si>
    <t xml:space="preserve">CR-001</t>
  </si>
  <si>
    <t xml:space="preserve">2025-03-06</t>
  </si>
  <si>
    <t xml:space="preserve">Add Saudi riyal (SAR) as a supported currency for the Riyadh office</t>
  </si>
  <si>
    <t xml:space="preserve">+3 SP, uses FX service; no date impact</t>
  </si>
  <si>
    <t xml:space="preserve">Approved</t>
  </si>
  <si>
    <t xml:space="preserve">Controller, Eng Lead, BA</t>
  </si>
  <si>
    <t xml:space="preserve">Implemented 2025-03-21</t>
  </si>
  <si>
    <t xml:space="preserve">CR-002</t>
  </si>
  <si>
    <t xml:space="preserve">2025-03-12</t>
  </si>
  <si>
    <t xml:space="preserve">Add per-diem allowances by country</t>
  </si>
  <si>
    <t xml:space="preserve">+13 SP, new epic, delays go-live 3 weeks</t>
  </si>
  <si>
    <t xml:space="preserve">Rejected for release 1, added to release 2 backlog</t>
  </si>
  <si>
    <t xml:space="preserve">CFO, Controller</t>
  </si>
  <si>
    <t xml:space="preserve">CR-003</t>
  </si>
  <si>
    <t xml:space="preserve">Raise second approval tier from AED 3,000 to AED 5,000</t>
  </si>
  <si>
    <t xml:space="preserve">0 SP; policy configuration (MAS-103); test data update</t>
  </si>
  <si>
    <t xml:space="preserve">Controller, Internal Audit</t>
  </si>
  <si>
    <t xml:space="preserve">Implemented 2025-03-14</t>
  </si>
  <si>
    <t xml:space="preserve">CR-004</t>
  </si>
  <si>
    <t xml:space="preserve">2025-04-22</t>
  </si>
  <si>
    <t xml:space="preserve">Add legal-hold flag to document retention</t>
  </si>
  <si>
    <t xml:space="preserve">+2 SP</t>
  </si>
  <si>
    <t xml:space="preserve">Controller, Audit</t>
  </si>
  <si>
    <t xml:space="preserve">Implemented 2025-04-30</t>
  </si>
  <si>
    <t xml:space="preserve">CR-005</t>
  </si>
  <si>
    <t xml:space="preserve">2025-05-08</t>
  </si>
  <si>
    <t xml:space="preserve">Change bank file from CSV to the bank's fixed-width format</t>
  </si>
  <si>
    <t xml:space="preserve">+3 SP; UAT re-test of MAS-108</t>
  </si>
  <si>
    <t xml:space="preserve">Approved with UAT re-test</t>
  </si>
  <si>
    <t xml:space="preserve">Controller, Eng Lead</t>
  </si>
  <si>
    <t xml:space="preserve">Implemented 2025-05-14</t>
  </si>
  <si>
    <t xml:space="preserve">Case</t>
  </si>
  <si>
    <t xml:space="preserve">Scenario</t>
  </si>
  <si>
    <t xml:space="preserve">Tester</t>
  </si>
  <si>
    <t xml:space="preserve">Result</t>
  </si>
  <si>
    <t xml:space="preserve">UAT-01</t>
  </si>
  <si>
    <t xml:space="preserve">Boundary: AED 1,000.00 needs one approver; AED 1,000.01 needs two</t>
  </si>
  <si>
    <t xml:space="preserve">Pass</t>
  </si>
  <si>
    <t xml:space="preserve">2025-05-06</t>
  </si>
  <si>
    <t xml:space="preserve">UAT-02</t>
  </si>
  <si>
    <t xml:space="preserve">Split same-merchant claims aggregated</t>
  </si>
  <si>
    <t xml:space="preserve">UAT-03</t>
  </si>
  <si>
    <t xml:space="preserve">Self-approval blocked</t>
  </si>
  <si>
    <t xml:space="preserve">Negative</t>
  </si>
  <si>
    <t xml:space="preserve">UAT-04</t>
  </si>
  <si>
    <t xml:space="preserve">EUR line within 2% tolerance paid at payout rate</t>
  </si>
  <si>
    <t xml:space="preserve">2025-05-07</t>
  </si>
  <si>
    <t xml:space="preserve">UAT-05</t>
  </si>
  <si>
    <t xml:space="preserve">EUR line beyond tolerance held for review</t>
  </si>
  <si>
    <t xml:space="preserve">UAT-06</t>
  </si>
  <si>
    <t xml:space="preserve">Missing attachment above AED 250 blocks submission</t>
  </si>
  <si>
    <t xml:space="preserve">Receipt photo extracted; low-confidence fields flagged</t>
  </si>
  <si>
    <t xml:space="preserve">Missing TRN sets recoverable VAT to zero</t>
  </si>
  <si>
    <t xml:space="preserve">Retry after timeout posts one journal</t>
  </si>
  <si>
    <t xml:space="preserve">2025-05-09</t>
  </si>
  <si>
    <t xml:space="preserve">UAT-10</t>
  </si>
  <si>
    <t xml:space="preserve">Payment file excludes held and invalid IBAN lines</t>
  </si>
  <si>
    <t xml:space="preserve">Fail</t>
  </si>
  <si>
    <t xml:space="preserve">2025-05-14</t>
  </si>
  <si>
    <t xml:space="preserve">UAT-10R</t>
  </si>
  <si>
    <t xml:space="preserve">Retest after fixed-width format fix (DEF-012)</t>
  </si>
  <si>
    <t xml:space="preserve">Retest</t>
  </si>
  <si>
    <t xml:space="preserve">2025-05-15</t>
  </si>
  <si>
    <t xml:space="preserve">Edited audit record detected by verification job</t>
  </si>
  <si>
    <t xml:space="preserve">2025-05-12</t>
  </si>
  <si>
    <t xml:space="preserve">Approval auto-delegated during leave</t>
  </si>
  <si>
    <t xml:space="preserve">Document deletion blocked within retention</t>
  </si>
  <si>
    <t xml:space="preserve">2025-05-13</t>
  </si>
  <si>
    <t xml:space="preserve">Title</t>
  </si>
  <si>
    <t xml:space="preserve">Severity</t>
  </si>
  <si>
    <t xml:space="preserve">Found in</t>
  </si>
  <si>
    <t xml:space="preserve">Found</t>
  </si>
  <si>
    <t xml:space="preserve">Fixed</t>
  </si>
  <si>
    <t xml:space="preserve">Root cause</t>
  </si>
  <si>
    <t xml:space="preserve">DEF-001</t>
  </si>
  <si>
    <t xml:space="preserve">Approval chain skipped department head at AED 1,000.01</t>
  </si>
  <si>
    <t xml:space="preserve">S1</t>
  </si>
  <si>
    <t xml:space="preserve">P1</t>
  </si>
  <si>
    <t xml:space="preserve">SIT</t>
  </si>
  <si>
    <t xml:space="preserve">2025-03-05</t>
  </si>
  <si>
    <t xml:space="preserve">Boundary used &gt;= instead of &gt;</t>
  </si>
  <si>
    <t xml:space="preserve">DEF-002</t>
  </si>
  <si>
    <t xml:space="preserve">OCR crashed on HEIC photos from iPhones</t>
  </si>
  <si>
    <t xml:space="preserve">S2</t>
  </si>
  <si>
    <t xml:space="preserve">2025-02-25</t>
  </si>
  <si>
    <t xml:space="preserve">Unsupported format conversion</t>
  </si>
  <si>
    <t xml:space="preserve">DEF-003</t>
  </si>
  <si>
    <t xml:space="preserve">Arabic supplier names garbled in report</t>
  </si>
  <si>
    <t xml:space="preserve">P2</t>
  </si>
  <si>
    <t xml:space="preserve">2025-02-27</t>
  </si>
  <si>
    <t xml:space="preserve">2025-03-04</t>
  </si>
  <si>
    <t xml:space="preserve">Wrong encoding on export</t>
  </si>
  <si>
    <t xml:space="preserve">DEF-004</t>
  </si>
  <si>
    <t xml:space="preserve">Approver could approve own claim by direct URL</t>
  </si>
  <si>
    <t xml:space="preserve">2025-03-07</t>
  </si>
  <si>
    <t xml:space="preserve">Authorisation checked in UI only</t>
  </si>
  <si>
    <t xml:space="preserve">DEF-005</t>
  </si>
  <si>
    <t xml:space="preserve">VAT recoverable shown for foreign supplier</t>
  </si>
  <si>
    <t xml:space="preserve">Country not evaluated</t>
  </si>
  <si>
    <t xml:space="preserve">DEF-006</t>
  </si>
  <si>
    <t xml:space="preserve">FX payout used submission rate</t>
  </si>
  <si>
    <t xml:space="preserve">2025-03-24</t>
  </si>
  <si>
    <t xml:space="preserve">2025-03-26</t>
  </si>
  <si>
    <t xml:space="preserve">Wrong rate column</t>
  </si>
  <si>
    <t xml:space="preserve">DEF-007</t>
  </si>
  <si>
    <t xml:space="preserve">USD lines flagged for FX review (peg ignored)</t>
  </si>
  <si>
    <t xml:space="preserve">S3</t>
  </si>
  <si>
    <t xml:space="preserve">2025-03-25</t>
  </si>
  <si>
    <t xml:space="preserve">Peg rule missing</t>
  </si>
  <si>
    <t xml:space="preserve">DEF-008</t>
  </si>
  <si>
    <t xml:space="preserve">Delegation did not apply to tasks already assigned</t>
  </si>
  <si>
    <t xml:space="preserve">P3</t>
  </si>
  <si>
    <t xml:space="preserve">2025-03-18</t>
  </si>
  <si>
    <t xml:space="preserve">Assignment time rule only</t>
  </si>
  <si>
    <t xml:space="preserve">DEF-009</t>
  </si>
  <si>
    <t xml:space="preserve">Audit verification job timed out above 500k rows</t>
  </si>
  <si>
    <t xml:space="preserve">2025-04-16</t>
  </si>
  <si>
    <t xml:space="preserve">Missing index on sequence</t>
  </si>
  <si>
    <t xml:space="preserve">DEF-010</t>
  </si>
  <si>
    <t xml:space="preserve">Duplicate journal after ERP timeout</t>
  </si>
  <si>
    <t xml:space="preserve">2025-04-28</t>
  </si>
  <si>
    <t xml:space="preserve">2025-04-30</t>
  </si>
  <si>
    <t xml:space="preserve">Idempotency key not reused</t>
  </si>
  <si>
    <t xml:space="preserve">DEF-011</t>
  </si>
  <si>
    <t xml:space="preserve">Reminder sent on Saturday</t>
  </si>
  <si>
    <t xml:space="preserve">S4</t>
  </si>
  <si>
    <t xml:space="preserve">P4</t>
  </si>
  <si>
    <t xml:space="preserve">2025-04-02</t>
  </si>
  <si>
    <t xml:space="preserve">2025-04-09</t>
  </si>
  <si>
    <t xml:space="preserve">Calendar days used</t>
  </si>
  <si>
    <t xml:space="preserve">DEF-012</t>
  </si>
  <si>
    <t xml:space="preserve">Bank file rejects fixed-width lengths</t>
  </si>
  <si>
    <t xml:space="preserve">Spec change CR-005</t>
  </si>
  <si>
    <t xml:space="preserve">DEF-013</t>
  </si>
  <si>
    <t xml:space="preserve">Dashboard total off by AED 0.01 on rounding</t>
  </si>
  <si>
    <t xml:space="preserve">2025-05-16</t>
  </si>
  <si>
    <t xml:space="preserve">Rounding per line vs report</t>
  </si>
  <si>
    <t xml:space="preserve">Definition</t>
  </si>
  <si>
    <t xml:space="preserve">Priority / action</t>
  </si>
  <si>
    <t xml:space="preserve">Response SLA</t>
  </si>
  <si>
    <t xml:space="preserve">Fix SLA</t>
  </si>
  <si>
    <t xml:space="preserve">S1 Critical</t>
  </si>
  <si>
    <t xml:space="preserve">Wrong money, security bypass, data loss</t>
  </si>
  <si>
    <t xml:space="preserve">P1 - fix before next build, stop-ship</t>
  </si>
  <si>
    <t xml:space="preserve">Same day</t>
  </si>
  <si>
    <t xml:space="preserve">4 hours</t>
  </si>
  <si>
    <t xml:space="preserve">S2 Major</t>
  </si>
  <si>
    <t xml:space="preserve">Core rule wrong, workaround exists</t>
  </si>
  <si>
    <t xml:space="preserve">P1/P2 - current sprint</t>
  </si>
  <si>
    <t xml:space="preserve">1 working day</t>
  </si>
  <si>
    <t xml:space="preserve">2 working days</t>
  </si>
  <si>
    <t xml:space="preserve">S3 Moderate</t>
  </si>
  <si>
    <t xml:space="preserve">Edge-case defect, no money impact</t>
  </si>
  <si>
    <t xml:space="preserve">P2/P3 - next sprint</t>
  </si>
  <si>
    <t xml:space="preserve">Next sprint</t>
  </si>
  <si>
    <t xml:space="preserve">S4 Minor</t>
  </si>
  <si>
    <t xml:space="preserve">Cosmetic or logging</t>
  </si>
  <si>
    <t xml:space="preserve">P4 - backlog</t>
  </si>
  <si>
    <t xml:space="preserve">3 working days</t>
  </si>
  <si>
    <t xml:space="preserve">Simulated cost data in AED. CPI = planned value earned / actual cost; all planned work completed so EV = BAC.</t>
  </si>
  <si>
    <t xml:space="preserve">Phase</t>
  </si>
  <si>
    <t xml:space="preserve">Planned AED</t>
  </si>
  <si>
    <t xml:space="preserve">Actual AED</t>
  </si>
  <si>
    <t xml:space="preserve">Variance AED</t>
  </si>
  <si>
    <t xml:space="preserve">Sprint 0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</si>
  <si>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</si>
  <si>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</si>
  <si>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</si>
  <si>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</si>
  <si>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</si>
  <si>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UAT &amp; go-live</t>
  </si>
  <si>
    <t xml:space="preserve">Total</t>
  </si>
  <si>
    <t xml:space="preserve">Cost performance index (CPI)</t>
  </si>
  <si>
    <t xml:space="preserve">Cost variance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</si>
</sst>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"/>
    <numFmt numFmtId="167" formatCode="#,##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Velocity (completed SP)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Metrics'!$A$5:$A$9</c:f>
              <c:strCache>
                <c:ptCount val="5"/>
                <c:pt idx="0">
                  <c:v>MAS Sprint 1</c:v>
                </c:pt>
                <c:pt idx="1">
                  <c:v>MAS Sprint 2</c:v>
                </c:pt>
                <c:pt idx="2">
                  <c:v>MAS Sprint 3</c:v>
                </c:pt>
                <c:pt idx="3">
                  <c:v>MAS Sprint 4</c:v>
                </c:pt>
                <c:pt idx="4">
                  <c:v>MAS Sprint 5</c:v>
                </c:pt>
              </c:strCache>
            </c:strRef>
          </c:cat>
          <c:val>
            <c:numRef>
              <c:f>'Sprint Metrics'!$E$5:$E$9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</c:ser>
        <c:gapWidth val="150"/>
        <c:overlap val="0"/>
        <c:axId val="74556597"/>
        <c:axId val="78889908"/>
      </c:barChart>
      <c:catAx>
        <c:axId val="74556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89908"/>
        <c:crosses val="autoZero"/>
        <c:auto val="1"/>
        <c:lblAlgn val="ctr"/>
        <c:lblOffset val="100"/>
        <c:noMultiLvlLbl val="0"/>
      </c:catAx>
      <c:valAx>
        <c:axId val="78889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565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16</xdr:col>
      <xdr:colOff>147600</xdr:colOff>
      <xdr:row>15</xdr:row>
      <xdr:rowOff>42840</xdr:rowOff>
    </xdr:to>
    <xdr:graphicFrame>
      <xdr:nvGraphicFramePr>
        <xdr:cNvPr id="0" name="Chart 1"/>
        <xdr:cNvGraphicFramePr/>
      </xdr:nvGraphicFramePr>
      <xdr:xfrm>
        <a:off x="1054980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9" customFormat="false" ht="15" hidden="false" customHeight="false" outlineLevel="0" collapsed="false">
      <c r="A9" s="3" t="s">
        <v>13</v>
      </c>
      <c r="B9" s="3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  <row r="12" customFormat="false" ht="15" hidden="false" customHeight="false" outlineLevel="0" collapsed="false">
      <c r="A12" s="3" t="s">
        <v>19</v>
      </c>
      <c r="B12" s="3" t="s">
        <v>20</v>
      </c>
    </row>
    <row r="13" customFormat="false" ht="15" hidden="false" customHeight="false" outlineLevel="0" collapsed="false">
      <c r="A13" s="3" t="s">
        <v>21</v>
      </c>
      <c r="B13" s="3" t="s">
        <v>22</v>
      </c>
    </row>
    <row r="14" customFormat="false" ht="15" hidden="false" customHeight="false" outlineLevel="0" collapsed="false">
      <c r="A14" s="3" t="s">
        <v>23</v>
      </c>
      <c r="B14" s="3" t="s">
        <v>24</v>
      </c>
    </row>
    <row r="15" customFormat="false" ht="15" hidden="false" customHeight="false" outlineLevel="0" collapsed="false">
      <c r="A15" s="3" t="s">
        <v>25</v>
      </c>
      <c r="B1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</row>
    <row r="2" customFormat="false" ht="15" hidden="false" customHeight="fals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39</v>
      </c>
      <c r="G2" s="3" t="s">
        <v>40</v>
      </c>
      <c r="H2" s="3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39</v>
      </c>
      <c r="F3" s="3" t="s">
        <v>39</v>
      </c>
      <c r="G3" s="3" t="s">
        <v>40</v>
      </c>
      <c r="H3" s="3" t="s">
        <v>46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39</v>
      </c>
      <c r="G4" s="3" t="s">
        <v>52</v>
      </c>
      <c r="H4" s="3" t="s">
        <v>53</v>
      </c>
    </row>
    <row r="5" customFormat="false" ht="15" hidden="false" customHeight="false" outlineLevel="0" collapsed="false">
      <c r="A5" s="3" t="s">
        <v>54</v>
      </c>
      <c r="B5" s="3" t="s">
        <v>55</v>
      </c>
      <c r="C5" s="3" t="s">
        <v>56</v>
      </c>
      <c r="D5" s="3" t="s">
        <v>57</v>
      </c>
      <c r="E5" s="3" t="s">
        <v>51</v>
      </c>
      <c r="F5" s="3" t="s">
        <v>51</v>
      </c>
      <c r="G5" s="3" t="s">
        <v>58</v>
      </c>
      <c r="H5" s="3" t="s">
        <v>59</v>
      </c>
    </row>
    <row r="6" customFormat="false" ht="15" hidden="false" customHeight="false" outlineLevel="0" collapsed="false">
      <c r="A6" s="3" t="s">
        <v>60</v>
      </c>
      <c r="B6" s="3" t="s">
        <v>61</v>
      </c>
      <c r="C6" s="3" t="s">
        <v>62</v>
      </c>
      <c r="D6" s="3" t="s">
        <v>63</v>
      </c>
      <c r="E6" s="3" t="s">
        <v>39</v>
      </c>
      <c r="F6" s="3" t="s">
        <v>51</v>
      </c>
      <c r="G6" s="3" t="s">
        <v>52</v>
      </c>
      <c r="H6" s="3" t="s">
        <v>64</v>
      </c>
    </row>
    <row r="7" customFormat="false" ht="22.35" hidden="false" customHeight="false" outlineLevel="0" collapsed="false">
      <c r="A7" s="3" t="s">
        <v>65</v>
      </c>
      <c r="B7" s="3" t="s">
        <v>66</v>
      </c>
      <c r="C7" s="3" t="s">
        <v>67</v>
      </c>
      <c r="D7" s="3" t="s">
        <v>68</v>
      </c>
      <c r="E7" s="3" t="s">
        <v>51</v>
      </c>
      <c r="F7" s="3" t="s">
        <v>39</v>
      </c>
      <c r="G7" s="3" t="s">
        <v>58</v>
      </c>
      <c r="H7" s="3" t="s">
        <v>69</v>
      </c>
    </row>
    <row r="8" customFormat="false" ht="15" hidden="false" customHeight="false" outlineLevel="0" collapsed="false">
      <c r="A8" s="3" t="s">
        <v>70</v>
      </c>
      <c r="B8" s="3" t="s">
        <v>71</v>
      </c>
      <c r="C8" s="3" t="s">
        <v>72</v>
      </c>
      <c r="D8" s="3" t="s">
        <v>73</v>
      </c>
      <c r="E8" s="3" t="s">
        <v>51</v>
      </c>
      <c r="F8" s="3" t="s">
        <v>39</v>
      </c>
      <c r="G8" s="3" t="s">
        <v>58</v>
      </c>
      <c r="H8" s="3" t="s">
        <v>74</v>
      </c>
    </row>
    <row r="9" customFormat="false" ht="15" hidden="false" customHeight="false" outlineLevel="0" collapsed="false">
      <c r="A9" s="3" t="s">
        <v>75</v>
      </c>
      <c r="B9" s="3" t="s">
        <v>76</v>
      </c>
      <c r="C9" s="3" t="s">
        <v>77</v>
      </c>
      <c r="D9" s="3" t="s">
        <v>78</v>
      </c>
      <c r="E9" s="3" t="s">
        <v>51</v>
      </c>
      <c r="F9" s="3" t="s">
        <v>39</v>
      </c>
      <c r="G9" s="3" t="s">
        <v>58</v>
      </c>
      <c r="H9" s="3" t="s">
        <v>79</v>
      </c>
    </row>
    <row r="10" customFormat="false" ht="15" hidden="false" customHeight="false" outlineLevel="0" collapsed="false">
      <c r="A10" s="3" t="s">
        <v>80</v>
      </c>
      <c r="B10" s="3" t="s">
        <v>81</v>
      </c>
      <c r="C10" s="3" t="s">
        <v>82</v>
      </c>
      <c r="D10" s="3" t="s">
        <v>83</v>
      </c>
      <c r="E10" s="3" t="s">
        <v>39</v>
      </c>
      <c r="F10" s="3" t="s">
        <v>39</v>
      </c>
      <c r="G10" s="3" t="s">
        <v>40</v>
      </c>
      <c r="H10" s="3" t="s">
        <v>84</v>
      </c>
    </row>
    <row r="11" customFormat="false" ht="15" hidden="false" customHeight="false" outlineLevel="0" collapsed="false">
      <c r="A11" s="3" t="s">
        <v>85</v>
      </c>
      <c r="B11" s="3" t="s">
        <v>86</v>
      </c>
      <c r="C11" s="3" t="s">
        <v>87</v>
      </c>
      <c r="D11" s="3" t="s">
        <v>88</v>
      </c>
      <c r="E11" s="3" t="s">
        <v>51</v>
      </c>
      <c r="F11" s="3" t="s">
        <v>39</v>
      </c>
      <c r="G11" s="3" t="s">
        <v>58</v>
      </c>
      <c r="H11" s="3" t="s">
        <v>89</v>
      </c>
    </row>
    <row r="12" customFormat="false" ht="15" hidden="false" customHeight="false" outlineLevel="0" collapsed="false">
      <c r="A12" s="3" t="s">
        <v>90</v>
      </c>
      <c r="B12" s="3" t="s">
        <v>91</v>
      </c>
      <c r="C12" s="3" t="s">
        <v>92</v>
      </c>
      <c r="D12" s="3" t="s">
        <v>93</v>
      </c>
      <c r="E12" s="3" t="s">
        <v>39</v>
      </c>
      <c r="F12" s="3" t="s">
        <v>39</v>
      </c>
      <c r="G12" s="3" t="s">
        <v>94</v>
      </c>
      <c r="H12" s="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3"/>
  </cols>
  <sheetData>
    <row r="1" customFormat="false" ht="15" hidden="false" customHeight="false" outlineLevel="0" collapsed="false">
      <c r="A1" s="1" t="s">
        <v>96</v>
      </c>
    </row>
    <row r="3" customFormat="false" ht="23.85" hidden="false" customHeight="false" outlineLevel="0" collapsed="false">
      <c r="A3" s="2" t="s">
        <v>97</v>
      </c>
      <c r="B3" s="2" t="s">
        <v>98</v>
      </c>
      <c r="C3" s="2" t="s">
        <v>99</v>
      </c>
      <c r="D3" s="2" t="s">
        <v>62</v>
      </c>
      <c r="E3" s="2" t="s">
        <v>100</v>
      </c>
      <c r="F3" s="2" t="s">
        <v>87</v>
      </c>
      <c r="G3" s="2" t="s">
        <v>101</v>
      </c>
      <c r="H3" s="2" t="s">
        <v>102</v>
      </c>
      <c r="I3" s="2" t="s">
        <v>103</v>
      </c>
    </row>
    <row r="4" customFormat="false" ht="15" hidden="false" customHeight="false" outlineLevel="0" collapsed="false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107</v>
      </c>
      <c r="F4" s="3" t="s">
        <v>108</v>
      </c>
      <c r="G4" s="3" t="s">
        <v>106</v>
      </c>
      <c r="H4" s="3" t="s">
        <v>107</v>
      </c>
      <c r="I4" s="3" t="s">
        <v>108</v>
      </c>
    </row>
    <row r="5" customFormat="false" ht="15" hidden="false" customHeight="false" outlineLevel="0" collapsed="false">
      <c r="A5" s="3" t="s">
        <v>109</v>
      </c>
      <c r="B5" s="3" t="s">
        <v>105</v>
      </c>
      <c r="C5" s="3" t="s">
        <v>106</v>
      </c>
      <c r="D5" s="3" t="s">
        <v>107</v>
      </c>
      <c r="E5" s="3" t="s">
        <v>107</v>
      </c>
      <c r="F5" s="3" t="s">
        <v>108</v>
      </c>
      <c r="G5" s="3" t="s">
        <v>106</v>
      </c>
      <c r="H5" s="3" t="s">
        <v>107</v>
      </c>
      <c r="I5" s="3" t="s">
        <v>107</v>
      </c>
    </row>
    <row r="6" customFormat="false" ht="15" hidden="false" customHeight="false" outlineLevel="0" collapsed="false">
      <c r="A6" s="3" t="s">
        <v>110</v>
      </c>
      <c r="B6" s="3" t="s">
        <v>105</v>
      </c>
      <c r="C6" s="3" t="s">
        <v>106</v>
      </c>
      <c r="D6" s="3" t="s">
        <v>107</v>
      </c>
      <c r="E6" s="3" t="s">
        <v>107</v>
      </c>
      <c r="F6" s="3" t="s">
        <v>108</v>
      </c>
      <c r="G6" s="3" t="s">
        <v>106</v>
      </c>
      <c r="H6" s="3" t="s">
        <v>107</v>
      </c>
      <c r="I6" s="3" t="s">
        <v>108</v>
      </c>
    </row>
    <row r="7" customFormat="false" ht="15" hidden="false" customHeight="false" outlineLevel="0" collapsed="false">
      <c r="A7" s="3" t="s">
        <v>111</v>
      </c>
      <c r="B7" s="3" t="s">
        <v>108</v>
      </c>
      <c r="C7" s="3" t="s">
        <v>105</v>
      </c>
      <c r="D7" s="3" t="s">
        <v>107</v>
      </c>
      <c r="E7" s="3" t="s">
        <v>107</v>
      </c>
      <c r="F7" s="3" t="s">
        <v>108</v>
      </c>
      <c r="G7" s="3" t="s">
        <v>106</v>
      </c>
      <c r="H7" s="3" t="s">
        <v>106</v>
      </c>
      <c r="I7" s="3" t="s">
        <v>107</v>
      </c>
    </row>
    <row r="8" customFormat="false" ht="15" hidden="false" customHeight="false" outlineLevel="0" collapsed="false">
      <c r="A8" s="3" t="s">
        <v>112</v>
      </c>
      <c r="B8" s="3" t="s">
        <v>108</v>
      </c>
      <c r="C8" s="3" t="s">
        <v>105</v>
      </c>
      <c r="D8" s="3" t="s">
        <v>107</v>
      </c>
      <c r="E8" s="3" t="s">
        <v>107</v>
      </c>
      <c r="F8" s="3" t="s">
        <v>107</v>
      </c>
      <c r="G8" s="3" t="s">
        <v>106</v>
      </c>
      <c r="H8" s="3" t="s">
        <v>107</v>
      </c>
      <c r="I8" s="3" t="s">
        <v>107</v>
      </c>
    </row>
    <row r="9" customFormat="false" ht="15" hidden="false" customHeight="false" outlineLevel="0" collapsed="false">
      <c r="A9" s="3" t="s">
        <v>113</v>
      </c>
      <c r="B9" s="3" t="s">
        <v>107</v>
      </c>
      <c r="C9" s="3" t="s">
        <v>114</v>
      </c>
      <c r="D9" s="3" t="s">
        <v>108</v>
      </c>
      <c r="E9" s="3" t="s">
        <v>108</v>
      </c>
      <c r="F9" s="3" t="s">
        <v>108</v>
      </c>
      <c r="G9" s="3" t="s">
        <v>107</v>
      </c>
      <c r="H9" s="3" t="s">
        <v>106</v>
      </c>
      <c r="I9" s="3" t="s">
        <v>107</v>
      </c>
    </row>
    <row r="10" customFormat="false" ht="15" hidden="false" customHeight="false" outlineLevel="0" collapsed="false">
      <c r="A10" s="3" t="s">
        <v>115</v>
      </c>
      <c r="B10" s="3" t="s">
        <v>108</v>
      </c>
      <c r="C10" s="3" t="s">
        <v>105</v>
      </c>
      <c r="D10" s="3" t="s">
        <v>108</v>
      </c>
      <c r="E10" s="3" t="s">
        <v>107</v>
      </c>
      <c r="F10" s="3" t="s">
        <v>108</v>
      </c>
      <c r="G10" s="3" t="s">
        <v>106</v>
      </c>
      <c r="H10" s="3" t="s">
        <v>107</v>
      </c>
      <c r="I10" s="3" t="s">
        <v>108</v>
      </c>
    </row>
    <row r="11" customFormat="false" ht="15" hidden="false" customHeight="false" outlineLevel="0" collapsed="false">
      <c r="A11" s="3" t="s">
        <v>116</v>
      </c>
      <c r="B11" s="3" t="s">
        <v>108</v>
      </c>
      <c r="C11" s="3" t="s">
        <v>107</v>
      </c>
      <c r="D11" s="3" t="s">
        <v>105</v>
      </c>
      <c r="E11" s="3" t="s">
        <v>106</v>
      </c>
      <c r="F11" s="3" t="s">
        <v>108</v>
      </c>
      <c r="G11" s="3" t="s">
        <v>107</v>
      </c>
      <c r="H11" s="3" t="s">
        <v>108</v>
      </c>
      <c r="I11" s="3" t="s">
        <v>107</v>
      </c>
    </row>
    <row r="12" customFormat="false" ht="15" hidden="false" customHeight="false" outlineLevel="0" collapsed="false">
      <c r="A12" s="3" t="s">
        <v>117</v>
      </c>
      <c r="B12" s="3" t="s">
        <v>108</v>
      </c>
      <c r="C12" s="3" t="s">
        <v>108</v>
      </c>
      <c r="D12" s="3" t="s">
        <v>107</v>
      </c>
      <c r="E12" s="3" t="s">
        <v>114</v>
      </c>
      <c r="F12" s="3" t="s">
        <v>107</v>
      </c>
      <c r="G12" s="3" t="s">
        <v>107</v>
      </c>
      <c r="H12" s="3" t="s">
        <v>108</v>
      </c>
      <c r="I12" s="3" t="s">
        <v>108</v>
      </c>
    </row>
    <row r="13" customFormat="false" ht="15" hidden="false" customHeight="false" outlineLevel="0" collapsed="false">
      <c r="A13" s="3" t="s">
        <v>118</v>
      </c>
      <c r="B13" s="3" t="s">
        <v>108</v>
      </c>
      <c r="C13" s="3" t="s">
        <v>107</v>
      </c>
      <c r="D13" s="3" t="s">
        <v>108</v>
      </c>
      <c r="E13" s="3" t="s">
        <v>107</v>
      </c>
      <c r="F13" s="3" t="s">
        <v>114</v>
      </c>
      <c r="G13" s="3" t="s">
        <v>106</v>
      </c>
      <c r="H13" s="3" t="s">
        <v>108</v>
      </c>
      <c r="I13" s="3" t="s">
        <v>107</v>
      </c>
    </row>
    <row r="14" customFormat="false" ht="15" hidden="false" customHeight="false" outlineLevel="0" collapsed="false">
      <c r="A14" s="3" t="s">
        <v>119</v>
      </c>
      <c r="B14" s="3" t="s">
        <v>105</v>
      </c>
      <c r="C14" s="3" t="s">
        <v>106</v>
      </c>
      <c r="D14" s="3" t="s">
        <v>107</v>
      </c>
      <c r="E14" s="3" t="s">
        <v>107</v>
      </c>
      <c r="F14" s="3" t="s">
        <v>108</v>
      </c>
      <c r="G14" s="3" t="s">
        <v>106</v>
      </c>
      <c r="H14" s="3" t="s">
        <v>107</v>
      </c>
      <c r="I14" s="3" t="s">
        <v>108</v>
      </c>
    </row>
    <row r="15" customFormat="false" ht="15" hidden="false" customHeight="false" outlineLevel="0" collapsed="false">
      <c r="A15" s="3" t="s">
        <v>120</v>
      </c>
      <c r="B15" s="3" t="s">
        <v>108</v>
      </c>
      <c r="C15" s="3" t="s">
        <v>105</v>
      </c>
      <c r="D15" s="3" t="s">
        <v>108</v>
      </c>
      <c r="E15" s="3" t="s">
        <v>107</v>
      </c>
      <c r="F15" s="3" t="s">
        <v>107</v>
      </c>
      <c r="G15" s="3" t="s">
        <v>106</v>
      </c>
      <c r="H15" s="3" t="s">
        <v>106</v>
      </c>
      <c r="I15" s="3" t="s">
        <v>106</v>
      </c>
    </row>
    <row r="16" customFormat="false" ht="15" hidden="false" customHeight="false" outlineLevel="0" collapsed="false">
      <c r="A16" s="3" t="s">
        <v>121</v>
      </c>
      <c r="B16" s="3" t="s">
        <v>105</v>
      </c>
      <c r="C16" s="3" t="s">
        <v>107</v>
      </c>
      <c r="D16" s="3" t="s">
        <v>108</v>
      </c>
      <c r="E16" s="3" t="s">
        <v>107</v>
      </c>
      <c r="F16" s="3" t="s">
        <v>108</v>
      </c>
      <c r="G16" s="3" t="s">
        <v>106</v>
      </c>
      <c r="H16" s="3" t="s">
        <v>108</v>
      </c>
      <c r="I16" s="3" t="s">
        <v>108</v>
      </c>
    </row>
    <row r="17" customFormat="false" ht="15" hidden="false" customHeight="false" outlineLevel="0" collapsed="false">
      <c r="A17" s="3" t="s">
        <v>122</v>
      </c>
      <c r="B17" s="3" t="s">
        <v>114</v>
      </c>
      <c r="C17" s="3" t="s">
        <v>106</v>
      </c>
      <c r="D17" s="3" t="s">
        <v>107</v>
      </c>
      <c r="E17" s="3" t="s">
        <v>107</v>
      </c>
      <c r="F17" s="3" t="s">
        <v>107</v>
      </c>
      <c r="G17" s="3" t="s">
        <v>107</v>
      </c>
      <c r="H17" s="3" t="s">
        <v>108</v>
      </c>
      <c r="I17" s="3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78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2" t="s">
        <v>123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</row>
    <row r="2" customFormat="false" ht="15" hidden="false" customHeight="false" outlineLevel="0" collapsed="false">
      <c r="A2" s="3" t="s">
        <v>130</v>
      </c>
      <c r="B2" s="3" t="s">
        <v>131</v>
      </c>
      <c r="C2" s="3" t="s">
        <v>132</v>
      </c>
      <c r="D2" s="3" t="s">
        <v>133</v>
      </c>
      <c r="E2" s="3" t="s">
        <v>134</v>
      </c>
      <c r="F2" s="3" t="s">
        <v>135</v>
      </c>
      <c r="G2" s="3"/>
    </row>
    <row r="3" customFormat="false" ht="15" hidden="false" customHeight="false" outlineLevel="0" collapsed="false">
      <c r="A3" s="3" t="s">
        <v>136</v>
      </c>
      <c r="B3" s="3" t="s">
        <v>131</v>
      </c>
      <c r="C3" s="3" t="s">
        <v>137</v>
      </c>
      <c r="D3" s="3" t="s">
        <v>133</v>
      </c>
      <c r="E3" s="3" t="s">
        <v>44</v>
      </c>
      <c r="F3" s="3" t="s">
        <v>138</v>
      </c>
      <c r="G3" s="3"/>
    </row>
    <row r="4" customFormat="false" ht="15" hidden="false" customHeight="false" outlineLevel="0" collapsed="false">
      <c r="A4" s="3" t="s">
        <v>139</v>
      </c>
      <c r="B4" s="3" t="s">
        <v>131</v>
      </c>
      <c r="C4" s="3" t="s">
        <v>140</v>
      </c>
      <c r="D4" s="3" t="s">
        <v>133</v>
      </c>
      <c r="E4" s="3" t="s">
        <v>44</v>
      </c>
      <c r="F4" s="3" t="s">
        <v>141</v>
      </c>
      <c r="G4" s="3"/>
    </row>
    <row r="5" customFormat="false" ht="15" hidden="false" customHeight="false" outlineLevel="0" collapsed="false">
      <c r="A5" s="3" t="s">
        <v>142</v>
      </c>
      <c r="B5" s="3" t="s">
        <v>131</v>
      </c>
      <c r="C5" s="3" t="s">
        <v>143</v>
      </c>
      <c r="D5" s="3" t="s">
        <v>133</v>
      </c>
      <c r="E5" s="3" t="s">
        <v>144</v>
      </c>
      <c r="F5" s="3" t="s">
        <v>138</v>
      </c>
      <c r="G5" s="3"/>
    </row>
    <row r="6" customFormat="false" ht="15" hidden="false" customHeight="false" outlineLevel="0" collapsed="false">
      <c r="A6" s="3" t="s">
        <v>145</v>
      </c>
      <c r="B6" s="3" t="s">
        <v>131</v>
      </c>
      <c r="C6" s="3" t="s">
        <v>146</v>
      </c>
      <c r="D6" s="3" t="s">
        <v>147</v>
      </c>
      <c r="E6" s="3" t="s">
        <v>44</v>
      </c>
      <c r="F6" s="3" t="s">
        <v>148</v>
      </c>
      <c r="G6" s="3"/>
    </row>
    <row r="7" customFormat="false" ht="15" hidden="false" customHeight="false" outlineLevel="0" collapsed="false">
      <c r="A7" s="3" t="s">
        <v>149</v>
      </c>
      <c r="B7" s="3" t="s">
        <v>150</v>
      </c>
      <c r="C7" s="3" t="s">
        <v>151</v>
      </c>
      <c r="D7" s="3" t="s">
        <v>133</v>
      </c>
      <c r="E7" s="3" t="s">
        <v>44</v>
      </c>
      <c r="F7" s="3" t="s">
        <v>152</v>
      </c>
      <c r="G7" s="3" t="s">
        <v>153</v>
      </c>
    </row>
    <row r="8" customFormat="false" ht="15" hidden="false" customHeight="false" outlineLevel="0" collapsed="false">
      <c r="A8" s="3" t="s">
        <v>154</v>
      </c>
      <c r="B8" s="3" t="s">
        <v>150</v>
      </c>
      <c r="C8" s="3" t="s">
        <v>155</v>
      </c>
      <c r="D8" s="3" t="s">
        <v>147</v>
      </c>
      <c r="E8" s="3" t="s">
        <v>44</v>
      </c>
      <c r="F8" s="3" t="s">
        <v>156</v>
      </c>
      <c r="G8" s="3" t="s">
        <v>157</v>
      </c>
    </row>
    <row r="9" customFormat="false" ht="15" hidden="false" customHeight="false" outlineLevel="0" collapsed="false">
      <c r="A9" s="3" t="s">
        <v>158</v>
      </c>
      <c r="B9" s="3" t="s">
        <v>150</v>
      </c>
      <c r="C9" s="3" t="s">
        <v>159</v>
      </c>
      <c r="D9" s="3" t="s">
        <v>133</v>
      </c>
      <c r="E9" s="3" t="s">
        <v>44</v>
      </c>
      <c r="F9" s="3" t="s">
        <v>160</v>
      </c>
      <c r="G9" s="3"/>
    </row>
    <row r="10" customFormat="false" ht="15" hidden="false" customHeight="false" outlineLevel="0" collapsed="false">
      <c r="A10" s="3" t="s">
        <v>161</v>
      </c>
      <c r="B10" s="3" t="s">
        <v>150</v>
      </c>
      <c r="C10" s="3" t="s">
        <v>162</v>
      </c>
      <c r="D10" s="3" t="s">
        <v>133</v>
      </c>
      <c r="E10" s="3" t="s">
        <v>163</v>
      </c>
      <c r="F10" s="3" t="s">
        <v>164</v>
      </c>
      <c r="G10" s="3" t="s">
        <v>165</v>
      </c>
    </row>
    <row r="11" customFormat="false" ht="15" hidden="false" customHeight="false" outlineLevel="0" collapsed="false">
      <c r="A11" s="3" t="s">
        <v>166</v>
      </c>
      <c r="B11" s="3" t="s">
        <v>150</v>
      </c>
      <c r="C11" s="3" t="s">
        <v>167</v>
      </c>
      <c r="D11" s="3" t="s">
        <v>133</v>
      </c>
      <c r="E11" s="3" t="s">
        <v>168</v>
      </c>
      <c r="F11" s="3" t="s">
        <v>169</v>
      </c>
      <c r="G11" s="3" t="s">
        <v>170</v>
      </c>
    </row>
    <row r="12" customFormat="false" ht="15" hidden="false" customHeight="false" outlineLevel="0" collapsed="false">
      <c r="A12" s="3" t="s">
        <v>171</v>
      </c>
      <c r="B12" s="3" t="s">
        <v>150</v>
      </c>
      <c r="C12" s="3" t="s">
        <v>172</v>
      </c>
      <c r="D12" s="3" t="s">
        <v>147</v>
      </c>
      <c r="E12" s="3" t="s">
        <v>168</v>
      </c>
      <c r="F12" s="3" t="s">
        <v>173</v>
      </c>
      <c r="G12" s="3"/>
    </row>
    <row r="13" customFormat="false" ht="15" hidden="false" customHeight="false" outlineLevel="0" collapsed="false">
      <c r="A13" s="3" t="s">
        <v>174</v>
      </c>
      <c r="B13" s="3" t="s">
        <v>150</v>
      </c>
      <c r="C13" s="3" t="s">
        <v>175</v>
      </c>
      <c r="D13" s="3" t="s">
        <v>147</v>
      </c>
      <c r="E13" s="3" t="s">
        <v>176</v>
      </c>
      <c r="F13" s="3" t="s">
        <v>177</v>
      </c>
      <c r="G13" s="3" t="s">
        <v>178</v>
      </c>
    </row>
    <row r="14" customFormat="false" ht="15" hidden="false" customHeight="false" outlineLevel="0" collapsed="false">
      <c r="A14" s="3" t="s">
        <v>179</v>
      </c>
      <c r="B14" s="3" t="s">
        <v>150</v>
      </c>
      <c r="C14" s="3" t="s">
        <v>180</v>
      </c>
      <c r="D14" s="3" t="s">
        <v>147</v>
      </c>
      <c r="E14" s="3" t="s">
        <v>176</v>
      </c>
      <c r="F14" s="3" t="s">
        <v>181</v>
      </c>
      <c r="G14" s="3" t="s">
        <v>182</v>
      </c>
    </row>
    <row r="15" customFormat="false" ht="15" hidden="false" customHeight="false" outlineLevel="0" collapsed="false">
      <c r="A15" s="3" t="s">
        <v>183</v>
      </c>
      <c r="B15" s="3" t="s">
        <v>150</v>
      </c>
      <c r="C15" s="3" t="s">
        <v>184</v>
      </c>
      <c r="D15" s="3" t="s">
        <v>133</v>
      </c>
      <c r="E15" s="3" t="s">
        <v>144</v>
      </c>
      <c r="F15" s="3" t="s">
        <v>185</v>
      </c>
      <c r="G15" s="3" t="s">
        <v>186</v>
      </c>
    </row>
    <row r="16" customFormat="false" ht="15" hidden="false" customHeight="false" outlineLevel="0" collapsed="false">
      <c r="A16" s="3" t="s">
        <v>187</v>
      </c>
      <c r="B16" s="3" t="s">
        <v>150</v>
      </c>
      <c r="C16" s="3" t="s">
        <v>188</v>
      </c>
      <c r="D16" s="3" t="s">
        <v>133</v>
      </c>
      <c r="E16" s="3" t="s">
        <v>189</v>
      </c>
      <c r="F16" s="3" t="s">
        <v>190</v>
      </c>
      <c r="G16" s="3" t="s">
        <v>191</v>
      </c>
    </row>
    <row r="17" customFormat="false" ht="15" hidden="false" customHeight="false" outlineLevel="0" collapsed="false">
      <c r="A17" s="3" t="s">
        <v>192</v>
      </c>
      <c r="B17" s="3" t="s">
        <v>150</v>
      </c>
      <c r="C17" s="3" t="s">
        <v>193</v>
      </c>
      <c r="D17" s="3" t="s">
        <v>133</v>
      </c>
      <c r="E17" s="3" t="s">
        <v>144</v>
      </c>
      <c r="F17" s="3" t="s">
        <v>194</v>
      </c>
      <c r="G17" s="3" t="s">
        <v>195</v>
      </c>
    </row>
    <row r="18" customFormat="false" ht="15" hidden="false" customHeight="false" outlineLevel="0" collapsed="false">
      <c r="A18" s="3" t="s">
        <v>196</v>
      </c>
      <c r="B18" s="3" t="s">
        <v>150</v>
      </c>
      <c r="C18" s="3" t="s">
        <v>197</v>
      </c>
      <c r="D18" s="3" t="s">
        <v>147</v>
      </c>
      <c r="E18" s="3" t="s">
        <v>189</v>
      </c>
      <c r="F18" s="3" t="s">
        <v>198</v>
      </c>
      <c r="G18" s="3"/>
    </row>
    <row r="19" customFormat="false" ht="15" hidden="false" customHeight="false" outlineLevel="0" collapsed="false">
      <c r="A19" s="3" t="s">
        <v>199</v>
      </c>
      <c r="B19" s="3" t="s">
        <v>200</v>
      </c>
      <c r="C19" s="3" t="s">
        <v>201</v>
      </c>
      <c r="D19" s="3" t="s">
        <v>133</v>
      </c>
      <c r="E19" s="3" t="s">
        <v>163</v>
      </c>
      <c r="F19" s="3" t="s">
        <v>164</v>
      </c>
      <c r="G19" s="3" t="s">
        <v>165</v>
      </c>
    </row>
    <row r="20" customFormat="false" ht="15" hidden="false" customHeight="false" outlineLevel="0" collapsed="false">
      <c r="A20" s="3" t="s">
        <v>202</v>
      </c>
      <c r="B20" s="3" t="s">
        <v>200</v>
      </c>
      <c r="C20" s="3" t="s">
        <v>203</v>
      </c>
      <c r="D20" s="3" t="s">
        <v>147</v>
      </c>
      <c r="E20" s="3" t="s">
        <v>176</v>
      </c>
      <c r="F20" s="3" t="s">
        <v>177</v>
      </c>
      <c r="G20" s="3" t="s">
        <v>178</v>
      </c>
    </row>
    <row r="21" customFormat="false" ht="15" hidden="false" customHeight="false" outlineLevel="0" collapsed="false">
      <c r="A21" s="3" t="s">
        <v>204</v>
      </c>
      <c r="B21" s="3" t="s">
        <v>200</v>
      </c>
      <c r="C21" s="3" t="s">
        <v>205</v>
      </c>
      <c r="D21" s="3" t="s">
        <v>133</v>
      </c>
      <c r="E21" s="3" t="s">
        <v>62</v>
      </c>
      <c r="F21" s="3" t="s">
        <v>206</v>
      </c>
      <c r="G21" s="3" t="s">
        <v>207</v>
      </c>
    </row>
    <row r="22" customFormat="false" ht="15" hidden="false" customHeight="false" outlineLevel="0" collapsed="false">
      <c r="A22" s="3" t="s">
        <v>208</v>
      </c>
      <c r="B22" s="3" t="s">
        <v>200</v>
      </c>
      <c r="C22" s="3" t="s">
        <v>209</v>
      </c>
      <c r="D22" s="3" t="s">
        <v>133</v>
      </c>
      <c r="E22" s="3" t="s">
        <v>62</v>
      </c>
      <c r="F22" s="3" t="s">
        <v>152</v>
      </c>
      <c r="G22" s="3" t="s">
        <v>153</v>
      </c>
    </row>
    <row r="23" customFormat="false" ht="15" hidden="false" customHeight="false" outlineLevel="0" collapsed="false">
      <c r="A23" s="3" t="s">
        <v>210</v>
      </c>
      <c r="B23" s="3" t="s">
        <v>200</v>
      </c>
      <c r="C23" s="3" t="s">
        <v>211</v>
      </c>
      <c r="D23" s="3" t="s">
        <v>147</v>
      </c>
      <c r="E23" s="3" t="s">
        <v>163</v>
      </c>
      <c r="F23" s="3" t="s">
        <v>164</v>
      </c>
      <c r="G23" s="3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58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2" t="s">
        <v>212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</row>
    <row r="2" customFormat="false" ht="15" hidden="false" customHeight="false" outlineLevel="0" collapsed="false">
      <c r="A2" s="3" t="n">
        <v>1</v>
      </c>
      <c r="B2" s="3" t="s">
        <v>152</v>
      </c>
      <c r="C2" s="3" t="s">
        <v>141</v>
      </c>
      <c r="D2" s="3" t="s">
        <v>221</v>
      </c>
      <c r="E2" s="3" t="s">
        <v>44</v>
      </c>
      <c r="F2" s="3" t="s">
        <v>133</v>
      </c>
      <c r="G2" s="3" t="n">
        <v>8</v>
      </c>
      <c r="H2" s="3" t="s">
        <v>222</v>
      </c>
      <c r="I2" s="3" t="s">
        <v>223</v>
      </c>
    </row>
    <row r="3" customFormat="false" ht="15" hidden="false" customHeight="false" outlineLevel="0" collapsed="false">
      <c r="A3" s="3" t="n">
        <v>2</v>
      </c>
      <c r="B3" s="3" t="s">
        <v>156</v>
      </c>
      <c r="C3" s="3" t="s">
        <v>148</v>
      </c>
      <c r="D3" s="3" t="s">
        <v>224</v>
      </c>
      <c r="E3" s="3" t="s">
        <v>168</v>
      </c>
      <c r="F3" s="3" t="s">
        <v>147</v>
      </c>
      <c r="G3" s="3" t="n">
        <v>8</v>
      </c>
      <c r="H3" s="3" t="s">
        <v>225</v>
      </c>
      <c r="I3" s="3" t="s">
        <v>223</v>
      </c>
    </row>
    <row r="4" customFormat="false" ht="15" hidden="false" customHeight="false" outlineLevel="0" collapsed="false">
      <c r="A4" s="3" t="n">
        <v>3</v>
      </c>
      <c r="B4" s="3" t="s">
        <v>160</v>
      </c>
      <c r="C4" s="3" t="s">
        <v>141</v>
      </c>
      <c r="D4" s="3" t="s">
        <v>226</v>
      </c>
      <c r="E4" s="3" t="s">
        <v>44</v>
      </c>
      <c r="F4" s="3" t="s">
        <v>133</v>
      </c>
      <c r="G4" s="3" t="n">
        <v>5</v>
      </c>
      <c r="H4" s="3" t="s">
        <v>227</v>
      </c>
      <c r="I4" s="3" t="s">
        <v>223</v>
      </c>
    </row>
    <row r="5" customFormat="false" ht="15" hidden="false" customHeight="false" outlineLevel="0" collapsed="false">
      <c r="A5" s="3" t="n">
        <v>4</v>
      </c>
      <c r="B5" s="3" t="s">
        <v>164</v>
      </c>
      <c r="C5" s="3" t="s">
        <v>138</v>
      </c>
      <c r="D5" s="3" t="s">
        <v>228</v>
      </c>
      <c r="E5" s="3" t="s">
        <v>163</v>
      </c>
      <c r="F5" s="3" t="s">
        <v>133</v>
      </c>
      <c r="G5" s="3" t="n">
        <v>8</v>
      </c>
      <c r="H5" s="3" t="s">
        <v>227</v>
      </c>
      <c r="I5" s="3" t="s">
        <v>223</v>
      </c>
    </row>
    <row r="6" customFormat="false" ht="15" hidden="false" customHeight="false" outlineLevel="0" collapsed="false">
      <c r="A6" s="3" t="n">
        <v>5</v>
      </c>
      <c r="B6" s="3" t="s">
        <v>169</v>
      </c>
      <c r="C6" s="3" t="s">
        <v>138</v>
      </c>
      <c r="D6" s="3" t="s">
        <v>229</v>
      </c>
      <c r="E6" s="3" t="s">
        <v>168</v>
      </c>
      <c r="F6" s="3" t="s">
        <v>133</v>
      </c>
      <c r="G6" s="3" t="n">
        <v>5</v>
      </c>
      <c r="H6" s="3" t="s">
        <v>222</v>
      </c>
      <c r="I6" s="3" t="s">
        <v>223</v>
      </c>
    </row>
    <row r="7" customFormat="false" ht="15" hidden="false" customHeight="false" outlineLevel="0" collapsed="false">
      <c r="A7" s="3" t="n">
        <v>6</v>
      </c>
      <c r="B7" s="3" t="s">
        <v>173</v>
      </c>
      <c r="C7" s="3" t="s">
        <v>148</v>
      </c>
      <c r="D7" s="3" t="s">
        <v>230</v>
      </c>
      <c r="E7" s="3" t="s">
        <v>168</v>
      </c>
      <c r="F7" s="3" t="s">
        <v>147</v>
      </c>
      <c r="G7" s="3" t="n">
        <v>5</v>
      </c>
      <c r="H7" s="3" t="s">
        <v>225</v>
      </c>
      <c r="I7" s="3" t="s">
        <v>223</v>
      </c>
    </row>
    <row r="8" customFormat="false" ht="15" hidden="false" customHeight="false" outlineLevel="0" collapsed="false">
      <c r="A8" s="3" t="n">
        <v>7</v>
      </c>
      <c r="B8" s="3" t="s">
        <v>177</v>
      </c>
      <c r="C8" s="3" t="s">
        <v>231</v>
      </c>
      <c r="D8" s="3" t="s">
        <v>232</v>
      </c>
      <c r="E8" s="3" t="s">
        <v>176</v>
      </c>
      <c r="F8" s="3" t="s">
        <v>147</v>
      </c>
      <c r="G8" s="3" t="n">
        <v>8</v>
      </c>
      <c r="H8" s="3" t="s">
        <v>233</v>
      </c>
      <c r="I8" s="3" t="s">
        <v>223</v>
      </c>
    </row>
    <row r="9" customFormat="false" ht="15" hidden="false" customHeight="false" outlineLevel="0" collapsed="false">
      <c r="A9" s="3" t="n">
        <v>8</v>
      </c>
      <c r="B9" s="3" t="s">
        <v>181</v>
      </c>
      <c r="C9" s="3" t="s">
        <v>231</v>
      </c>
      <c r="D9" s="3" t="s">
        <v>234</v>
      </c>
      <c r="E9" s="3" t="s">
        <v>176</v>
      </c>
      <c r="F9" s="3" t="s">
        <v>147</v>
      </c>
      <c r="G9" s="3" t="n">
        <v>5</v>
      </c>
      <c r="H9" s="3" t="s">
        <v>235</v>
      </c>
      <c r="I9" s="3" t="s">
        <v>223</v>
      </c>
    </row>
    <row r="10" customFormat="false" ht="15" hidden="false" customHeight="false" outlineLevel="0" collapsed="false">
      <c r="A10" s="3" t="n">
        <v>9</v>
      </c>
      <c r="B10" s="3" t="s">
        <v>185</v>
      </c>
      <c r="C10" s="3" t="s">
        <v>138</v>
      </c>
      <c r="D10" s="3" t="s">
        <v>236</v>
      </c>
      <c r="E10" s="3" t="s">
        <v>77</v>
      </c>
      <c r="F10" s="3" t="s">
        <v>133</v>
      </c>
      <c r="G10" s="3" t="n">
        <v>8</v>
      </c>
      <c r="H10" s="3" t="s">
        <v>235</v>
      </c>
      <c r="I10" s="3" t="s">
        <v>223</v>
      </c>
    </row>
    <row r="11" customFormat="false" ht="15" hidden="false" customHeight="false" outlineLevel="0" collapsed="false">
      <c r="A11" s="3" t="n">
        <v>10</v>
      </c>
      <c r="B11" s="3" t="s">
        <v>190</v>
      </c>
      <c r="C11" s="3" t="s">
        <v>141</v>
      </c>
      <c r="D11" s="3" t="s">
        <v>237</v>
      </c>
      <c r="E11" s="3" t="s">
        <v>189</v>
      </c>
      <c r="F11" s="3" t="s">
        <v>133</v>
      </c>
      <c r="G11" s="3" t="n">
        <v>3</v>
      </c>
      <c r="H11" s="3" t="s">
        <v>222</v>
      </c>
      <c r="I11" s="3" t="s">
        <v>223</v>
      </c>
    </row>
    <row r="12" customFormat="false" ht="15" hidden="false" customHeight="false" outlineLevel="0" collapsed="false">
      <c r="A12" s="3" t="n">
        <v>11</v>
      </c>
      <c r="B12" s="3" t="s">
        <v>194</v>
      </c>
      <c r="C12" s="3" t="s">
        <v>138</v>
      </c>
      <c r="D12" s="3" t="s">
        <v>238</v>
      </c>
      <c r="E12" s="3" t="s">
        <v>77</v>
      </c>
      <c r="F12" s="3" t="s">
        <v>133</v>
      </c>
      <c r="G12" s="3" t="n">
        <v>3</v>
      </c>
      <c r="H12" s="3" t="s">
        <v>227</v>
      </c>
      <c r="I12" s="3" t="s">
        <v>223</v>
      </c>
    </row>
    <row r="13" customFormat="false" ht="15" hidden="false" customHeight="false" outlineLevel="0" collapsed="false">
      <c r="A13" s="3" t="n">
        <v>12</v>
      </c>
      <c r="B13" s="3" t="s">
        <v>198</v>
      </c>
      <c r="C13" s="3" t="s">
        <v>141</v>
      </c>
      <c r="D13" s="3" t="s">
        <v>239</v>
      </c>
      <c r="E13" s="3" t="s">
        <v>189</v>
      </c>
      <c r="F13" s="3" t="s">
        <v>147</v>
      </c>
      <c r="G13" s="3" t="n">
        <v>3</v>
      </c>
      <c r="H13" s="3" t="s">
        <v>225</v>
      </c>
      <c r="I13" s="3" t="s">
        <v>223</v>
      </c>
    </row>
    <row r="14" customFormat="false" ht="15" hidden="false" customHeight="false" outlineLevel="0" collapsed="false">
      <c r="A14" s="3" t="n">
        <v>13</v>
      </c>
      <c r="B14" s="3" t="s">
        <v>240</v>
      </c>
      <c r="C14" s="3" t="s">
        <v>241</v>
      </c>
      <c r="D14" s="3" t="s">
        <v>242</v>
      </c>
      <c r="E14" s="3" t="s">
        <v>168</v>
      </c>
      <c r="F14" s="3" t="s">
        <v>243</v>
      </c>
      <c r="G14" s="3" t="n">
        <v>13</v>
      </c>
      <c r="H14" s="3" t="s">
        <v>244</v>
      </c>
      <c r="I14" s="3" t="s">
        <v>244</v>
      </c>
    </row>
    <row r="15" customFormat="false" ht="15" hidden="false" customHeight="false" outlineLevel="0" collapsed="false">
      <c r="A15" s="3" t="n">
        <v>14</v>
      </c>
      <c r="B15" s="3" t="s">
        <v>245</v>
      </c>
      <c r="C15" s="3" t="s">
        <v>246</v>
      </c>
      <c r="D15" s="3" t="s">
        <v>247</v>
      </c>
      <c r="E15" s="3" t="s">
        <v>248</v>
      </c>
      <c r="F15" s="3" t="s">
        <v>249</v>
      </c>
      <c r="G15" s="3" t="n">
        <v>8</v>
      </c>
      <c r="H15" s="3" t="s">
        <v>244</v>
      </c>
      <c r="I15" s="3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6" min="4" style="0" width="13"/>
    <col collapsed="false" customWidth="true" hidden="false" outlineLevel="0" max="7" min="7" style="0" width="56"/>
  </cols>
  <sheetData>
    <row r="1" customFormat="false" ht="15" hidden="false" customHeight="false" outlineLevel="0" collapsed="false">
      <c r="A1" s="1" t="s">
        <v>250</v>
      </c>
    </row>
    <row r="3" customFormat="false" ht="15" hidden="false" customHeight="false" outlineLevel="0" collapsed="false">
      <c r="A3" s="2" t="s">
        <v>219</v>
      </c>
      <c r="B3" s="2" t="s">
        <v>251</v>
      </c>
      <c r="C3" s="2" t="s">
        <v>252</v>
      </c>
      <c r="D3" s="2" t="s">
        <v>253</v>
      </c>
      <c r="E3" s="2" t="s">
        <v>254</v>
      </c>
      <c r="F3" s="2" t="s">
        <v>255</v>
      </c>
      <c r="G3" s="2" t="s">
        <v>256</v>
      </c>
    </row>
    <row r="4" customFormat="false" ht="15" hidden="false" customHeight="false" outlineLevel="0" collapsed="false">
      <c r="A4" s="3" t="s">
        <v>257</v>
      </c>
      <c r="B4" s="3" t="s">
        <v>258</v>
      </c>
      <c r="C4" s="3" t="s">
        <v>259</v>
      </c>
      <c r="D4" s="3" t="n">
        <v>0</v>
      </c>
      <c r="E4" s="3" t="n">
        <v>0</v>
      </c>
      <c r="F4" s="4" t="str">
        <f aca="false">IF(D4=0,"n/a",E4/D4)</f>
        <v>n/a</v>
      </c>
      <c r="G4" s="3" t="s">
        <v>260</v>
      </c>
    </row>
    <row r="5" customFormat="false" ht="15" hidden="false" customHeight="false" outlineLevel="0" collapsed="false">
      <c r="A5" s="3" t="s">
        <v>227</v>
      </c>
      <c r="B5" s="3" t="s">
        <v>261</v>
      </c>
      <c r="C5" s="3" t="s">
        <v>262</v>
      </c>
      <c r="D5" s="3" t="n">
        <v>16</v>
      </c>
      <c r="E5" s="3" t="n">
        <v>16</v>
      </c>
      <c r="F5" s="4" t="n">
        <f aca="false">IF(D5=0,"n/a",E5/D5)</f>
        <v>1</v>
      </c>
      <c r="G5" s="3" t="s">
        <v>263</v>
      </c>
    </row>
    <row r="6" customFormat="false" ht="15" hidden="false" customHeight="false" outlineLevel="0" collapsed="false">
      <c r="A6" s="3" t="s">
        <v>222</v>
      </c>
      <c r="B6" s="3" t="s">
        <v>264</v>
      </c>
      <c r="C6" s="3" t="s">
        <v>265</v>
      </c>
      <c r="D6" s="3" t="n">
        <v>16</v>
      </c>
      <c r="E6" s="3" t="n">
        <v>16</v>
      </c>
      <c r="F6" s="4" t="n">
        <f aca="false">IF(D6=0,"n/a",E6/D6)</f>
        <v>1</v>
      </c>
      <c r="G6" s="3" t="s">
        <v>266</v>
      </c>
    </row>
    <row r="7" customFormat="false" ht="15" hidden="false" customHeight="false" outlineLevel="0" collapsed="false">
      <c r="A7" s="3" t="s">
        <v>225</v>
      </c>
      <c r="B7" s="3" t="s">
        <v>267</v>
      </c>
      <c r="C7" s="3" t="s">
        <v>268</v>
      </c>
      <c r="D7" s="3" t="n">
        <v>16</v>
      </c>
      <c r="E7" s="3" t="n">
        <v>16</v>
      </c>
      <c r="F7" s="4" t="n">
        <f aca="false">IF(D7=0,"n/a",E7/D7)</f>
        <v>1</v>
      </c>
      <c r="G7" s="3" t="s">
        <v>269</v>
      </c>
    </row>
    <row r="8" customFormat="false" ht="15" hidden="false" customHeight="false" outlineLevel="0" collapsed="false">
      <c r="A8" s="3" t="s">
        <v>235</v>
      </c>
      <c r="B8" s="3" t="s">
        <v>270</v>
      </c>
      <c r="C8" s="3" t="s">
        <v>271</v>
      </c>
      <c r="D8" s="3" t="n">
        <v>13</v>
      </c>
      <c r="E8" s="3" t="n">
        <v>13</v>
      </c>
      <c r="F8" s="4" t="n">
        <f aca="false">IF(D8=0,"n/a",E8/D8)</f>
        <v>1</v>
      </c>
      <c r="G8" s="3" t="s">
        <v>272</v>
      </c>
    </row>
    <row r="9" customFormat="false" ht="15" hidden="false" customHeight="false" outlineLevel="0" collapsed="false">
      <c r="A9" s="3" t="s">
        <v>233</v>
      </c>
      <c r="B9" s="3" t="s">
        <v>273</v>
      </c>
      <c r="C9" s="3" t="s">
        <v>274</v>
      </c>
      <c r="D9" s="3" t="n">
        <v>8</v>
      </c>
      <c r="E9" s="3" t="n">
        <v>8</v>
      </c>
      <c r="F9" s="4" t="n">
        <f aca="false">IF(D9=0,"n/a",E9/D9)</f>
        <v>1</v>
      </c>
      <c r="G9" s="3" t="s">
        <v>275</v>
      </c>
    </row>
    <row r="11" customFormat="false" ht="15" hidden="false" customHeight="false" outlineLevel="0" collapsed="false">
      <c r="A11" s="0" t="s">
        <v>276</v>
      </c>
      <c r="E11" s="0" t="n">
        <f aca="false">AVERAGE(E5:E9)</f>
        <v>13.8</v>
      </c>
    </row>
    <row r="12" customFormat="false" ht="15" hidden="false" customHeight="false" outlineLevel="0" collapsed="false">
      <c r="A12" s="0" t="s">
        <v>277</v>
      </c>
      <c r="E12" s="0" t="n">
        <f aca="false">SUM(E4:E9)</f>
        <v>69</v>
      </c>
    </row>
    <row r="13" customFormat="false" ht="15" hidden="false" customHeight="false" outlineLevel="0" collapsed="false">
      <c r="A13" s="0" t="s">
        <v>278</v>
      </c>
      <c r="E13" s="0" t="n">
        <f aca="false">COUNTA(Defects!A2:A14)</f>
        <v>13</v>
      </c>
    </row>
    <row r="14" customFormat="false" ht="15" hidden="false" customHeight="false" outlineLevel="0" collapsed="false">
      <c r="A14" s="0" t="s">
        <v>279</v>
      </c>
      <c r="E14" s="5" t="n">
        <f aca="false">E13/E12</f>
        <v>0.188405797101449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10" min="9" style="0" width="12"/>
  </cols>
  <sheetData>
    <row r="1" customFormat="false" ht="23.85" hidden="false" customHeight="false" outlineLevel="0" collapsed="false">
      <c r="A1" s="2" t="s">
        <v>27</v>
      </c>
      <c r="B1" s="2" t="s">
        <v>124</v>
      </c>
      <c r="C1" s="2" t="s">
        <v>280</v>
      </c>
      <c r="D1" s="2" t="s">
        <v>281</v>
      </c>
      <c r="E1" s="2" t="s">
        <v>282</v>
      </c>
      <c r="F1" s="2" t="s">
        <v>283</v>
      </c>
      <c r="G1" s="2" t="s">
        <v>284</v>
      </c>
      <c r="H1" s="2" t="s">
        <v>285</v>
      </c>
      <c r="I1" s="2" t="s">
        <v>220</v>
      </c>
      <c r="J1" s="2" t="s">
        <v>286</v>
      </c>
    </row>
    <row r="2" customFormat="false" ht="22.35" hidden="false" customHeight="false" outlineLevel="0" collapsed="false">
      <c r="A2" s="3" t="s">
        <v>287</v>
      </c>
      <c r="B2" s="3" t="s">
        <v>288</v>
      </c>
      <c r="C2" s="3" t="s">
        <v>289</v>
      </c>
      <c r="D2" s="3" t="n">
        <v>4</v>
      </c>
      <c r="E2" s="3" t="n">
        <v>4</v>
      </c>
      <c r="F2" s="3" t="n">
        <f aca="false">D2*E2</f>
        <v>16</v>
      </c>
      <c r="G2" s="3" t="s">
        <v>81</v>
      </c>
      <c r="H2" s="3" t="s">
        <v>290</v>
      </c>
      <c r="I2" s="3" t="s">
        <v>291</v>
      </c>
      <c r="J2" s="3" t="s">
        <v>292</v>
      </c>
    </row>
    <row r="3" customFormat="false" ht="22.35" hidden="false" customHeight="false" outlineLevel="0" collapsed="false">
      <c r="A3" s="3" t="s">
        <v>293</v>
      </c>
      <c r="B3" s="3" t="s">
        <v>294</v>
      </c>
      <c r="C3" s="3" t="s">
        <v>295</v>
      </c>
      <c r="D3" s="3" t="n">
        <v>4</v>
      </c>
      <c r="E3" s="3" t="n">
        <v>3</v>
      </c>
      <c r="F3" s="3" t="n">
        <f aca="false">D3*E3</f>
        <v>12</v>
      </c>
      <c r="G3" s="3" t="s">
        <v>81</v>
      </c>
      <c r="H3" s="3" t="s">
        <v>296</v>
      </c>
      <c r="I3" s="3" t="s">
        <v>291</v>
      </c>
      <c r="J3" s="3" t="s">
        <v>292</v>
      </c>
    </row>
    <row r="4" customFormat="false" ht="22.35" hidden="false" customHeight="false" outlineLevel="0" collapsed="false">
      <c r="A4" s="3" t="s">
        <v>297</v>
      </c>
      <c r="B4" s="3" t="s">
        <v>288</v>
      </c>
      <c r="C4" s="3" t="s">
        <v>298</v>
      </c>
      <c r="D4" s="3" t="n">
        <v>5</v>
      </c>
      <c r="E4" s="3" t="n">
        <v>2</v>
      </c>
      <c r="F4" s="3" t="n">
        <f aca="false">D4*E4</f>
        <v>10</v>
      </c>
      <c r="G4" s="3" t="s">
        <v>61</v>
      </c>
      <c r="H4" s="3" t="s">
        <v>299</v>
      </c>
      <c r="I4" s="3" t="s">
        <v>291</v>
      </c>
      <c r="J4" s="3" t="s">
        <v>300</v>
      </c>
    </row>
    <row r="5" customFormat="false" ht="15" hidden="false" customHeight="false" outlineLevel="0" collapsed="false">
      <c r="A5" s="3" t="s">
        <v>301</v>
      </c>
      <c r="B5" s="3" t="s">
        <v>288</v>
      </c>
      <c r="C5" s="3" t="s">
        <v>302</v>
      </c>
      <c r="D5" s="3" t="n">
        <v>3</v>
      </c>
      <c r="E5" s="3" t="n">
        <v>5</v>
      </c>
      <c r="F5" s="3" t="n">
        <f aca="false">D5*E5</f>
        <v>15</v>
      </c>
      <c r="G5" s="3" t="s">
        <v>91</v>
      </c>
      <c r="H5" s="3" t="s">
        <v>303</v>
      </c>
      <c r="I5" s="3" t="s">
        <v>304</v>
      </c>
      <c r="J5" s="3" t="s">
        <v>305</v>
      </c>
    </row>
    <row r="6" customFormat="false" ht="15" hidden="false" customHeight="false" outlineLevel="0" collapsed="false">
      <c r="A6" s="3" t="s">
        <v>306</v>
      </c>
      <c r="B6" s="3" t="s">
        <v>288</v>
      </c>
      <c r="C6" s="3" t="s">
        <v>307</v>
      </c>
      <c r="D6" s="3" t="n">
        <v>2</v>
      </c>
      <c r="E6" s="3" t="n">
        <v>5</v>
      </c>
      <c r="F6" s="3" t="n">
        <f aca="false">D6*E6</f>
        <v>10</v>
      </c>
      <c r="G6" s="3" t="s">
        <v>91</v>
      </c>
      <c r="H6" s="3" t="s">
        <v>308</v>
      </c>
      <c r="I6" s="3" t="s">
        <v>304</v>
      </c>
      <c r="J6" s="3" t="s">
        <v>305</v>
      </c>
    </row>
    <row r="7" customFormat="false" ht="15" hidden="false" customHeight="false" outlineLevel="0" collapsed="false">
      <c r="A7" s="3" t="s">
        <v>309</v>
      </c>
      <c r="B7" s="3" t="s">
        <v>288</v>
      </c>
      <c r="C7" s="3" t="s">
        <v>310</v>
      </c>
      <c r="D7" s="3" t="n">
        <v>4</v>
      </c>
      <c r="E7" s="3" t="n">
        <v>3</v>
      </c>
      <c r="F7" s="3" t="n">
        <f aca="false">D7*E7</f>
        <v>12</v>
      </c>
      <c r="G7" s="3" t="s">
        <v>55</v>
      </c>
      <c r="H7" s="3" t="s">
        <v>311</v>
      </c>
      <c r="I7" s="3" t="s">
        <v>291</v>
      </c>
      <c r="J7" s="3" t="s">
        <v>312</v>
      </c>
    </row>
    <row r="8" customFormat="false" ht="15" hidden="false" customHeight="false" outlineLevel="0" collapsed="false">
      <c r="A8" s="3" t="s">
        <v>313</v>
      </c>
      <c r="B8" s="3" t="s">
        <v>288</v>
      </c>
      <c r="C8" s="3" t="s">
        <v>314</v>
      </c>
      <c r="D8" s="3" t="n">
        <v>3</v>
      </c>
      <c r="E8" s="3" t="n">
        <v>4</v>
      </c>
      <c r="F8" s="3" t="n">
        <f aca="false">D8*E8</f>
        <v>12</v>
      </c>
      <c r="G8" s="3" t="s">
        <v>43</v>
      </c>
      <c r="H8" s="3" t="s">
        <v>315</v>
      </c>
      <c r="I8" s="3" t="s">
        <v>304</v>
      </c>
      <c r="J8" s="3" t="s">
        <v>312</v>
      </c>
    </row>
    <row r="9" customFormat="false" ht="15" hidden="false" customHeight="false" outlineLevel="0" collapsed="false">
      <c r="A9" s="3" t="s">
        <v>316</v>
      </c>
      <c r="B9" s="3" t="s">
        <v>288</v>
      </c>
      <c r="C9" s="3" t="s">
        <v>317</v>
      </c>
      <c r="D9" s="3" t="n">
        <v>3</v>
      </c>
      <c r="E9" s="3" t="n">
        <v>4</v>
      </c>
      <c r="F9" s="3" t="n">
        <f aca="false">D9*E9</f>
        <v>12</v>
      </c>
      <c r="G9" s="3" t="s">
        <v>91</v>
      </c>
      <c r="H9" s="3" t="s">
        <v>318</v>
      </c>
      <c r="I9" s="3" t="s">
        <v>319</v>
      </c>
      <c r="J9" s="3" t="s">
        <v>320</v>
      </c>
    </row>
    <row r="10" customFormat="false" ht="22.35" hidden="false" customHeight="false" outlineLevel="0" collapsed="false">
      <c r="A10" s="3" t="s">
        <v>321</v>
      </c>
      <c r="B10" s="3" t="s">
        <v>322</v>
      </c>
      <c r="C10" s="3" t="s">
        <v>323</v>
      </c>
      <c r="D10" s="3" t="n">
        <v>2</v>
      </c>
      <c r="E10" s="3" t="n">
        <v>5</v>
      </c>
      <c r="F10" s="3" t="n">
        <f aca="false">D10*E10</f>
        <v>10</v>
      </c>
      <c r="G10" s="3" t="s">
        <v>86</v>
      </c>
      <c r="H10" s="3" t="s">
        <v>324</v>
      </c>
      <c r="I10" s="3" t="s">
        <v>304</v>
      </c>
      <c r="J10" s="3" t="s">
        <v>325</v>
      </c>
    </row>
    <row r="11" customFormat="false" ht="15" hidden="false" customHeight="false" outlineLevel="0" collapsed="false">
      <c r="A11" s="3" t="s">
        <v>326</v>
      </c>
      <c r="B11" s="3" t="s">
        <v>322</v>
      </c>
      <c r="C11" s="3" t="s">
        <v>327</v>
      </c>
      <c r="D11" s="3" t="n">
        <v>3</v>
      </c>
      <c r="E11" s="3" t="n">
        <v>5</v>
      </c>
      <c r="F11" s="3" t="n">
        <f aca="false">D11*E11</f>
        <v>15</v>
      </c>
      <c r="G11" s="3" t="s">
        <v>66</v>
      </c>
      <c r="H11" s="3" t="s">
        <v>328</v>
      </c>
      <c r="I11" s="3" t="s">
        <v>304</v>
      </c>
      <c r="J11" s="3" t="s">
        <v>329</v>
      </c>
    </row>
    <row r="12" customFormat="false" ht="15" hidden="false" customHeight="false" outlineLevel="0" collapsed="false">
      <c r="A12" s="3" t="s">
        <v>330</v>
      </c>
      <c r="B12" s="3" t="s">
        <v>331</v>
      </c>
      <c r="C12" s="3" t="s">
        <v>332</v>
      </c>
      <c r="D12" s="3" t="n">
        <v>4</v>
      </c>
      <c r="E12" s="3" t="n">
        <v>3</v>
      </c>
      <c r="F12" s="3" t="n">
        <f aca="false">D12*E12</f>
        <v>12</v>
      </c>
      <c r="G12" s="3" t="s">
        <v>55</v>
      </c>
      <c r="H12" s="3" t="s">
        <v>333</v>
      </c>
      <c r="I12" s="3" t="s">
        <v>334</v>
      </c>
      <c r="J12" s="3" t="s">
        <v>292</v>
      </c>
    </row>
    <row r="13" customFormat="false" ht="15" hidden="false" customHeight="false" outlineLevel="0" collapsed="false">
      <c r="A13" s="3" t="s">
        <v>335</v>
      </c>
      <c r="B13" s="3" t="s">
        <v>294</v>
      </c>
      <c r="C13" s="3" t="s">
        <v>336</v>
      </c>
      <c r="D13" s="3" t="n">
        <v>5</v>
      </c>
      <c r="E13" s="3" t="n">
        <v>2</v>
      </c>
      <c r="F13" s="3" t="n">
        <f aca="false">D13*E13</f>
        <v>10</v>
      </c>
      <c r="G13" s="3" t="s">
        <v>61</v>
      </c>
      <c r="H13" s="3" t="s">
        <v>337</v>
      </c>
      <c r="I13" s="3" t="s">
        <v>304</v>
      </c>
      <c r="J13" s="3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58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2" t="s">
        <v>27</v>
      </c>
      <c r="B1" s="2" t="s">
        <v>338</v>
      </c>
      <c r="C1" s="2" t="s">
        <v>288</v>
      </c>
      <c r="D1" s="2" t="s">
        <v>339</v>
      </c>
      <c r="E1" s="2" t="s">
        <v>340</v>
      </c>
      <c r="F1" s="2" t="s">
        <v>341</v>
      </c>
      <c r="G1" s="2" t="s">
        <v>283</v>
      </c>
      <c r="H1" s="2" t="s">
        <v>342</v>
      </c>
      <c r="I1" s="2" t="s">
        <v>284</v>
      </c>
      <c r="J1" s="2" t="s">
        <v>220</v>
      </c>
    </row>
    <row r="2" customFormat="false" ht="15" hidden="false" customHeight="false" outlineLevel="0" collapsed="false">
      <c r="A2" s="3" t="s">
        <v>343</v>
      </c>
      <c r="B2" s="3" t="s">
        <v>344</v>
      </c>
      <c r="C2" s="3" t="s">
        <v>345</v>
      </c>
      <c r="D2" s="3" t="s">
        <v>346</v>
      </c>
      <c r="E2" s="3" t="n">
        <v>4</v>
      </c>
      <c r="F2" s="3" t="n">
        <v>4</v>
      </c>
      <c r="G2" s="3" t="n">
        <f aca="false">E2*F2</f>
        <v>16</v>
      </c>
      <c r="H2" s="3" t="s">
        <v>347</v>
      </c>
      <c r="I2" s="3" t="s">
        <v>81</v>
      </c>
      <c r="J2" s="3" t="s">
        <v>291</v>
      </c>
    </row>
    <row r="3" customFormat="false" ht="15" hidden="false" customHeight="false" outlineLevel="0" collapsed="false">
      <c r="A3" s="3" t="s">
        <v>348</v>
      </c>
      <c r="B3" s="3" t="s">
        <v>349</v>
      </c>
      <c r="C3" s="3" t="s">
        <v>350</v>
      </c>
      <c r="D3" s="3" t="s">
        <v>351</v>
      </c>
      <c r="E3" s="3" t="n">
        <v>5</v>
      </c>
      <c r="F3" s="3" t="n">
        <v>3</v>
      </c>
      <c r="G3" s="3" t="n">
        <f aca="false">E3*F3</f>
        <v>15</v>
      </c>
      <c r="H3" s="3" t="s">
        <v>352</v>
      </c>
      <c r="I3" s="3" t="s">
        <v>43</v>
      </c>
      <c r="J3" s="3" t="s">
        <v>291</v>
      </c>
    </row>
    <row r="4" customFormat="false" ht="15" hidden="false" customHeight="false" outlineLevel="0" collapsed="false">
      <c r="A4" s="3" t="s">
        <v>353</v>
      </c>
      <c r="B4" s="3" t="s">
        <v>354</v>
      </c>
      <c r="C4" s="3" t="s">
        <v>355</v>
      </c>
      <c r="D4" s="3" t="s">
        <v>356</v>
      </c>
      <c r="E4" s="3" t="n">
        <v>5</v>
      </c>
      <c r="F4" s="3" t="n">
        <v>2</v>
      </c>
      <c r="G4" s="3" t="n">
        <f aca="false">E4*F4</f>
        <v>10</v>
      </c>
      <c r="H4" s="3" t="s">
        <v>357</v>
      </c>
      <c r="I4" s="3" t="s">
        <v>61</v>
      </c>
      <c r="J4" s="3" t="s">
        <v>291</v>
      </c>
    </row>
    <row r="5" customFormat="false" ht="15" hidden="false" customHeight="false" outlineLevel="0" collapsed="false">
      <c r="A5" s="3" t="s">
        <v>358</v>
      </c>
      <c r="B5" s="3" t="s">
        <v>359</v>
      </c>
      <c r="C5" s="3" t="s">
        <v>360</v>
      </c>
      <c r="D5" s="3" t="s">
        <v>361</v>
      </c>
      <c r="E5" s="3" t="n">
        <v>4</v>
      </c>
      <c r="F5" s="3" t="n">
        <v>2</v>
      </c>
      <c r="G5" s="3" t="n">
        <f aca="false">E5*F5</f>
        <v>8</v>
      </c>
      <c r="H5" s="3" t="s">
        <v>362</v>
      </c>
      <c r="I5" s="3" t="s">
        <v>61</v>
      </c>
      <c r="J5" s="3" t="s">
        <v>291</v>
      </c>
    </row>
    <row r="6" customFormat="false" ht="15" hidden="false" customHeight="false" outlineLevel="0" collapsed="false">
      <c r="A6" s="3" t="s">
        <v>363</v>
      </c>
      <c r="B6" s="3" t="s">
        <v>364</v>
      </c>
      <c r="C6" s="3" t="s">
        <v>365</v>
      </c>
      <c r="D6" s="3" t="s">
        <v>366</v>
      </c>
      <c r="E6" s="3" t="n">
        <v>3</v>
      </c>
      <c r="F6" s="3" t="n">
        <v>5</v>
      </c>
      <c r="G6" s="3" t="n">
        <f aca="false">E6*F6</f>
        <v>15</v>
      </c>
      <c r="H6" s="3" t="s">
        <v>367</v>
      </c>
      <c r="I6" s="3" t="s">
        <v>91</v>
      </c>
      <c r="J6" s="3" t="s">
        <v>304</v>
      </c>
    </row>
    <row r="7" customFormat="false" ht="15" hidden="false" customHeight="false" outlineLevel="0" collapsed="false">
      <c r="A7" s="3" t="s">
        <v>368</v>
      </c>
      <c r="B7" s="3" t="s">
        <v>369</v>
      </c>
      <c r="C7" s="3" t="s">
        <v>370</v>
      </c>
      <c r="D7" s="3" t="s">
        <v>371</v>
      </c>
      <c r="E7" s="3" t="n">
        <v>4</v>
      </c>
      <c r="F7" s="3" t="n">
        <v>3</v>
      </c>
      <c r="G7" s="3" t="n">
        <f aca="false">E7*F7</f>
        <v>12</v>
      </c>
      <c r="H7" s="3" t="s">
        <v>372</v>
      </c>
      <c r="I7" s="3" t="s">
        <v>43</v>
      </c>
      <c r="J7" s="3" t="s">
        <v>319</v>
      </c>
    </row>
    <row r="8" customFormat="false" ht="22.35" hidden="false" customHeight="false" outlineLevel="0" collapsed="false">
      <c r="A8" s="3" t="s">
        <v>373</v>
      </c>
      <c r="B8" s="3" t="s">
        <v>374</v>
      </c>
      <c r="C8" s="3" t="s">
        <v>375</v>
      </c>
      <c r="D8" s="3" t="s">
        <v>376</v>
      </c>
      <c r="E8" s="3" t="n">
        <v>4</v>
      </c>
      <c r="F8" s="3" t="n">
        <v>3</v>
      </c>
      <c r="G8" s="3" t="n">
        <f aca="false">E8*F8</f>
        <v>12</v>
      </c>
      <c r="H8" s="3" t="s">
        <v>377</v>
      </c>
      <c r="I8" s="3" t="s">
        <v>81</v>
      </c>
      <c r="J8" s="3" t="s">
        <v>291</v>
      </c>
    </row>
    <row r="9" customFormat="false" ht="22.35" hidden="false" customHeight="false" outlineLevel="0" collapsed="false">
      <c r="A9" s="3" t="s">
        <v>378</v>
      </c>
      <c r="B9" s="3" t="s">
        <v>379</v>
      </c>
      <c r="C9" s="3" t="s">
        <v>380</v>
      </c>
      <c r="D9" s="3" t="s">
        <v>381</v>
      </c>
      <c r="E9" s="3" t="n">
        <v>3</v>
      </c>
      <c r="F9" s="3" t="n">
        <v>4</v>
      </c>
      <c r="G9" s="3" t="n">
        <f aca="false">E9*F9</f>
        <v>12</v>
      </c>
      <c r="H9" s="3" t="s">
        <v>382</v>
      </c>
      <c r="I9" s="3" t="s">
        <v>43</v>
      </c>
      <c r="J9" s="3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2" t="s">
        <v>383</v>
      </c>
      <c r="B1" s="2" t="s">
        <v>384</v>
      </c>
      <c r="C1" s="2" t="s">
        <v>385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220</v>
      </c>
    </row>
    <row r="2" customFormat="false" ht="15" hidden="false" customHeight="false" outlineLevel="0" collapsed="false">
      <c r="A2" s="3" t="s">
        <v>390</v>
      </c>
      <c r="B2" s="3" t="s">
        <v>391</v>
      </c>
      <c r="C2" s="3" t="s">
        <v>71</v>
      </c>
      <c r="D2" s="3" t="s">
        <v>392</v>
      </c>
      <c r="E2" s="3" t="s">
        <v>393</v>
      </c>
      <c r="F2" s="3" t="s">
        <v>394</v>
      </c>
      <c r="G2" s="3" t="s">
        <v>395</v>
      </c>
      <c r="H2" s="3" t="s">
        <v>396</v>
      </c>
    </row>
    <row r="3" customFormat="false" ht="22.35" hidden="false" customHeight="false" outlineLevel="0" collapsed="false">
      <c r="A3" s="3" t="s">
        <v>397</v>
      </c>
      <c r="B3" s="3" t="s">
        <v>398</v>
      </c>
      <c r="C3" s="3" t="s">
        <v>48</v>
      </c>
      <c r="D3" s="3" t="s">
        <v>399</v>
      </c>
      <c r="E3" s="3" t="s">
        <v>400</v>
      </c>
      <c r="F3" s="3" t="s">
        <v>401</v>
      </c>
      <c r="G3" s="3" t="s">
        <v>402</v>
      </c>
      <c r="H3" s="3" t="s">
        <v>304</v>
      </c>
    </row>
    <row r="4" customFormat="false" ht="22.35" hidden="false" customHeight="false" outlineLevel="0" collapsed="false">
      <c r="A4" s="3" t="s">
        <v>403</v>
      </c>
      <c r="B4" s="3" t="s">
        <v>320</v>
      </c>
      <c r="C4" s="3" t="s">
        <v>43</v>
      </c>
      <c r="D4" s="3" t="s">
        <v>404</v>
      </c>
      <c r="E4" s="3" t="s">
        <v>405</v>
      </c>
      <c r="F4" s="3" t="s">
        <v>394</v>
      </c>
      <c r="G4" s="3" t="s">
        <v>406</v>
      </c>
      <c r="H4" s="3" t="s">
        <v>407</v>
      </c>
    </row>
    <row r="5" customFormat="false" ht="15" hidden="false" customHeight="false" outlineLevel="0" collapsed="false">
      <c r="A5" s="3" t="s">
        <v>408</v>
      </c>
      <c r="B5" s="3" t="s">
        <v>409</v>
      </c>
      <c r="C5" s="3" t="s">
        <v>76</v>
      </c>
      <c r="D5" s="3" t="s">
        <v>410</v>
      </c>
      <c r="E5" s="3" t="s">
        <v>411</v>
      </c>
      <c r="F5" s="3" t="s">
        <v>394</v>
      </c>
      <c r="G5" s="3" t="s">
        <v>412</v>
      </c>
      <c r="H5" s="3" t="s">
        <v>413</v>
      </c>
    </row>
    <row r="6" customFormat="false" ht="15" hidden="false" customHeight="false" outlineLevel="0" collapsed="false">
      <c r="A6" s="3" t="s">
        <v>414</v>
      </c>
      <c r="B6" s="3" t="s">
        <v>415</v>
      </c>
      <c r="C6" s="3" t="s">
        <v>66</v>
      </c>
      <c r="D6" s="3" t="s">
        <v>416</v>
      </c>
      <c r="E6" s="3" t="s">
        <v>417</v>
      </c>
      <c r="F6" s="3" t="s">
        <v>418</v>
      </c>
      <c r="G6" s="3" t="s">
        <v>419</v>
      </c>
      <c r="H6" s="3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6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" t="s">
        <v>421</v>
      </c>
      <c r="B1" s="2" t="s">
        <v>215</v>
      </c>
      <c r="C1" s="2" t="s">
        <v>422</v>
      </c>
      <c r="D1" s="2" t="s">
        <v>124</v>
      </c>
      <c r="E1" s="2" t="s">
        <v>423</v>
      </c>
      <c r="F1" s="2" t="s">
        <v>424</v>
      </c>
      <c r="G1" s="2" t="s">
        <v>384</v>
      </c>
    </row>
    <row r="2" customFormat="false" ht="15" hidden="false" customHeight="false" outlineLevel="0" collapsed="false">
      <c r="A2" s="3" t="s">
        <v>425</v>
      </c>
      <c r="B2" s="3" t="s">
        <v>152</v>
      </c>
      <c r="C2" s="3" t="s">
        <v>426</v>
      </c>
      <c r="D2" s="3" t="s">
        <v>150</v>
      </c>
      <c r="E2" s="3" t="s">
        <v>43</v>
      </c>
      <c r="F2" s="3" t="s">
        <v>427</v>
      </c>
      <c r="G2" s="3" t="s">
        <v>428</v>
      </c>
    </row>
    <row r="3" customFormat="false" ht="15" hidden="false" customHeight="false" outlineLevel="0" collapsed="false">
      <c r="A3" s="3" t="s">
        <v>429</v>
      </c>
      <c r="B3" s="3" t="s">
        <v>152</v>
      </c>
      <c r="C3" s="3" t="s">
        <v>430</v>
      </c>
      <c r="D3" s="3" t="s">
        <v>150</v>
      </c>
      <c r="E3" s="3" t="s">
        <v>48</v>
      </c>
      <c r="F3" s="3" t="s">
        <v>427</v>
      </c>
      <c r="G3" s="3" t="s">
        <v>428</v>
      </c>
    </row>
    <row r="4" customFormat="false" ht="15" hidden="false" customHeight="false" outlineLevel="0" collapsed="false">
      <c r="A4" s="3" t="s">
        <v>431</v>
      </c>
      <c r="B4" s="3" t="s">
        <v>152</v>
      </c>
      <c r="C4" s="3" t="s">
        <v>432</v>
      </c>
      <c r="D4" s="3" t="s">
        <v>433</v>
      </c>
      <c r="E4" s="3" t="s">
        <v>76</v>
      </c>
      <c r="F4" s="3" t="s">
        <v>427</v>
      </c>
      <c r="G4" s="3" t="s">
        <v>428</v>
      </c>
    </row>
    <row r="5" customFormat="false" ht="15" hidden="false" customHeight="false" outlineLevel="0" collapsed="false">
      <c r="A5" s="3" t="s">
        <v>434</v>
      </c>
      <c r="B5" s="3" t="s">
        <v>156</v>
      </c>
      <c r="C5" s="3" t="s">
        <v>435</v>
      </c>
      <c r="D5" s="3" t="s">
        <v>150</v>
      </c>
      <c r="E5" s="3" t="s">
        <v>66</v>
      </c>
      <c r="F5" s="3" t="s">
        <v>427</v>
      </c>
      <c r="G5" s="3" t="s">
        <v>436</v>
      </c>
    </row>
    <row r="6" customFormat="false" ht="15" hidden="false" customHeight="false" outlineLevel="0" collapsed="false">
      <c r="A6" s="3" t="s">
        <v>437</v>
      </c>
      <c r="B6" s="3" t="s">
        <v>156</v>
      </c>
      <c r="C6" s="3" t="s">
        <v>438</v>
      </c>
      <c r="D6" s="3" t="s">
        <v>150</v>
      </c>
      <c r="E6" s="3" t="s">
        <v>66</v>
      </c>
      <c r="F6" s="3" t="s">
        <v>427</v>
      </c>
      <c r="G6" s="3" t="s">
        <v>436</v>
      </c>
    </row>
    <row r="7" customFormat="false" ht="15" hidden="false" customHeight="false" outlineLevel="0" collapsed="false">
      <c r="A7" s="3" t="s">
        <v>439</v>
      </c>
      <c r="B7" s="3" t="s">
        <v>156</v>
      </c>
      <c r="C7" s="3" t="s">
        <v>440</v>
      </c>
      <c r="D7" s="3" t="s">
        <v>433</v>
      </c>
      <c r="E7" s="3" t="s">
        <v>71</v>
      </c>
      <c r="F7" s="3" t="s">
        <v>427</v>
      </c>
      <c r="G7" s="3" t="s">
        <v>436</v>
      </c>
    </row>
    <row r="8" customFormat="false" ht="15" hidden="false" customHeight="false" outlineLevel="0" collapsed="false">
      <c r="A8" s="3" t="s">
        <v>165</v>
      </c>
      <c r="B8" s="3" t="s">
        <v>164</v>
      </c>
      <c r="C8" s="3" t="s">
        <v>441</v>
      </c>
      <c r="D8" s="3" t="s">
        <v>150</v>
      </c>
      <c r="E8" s="3" t="s">
        <v>71</v>
      </c>
      <c r="F8" s="3" t="s">
        <v>427</v>
      </c>
      <c r="G8" s="3" t="s">
        <v>415</v>
      </c>
    </row>
    <row r="9" customFormat="false" ht="15" hidden="false" customHeight="false" outlineLevel="0" collapsed="false">
      <c r="A9" s="3" t="s">
        <v>170</v>
      </c>
      <c r="B9" s="3" t="s">
        <v>169</v>
      </c>
      <c r="C9" s="3" t="s">
        <v>442</v>
      </c>
      <c r="D9" s="3" t="s">
        <v>150</v>
      </c>
      <c r="E9" s="3" t="s">
        <v>66</v>
      </c>
      <c r="F9" s="3" t="s">
        <v>427</v>
      </c>
      <c r="G9" s="3" t="s">
        <v>415</v>
      </c>
    </row>
    <row r="10" customFormat="false" ht="15" hidden="false" customHeight="false" outlineLevel="0" collapsed="false">
      <c r="A10" s="3" t="s">
        <v>178</v>
      </c>
      <c r="B10" s="3" t="s">
        <v>177</v>
      </c>
      <c r="C10" s="3" t="s">
        <v>443</v>
      </c>
      <c r="D10" s="3" t="s">
        <v>150</v>
      </c>
      <c r="E10" s="3" t="s">
        <v>66</v>
      </c>
      <c r="F10" s="3" t="s">
        <v>427</v>
      </c>
      <c r="G10" s="3" t="s">
        <v>444</v>
      </c>
    </row>
    <row r="11" customFormat="false" ht="15" hidden="false" customHeight="false" outlineLevel="0" collapsed="false">
      <c r="A11" s="3" t="s">
        <v>445</v>
      </c>
      <c r="B11" s="3" t="s">
        <v>181</v>
      </c>
      <c r="C11" s="3" t="s">
        <v>446</v>
      </c>
      <c r="D11" s="3" t="s">
        <v>150</v>
      </c>
      <c r="E11" s="3" t="s">
        <v>66</v>
      </c>
      <c r="F11" s="3" t="s">
        <v>447</v>
      </c>
      <c r="G11" s="3" t="s">
        <v>448</v>
      </c>
    </row>
    <row r="12" customFormat="false" ht="15" hidden="false" customHeight="false" outlineLevel="0" collapsed="false">
      <c r="A12" s="3" t="s">
        <v>449</v>
      </c>
      <c r="B12" s="3" t="s">
        <v>181</v>
      </c>
      <c r="C12" s="3" t="s">
        <v>450</v>
      </c>
      <c r="D12" s="3" t="s">
        <v>451</v>
      </c>
      <c r="E12" s="3" t="s">
        <v>66</v>
      </c>
      <c r="F12" s="3" t="s">
        <v>427</v>
      </c>
      <c r="G12" s="3" t="s">
        <v>452</v>
      </c>
    </row>
    <row r="13" customFormat="false" ht="15" hidden="false" customHeight="false" outlineLevel="0" collapsed="false">
      <c r="A13" s="3" t="s">
        <v>186</v>
      </c>
      <c r="B13" s="3" t="s">
        <v>185</v>
      </c>
      <c r="C13" s="3" t="s">
        <v>453</v>
      </c>
      <c r="D13" s="3" t="s">
        <v>354</v>
      </c>
      <c r="E13" s="3" t="s">
        <v>76</v>
      </c>
      <c r="F13" s="3" t="s">
        <v>427</v>
      </c>
      <c r="G13" s="3" t="s">
        <v>454</v>
      </c>
    </row>
    <row r="14" customFormat="false" ht="15" hidden="false" customHeight="false" outlineLevel="0" collapsed="false">
      <c r="A14" s="3" t="s">
        <v>191</v>
      </c>
      <c r="B14" s="3" t="s">
        <v>190</v>
      </c>
      <c r="C14" s="3" t="s">
        <v>455</v>
      </c>
      <c r="D14" s="3" t="s">
        <v>150</v>
      </c>
      <c r="E14" s="3" t="s">
        <v>55</v>
      </c>
      <c r="F14" s="3" t="s">
        <v>427</v>
      </c>
      <c r="G14" s="3" t="s">
        <v>454</v>
      </c>
    </row>
    <row r="15" customFormat="false" ht="15" hidden="false" customHeight="false" outlineLevel="0" collapsed="false">
      <c r="A15" s="3" t="s">
        <v>195</v>
      </c>
      <c r="B15" s="3" t="s">
        <v>194</v>
      </c>
      <c r="C15" s="3" t="s">
        <v>456</v>
      </c>
      <c r="D15" s="3" t="s">
        <v>349</v>
      </c>
      <c r="E15" s="3" t="s">
        <v>76</v>
      </c>
      <c r="F15" s="3" t="s">
        <v>427</v>
      </c>
      <c r="G15" s="3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6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2" t="s">
        <v>27</v>
      </c>
      <c r="B1" s="2" t="s">
        <v>458</v>
      </c>
      <c r="C1" s="2" t="s">
        <v>459</v>
      </c>
      <c r="D1" s="2" t="s">
        <v>126</v>
      </c>
      <c r="E1" s="2" t="s">
        <v>460</v>
      </c>
      <c r="F1" s="2" t="s">
        <v>215</v>
      </c>
      <c r="G1" s="2" t="s">
        <v>220</v>
      </c>
      <c r="H1" s="2" t="s">
        <v>461</v>
      </c>
      <c r="I1" s="2" t="s">
        <v>462</v>
      </c>
      <c r="J1" s="2" t="s">
        <v>463</v>
      </c>
    </row>
    <row r="2" customFormat="false" ht="15" hidden="false" customHeight="false" outlineLevel="0" collapsed="false">
      <c r="A2" s="3" t="s">
        <v>464</v>
      </c>
      <c r="B2" s="3" t="s">
        <v>465</v>
      </c>
      <c r="C2" s="3" t="s">
        <v>466</v>
      </c>
      <c r="D2" s="3" t="s">
        <v>467</v>
      </c>
      <c r="E2" s="3" t="s">
        <v>468</v>
      </c>
      <c r="F2" s="3" t="s">
        <v>152</v>
      </c>
      <c r="G2" s="3" t="s">
        <v>304</v>
      </c>
      <c r="H2" s="3" t="s">
        <v>469</v>
      </c>
      <c r="I2" s="3" t="s">
        <v>391</v>
      </c>
      <c r="J2" s="3" t="s">
        <v>470</v>
      </c>
    </row>
    <row r="3" customFormat="false" ht="15" hidden="false" customHeight="false" outlineLevel="0" collapsed="false">
      <c r="A3" s="3" t="s">
        <v>471</v>
      </c>
      <c r="B3" s="3" t="s">
        <v>472</v>
      </c>
      <c r="C3" s="3" t="s">
        <v>473</v>
      </c>
      <c r="D3" s="3" t="s">
        <v>467</v>
      </c>
      <c r="E3" s="3" t="s">
        <v>468</v>
      </c>
      <c r="F3" s="3" t="s">
        <v>164</v>
      </c>
      <c r="G3" s="3" t="s">
        <v>304</v>
      </c>
      <c r="H3" s="3" t="s">
        <v>474</v>
      </c>
      <c r="I3" s="3" t="s">
        <v>262</v>
      </c>
      <c r="J3" s="3" t="s">
        <v>475</v>
      </c>
    </row>
    <row r="4" customFormat="false" ht="15" hidden="false" customHeight="false" outlineLevel="0" collapsed="false">
      <c r="A4" s="3" t="s">
        <v>476</v>
      </c>
      <c r="B4" s="3" t="s">
        <v>477</v>
      </c>
      <c r="C4" s="3" t="s">
        <v>473</v>
      </c>
      <c r="D4" s="3" t="s">
        <v>478</v>
      </c>
      <c r="E4" s="3" t="s">
        <v>468</v>
      </c>
      <c r="F4" s="3" t="s">
        <v>164</v>
      </c>
      <c r="G4" s="3" t="s">
        <v>304</v>
      </c>
      <c r="H4" s="3" t="s">
        <v>479</v>
      </c>
      <c r="I4" s="3" t="s">
        <v>480</v>
      </c>
      <c r="J4" s="3" t="s">
        <v>481</v>
      </c>
    </row>
    <row r="5" customFormat="false" ht="15" hidden="false" customHeight="false" outlineLevel="0" collapsed="false">
      <c r="A5" s="3" t="s">
        <v>482</v>
      </c>
      <c r="B5" s="3" t="s">
        <v>483</v>
      </c>
      <c r="C5" s="3" t="s">
        <v>466</v>
      </c>
      <c r="D5" s="3" t="s">
        <v>467</v>
      </c>
      <c r="E5" s="3" t="s">
        <v>468</v>
      </c>
      <c r="F5" s="3" t="s">
        <v>152</v>
      </c>
      <c r="G5" s="3" t="s">
        <v>304</v>
      </c>
      <c r="H5" s="3" t="s">
        <v>484</v>
      </c>
      <c r="I5" s="3" t="s">
        <v>320</v>
      </c>
      <c r="J5" s="3" t="s">
        <v>485</v>
      </c>
    </row>
    <row r="6" customFormat="false" ht="15" hidden="false" customHeight="false" outlineLevel="0" collapsed="false">
      <c r="A6" s="3" t="s">
        <v>486</v>
      </c>
      <c r="B6" s="3" t="s">
        <v>487</v>
      </c>
      <c r="C6" s="3" t="s">
        <v>473</v>
      </c>
      <c r="D6" s="3" t="s">
        <v>478</v>
      </c>
      <c r="E6" s="3" t="s">
        <v>468</v>
      </c>
      <c r="F6" s="3" t="s">
        <v>169</v>
      </c>
      <c r="G6" s="3" t="s">
        <v>304</v>
      </c>
      <c r="H6" s="3" t="s">
        <v>398</v>
      </c>
      <c r="I6" s="3" t="s">
        <v>265</v>
      </c>
      <c r="J6" s="3" t="s">
        <v>488</v>
      </c>
    </row>
    <row r="7" customFormat="false" ht="15" hidden="false" customHeight="false" outlineLevel="0" collapsed="false">
      <c r="A7" s="3" t="s">
        <v>489</v>
      </c>
      <c r="B7" s="3" t="s">
        <v>490</v>
      </c>
      <c r="C7" s="3" t="s">
        <v>473</v>
      </c>
      <c r="D7" s="3" t="s">
        <v>467</v>
      </c>
      <c r="E7" s="3" t="s">
        <v>468</v>
      </c>
      <c r="F7" s="3" t="s">
        <v>156</v>
      </c>
      <c r="G7" s="3" t="s">
        <v>304</v>
      </c>
      <c r="H7" s="3" t="s">
        <v>491</v>
      </c>
      <c r="I7" s="3" t="s">
        <v>492</v>
      </c>
      <c r="J7" s="3" t="s">
        <v>493</v>
      </c>
    </row>
    <row r="8" customFormat="false" ht="15" hidden="false" customHeight="false" outlineLevel="0" collapsed="false">
      <c r="A8" s="3" t="s">
        <v>494</v>
      </c>
      <c r="B8" s="3" t="s">
        <v>495</v>
      </c>
      <c r="C8" s="3" t="s">
        <v>496</v>
      </c>
      <c r="D8" s="3" t="s">
        <v>478</v>
      </c>
      <c r="E8" s="3" t="s">
        <v>468</v>
      </c>
      <c r="F8" s="3" t="s">
        <v>156</v>
      </c>
      <c r="G8" s="3" t="s">
        <v>304</v>
      </c>
      <c r="H8" s="3" t="s">
        <v>497</v>
      </c>
      <c r="I8" s="3" t="s">
        <v>325</v>
      </c>
      <c r="J8" s="3" t="s">
        <v>498</v>
      </c>
    </row>
    <row r="9" customFormat="false" ht="15" hidden="false" customHeight="false" outlineLevel="0" collapsed="false">
      <c r="A9" s="3" t="s">
        <v>499</v>
      </c>
      <c r="B9" s="3" t="s">
        <v>500</v>
      </c>
      <c r="C9" s="3" t="s">
        <v>496</v>
      </c>
      <c r="D9" s="3" t="s">
        <v>501</v>
      </c>
      <c r="E9" s="3" t="s">
        <v>468</v>
      </c>
      <c r="F9" s="3" t="s">
        <v>190</v>
      </c>
      <c r="G9" s="3" t="s">
        <v>304</v>
      </c>
      <c r="H9" s="3" t="s">
        <v>502</v>
      </c>
      <c r="I9" s="3" t="s">
        <v>491</v>
      </c>
      <c r="J9" s="3" t="s">
        <v>503</v>
      </c>
    </row>
    <row r="10" customFormat="false" ht="15" hidden="false" customHeight="false" outlineLevel="0" collapsed="false">
      <c r="A10" s="3" t="s">
        <v>504</v>
      </c>
      <c r="B10" s="3" t="s">
        <v>505</v>
      </c>
      <c r="C10" s="3" t="s">
        <v>496</v>
      </c>
      <c r="D10" s="3" t="s">
        <v>501</v>
      </c>
      <c r="E10" s="3" t="s">
        <v>468</v>
      </c>
      <c r="F10" s="3" t="s">
        <v>185</v>
      </c>
      <c r="G10" s="3" t="s">
        <v>304</v>
      </c>
      <c r="H10" s="3" t="s">
        <v>506</v>
      </c>
      <c r="I10" s="3" t="s">
        <v>409</v>
      </c>
      <c r="J10" s="3" t="s">
        <v>507</v>
      </c>
    </row>
    <row r="11" customFormat="false" ht="15" hidden="false" customHeight="false" outlineLevel="0" collapsed="false">
      <c r="A11" s="3" t="s">
        <v>508</v>
      </c>
      <c r="B11" s="3" t="s">
        <v>509</v>
      </c>
      <c r="C11" s="3" t="s">
        <v>466</v>
      </c>
      <c r="D11" s="3" t="s">
        <v>467</v>
      </c>
      <c r="E11" s="3" t="s">
        <v>468</v>
      </c>
      <c r="F11" s="3" t="s">
        <v>177</v>
      </c>
      <c r="G11" s="3" t="s">
        <v>304</v>
      </c>
      <c r="H11" s="3" t="s">
        <v>510</v>
      </c>
      <c r="I11" s="3" t="s">
        <v>511</v>
      </c>
      <c r="J11" s="3" t="s">
        <v>512</v>
      </c>
    </row>
    <row r="12" customFormat="false" ht="15" hidden="false" customHeight="false" outlineLevel="0" collapsed="false">
      <c r="A12" s="3" t="s">
        <v>513</v>
      </c>
      <c r="B12" s="3" t="s">
        <v>514</v>
      </c>
      <c r="C12" s="3" t="s">
        <v>515</v>
      </c>
      <c r="D12" s="3" t="s">
        <v>516</v>
      </c>
      <c r="E12" s="3" t="s">
        <v>468</v>
      </c>
      <c r="F12" s="3" t="s">
        <v>198</v>
      </c>
      <c r="G12" s="3" t="s">
        <v>304</v>
      </c>
      <c r="H12" s="3" t="s">
        <v>517</v>
      </c>
      <c r="I12" s="3" t="s">
        <v>518</v>
      </c>
      <c r="J12" s="3" t="s">
        <v>519</v>
      </c>
    </row>
    <row r="13" customFormat="false" ht="15" hidden="false" customHeight="false" outlineLevel="0" collapsed="false">
      <c r="A13" s="3" t="s">
        <v>520</v>
      </c>
      <c r="B13" s="3" t="s">
        <v>521</v>
      </c>
      <c r="C13" s="3" t="s">
        <v>473</v>
      </c>
      <c r="D13" s="3" t="s">
        <v>467</v>
      </c>
      <c r="E13" s="3" t="s">
        <v>19</v>
      </c>
      <c r="F13" s="3" t="s">
        <v>181</v>
      </c>
      <c r="G13" s="3" t="s">
        <v>304</v>
      </c>
      <c r="H13" s="3" t="s">
        <v>448</v>
      </c>
      <c r="I13" s="3" t="s">
        <v>452</v>
      </c>
      <c r="J13" s="3" t="s">
        <v>522</v>
      </c>
    </row>
    <row r="14" customFormat="false" ht="15" hidden="false" customHeight="false" outlineLevel="0" collapsed="false">
      <c r="A14" s="3" t="s">
        <v>523</v>
      </c>
      <c r="B14" s="3" t="s">
        <v>524</v>
      </c>
      <c r="C14" s="3" t="s">
        <v>515</v>
      </c>
      <c r="D14" s="3" t="s">
        <v>516</v>
      </c>
      <c r="E14" s="3" t="s">
        <v>19</v>
      </c>
      <c r="F14" s="3" t="s">
        <v>177</v>
      </c>
      <c r="G14" s="3" t="s">
        <v>304</v>
      </c>
      <c r="H14" s="3" t="s">
        <v>454</v>
      </c>
      <c r="I14" s="3" t="s">
        <v>525</v>
      </c>
      <c r="J14" s="3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2" t="s">
        <v>459</v>
      </c>
      <c r="B1" s="2" t="s">
        <v>527</v>
      </c>
      <c r="C1" s="2" t="s">
        <v>528</v>
      </c>
      <c r="D1" s="2" t="s">
        <v>529</v>
      </c>
      <c r="E1" s="2" t="s">
        <v>530</v>
      </c>
    </row>
    <row r="2" customFormat="false" ht="15" hidden="false" customHeight="false" outlineLevel="0" collapsed="false">
      <c r="A2" s="3" t="s">
        <v>531</v>
      </c>
      <c r="B2" s="3" t="s">
        <v>532</v>
      </c>
      <c r="C2" s="3" t="s">
        <v>533</v>
      </c>
      <c r="D2" s="3" t="s">
        <v>534</v>
      </c>
      <c r="E2" s="3" t="s">
        <v>535</v>
      </c>
    </row>
    <row r="3" customFormat="false" ht="15" hidden="false" customHeight="false" outlineLevel="0" collapsed="false">
      <c r="A3" s="3" t="s">
        <v>536</v>
      </c>
      <c r="B3" s="3" t="s">
        <v>537</v>
      </c>
      <c r="C3" s="3" t="s">
        <v>538</v>
      </c>
      <c r="D3" s="3" t="s">
        <v>539</v>
      </c>
      <c r="E3" s="3" t="s">
        <v>540</v>
      </c>
    </row>
    <row r="4" customFormat="false" ht="15" hidden="false" customHeight="false" outlineLevel="0" collapsed="false">
      <c r="A4" s="3" t="s">
        <v>541</v>
      </c>
      <c r="B4" s="3" t="s">
        <v>542</v>
      </c>
      <c r="C4" s="3" t="s">
        <v>543</v>
      </c>
      <c r="D4" s="3" t="s">
        <v>540</v>
      </c>
      <c r="E4" s="3" t="s">
        <v>544</v>
      </c>
    </row>
    <row r="5" customFormat="false" ht="15" hidden="false" customHeight="false" outlineLevel="0" collapsed="false">
      <c r="A5" s="3" t="s">
        <v>545</v>
      </c>
      <c r="B5" s="3" t="s">
        <v>546</v>
      </c>
      <c r="C5" s="3" t="s">
        <v>547</v>
      </c>
      <c r="D5" s="3" t="s">
        <v>548</v>
      </c>
      <c r="E5" s="3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549</v>
      </c>
    </row>
    <row r="3" customFormat="false" ht="15" hidden="false" customHeight="false" outlineLevel="0" collapsed="false">
      <c r="A3" s="2" t="s">
        <v>550</v>
      </c>
      <c r="B3" s="2" t="s">
        <v>551</v>
      </c>
      <c r="C3" s="2" t="s">
        <v>552</v>
      </c>
      <c r="D3" s="2" t="s">
        <v>553</v>
      </c>
    </row>
    <row r="4" customFormat="false" ht="15" hidden="false" customHeight="false" outlineLevel="0" collapsed="false">
      <c r="A4" s="3" t="s">
        <v>554</v>
      </c>
      <c r="B4" s="6" t="n">
        <v>42000</v>
      </c>
      <c r="C4" s="6" t="n">
        <v>41000</v>
      </c>
      <c r="D4" s="6" t="n">
        <f aca="false">C4-B4</f>
        <v>-1000</v>
      </c>
    </row>
    <row r="5" customFormat="false" ht="15" hidden="false" customHeight="false" outlineLevel="0" collapsed="false">
      <c r="A5" s="3" t="s">
        <v>555</v>
      </c>
      <c r="B5" s="6" t="n">
        <v>88000</v>
      </c>
      <c r="C5" s="6" t="n">
        <v>91000</v>
      </c>
      <c r="D5" s="6" t="n">
        <f aca="false">C5-B5</f>
        <v>3000</v>
      </c>
    </row>
    <row r="6" customFormat="false" ht="15" hidden="false" customHeight="false" outlineLevel="0" collapsed="false">
      <c r="A6" s="3" t="s">
        <v>556</v>
      </c>
      <c r="B6" s="6" t="n">
        <v>88000</v>
      </c>
      <c r="C6" s="6" t="n">
        <v>86000</v>
      </c>
      <c r="D6" s="6" t="n">
        <f aca="false">C6-B6</f>
        <v>-2000</v>
      </c>
    </row>
    <row r="7" customFormat="false" ht="15" hidden="false" customHeight="false" outlineLevel="0" collapsed="false">
      <c r="A7" s="3" t="s">
        <v>557</v>
      </c>
      <c r="B7" s="6" t="n">
        <v>88000</v>
      </c>
      <c r="C7" s="6" t="n">
        <v>90000</v>
      </c>
      <c r="D7" s="6" t="n">
        <f aca="false">C7-B7</f>
        <v>2000</v>
      </c>
    </row>
    <row r="8" customFormat="false" ht="15" hidden="false" customHeight="false" outlineLevel="0" collapsed="false">
      <c r="A8" s="3" t="s">
        <v>558</v>
      </c>
      <c r="B8" s="6" t="n">
        <v>88000</v>
      </c>
      <c r="C8" s="6" t="n">
        <v>87000</v>
      </c>
      <c r="D8" s="6" t="n">
        <f aca="false">C8-B8</f>
        <v>-1000</v>
      </c>
    </row>
    <row r="9" customFormat="false" ht="15" hidden="false" customHeight="false" outlineLevel="0" collapsed="false">
      <c r="A9" s="3" t="s">
        <v>559</v>
      </c>
      <c r="B9" s="6" t="n">
        <v>88000</v>
      </c>
      <c r="C9" s="6" t="n">
        <v>92000</v>
      </c>
      <c r="D9" s="6" t="n">
        <f aca="false">C9-B9</f>
        <v>4000</v>
      </c>
    </row>
    <row r="10" customFormat="false" ht="15" hidden="false" customHeight="false" outlineLevel="0" collapsed="false">
      <c r="A10" s="3" t="s">
        <v>560</v>
      </c>
      <c r="B10" s="6" t="n">
        <v>72000</v>
      </c>
      <c r="C10" s="6" t="n">
        <v>69000</v>
      </c>
      <c r="D10" s="6" t="n">
        <f aca="false">C10-B10</f>
        <v>-3000</v>
      </c>
    </row>
    <row r="11" customFormat="false" ht="15" hidden="false" customHeight="false" outlineLevel="0" collapsed="false">
      <c r="B11" s="7"/>
      <c r="C11" s="7"/>
      <c r="D11" s="7"/>
    </row>
    <row r="12" customFormat="false" ht="15" hidden="false" customHeight="false" outlineLevel="0" collapsed="false">
      <c r="A12" s="0" t="s">
        <v>561</v>
      </c>
      <c r="B12" s="7" t="n">
        <f aca="false">SUM(B4:B10)</f>
        <v>554000</v>
      </c>
      <c r="C12" s="7" t="n">
        <f aca="false">SUM(C4:C10)</f>
        <v>556000</v>
      </c>
      <c r="D12" s="7" t="n">
        <f aca="false">C12-B12</f>
        <v>2000</v>
      </c>
    </row>
    <row r="13" customFormat="false" ht="15" hidden="false" customHeight="false" outlineLevel="0" collapsed="false">
      <c r="A13" s="0" t="s">
        <v>562</v>
      </c>
      <c r="B13" s="5" t="n">
        <f aca="false">B12/C12</f>
        <v>0.996402877697842</v>
      </c>
    </row>
    <row r="14" customFormat="false" ht="15" hidden="false" customHeight="false" outlineLevel="0" collapsed="false">
      <c r="A14" s="0" t="s">
        <v>563</v>
      </c>
      <c r="B14" s="8" t="n">
        <f aca="false">D12/B12</f>
        <v>0.0036101083032491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2026-10-03T06:02:10Z</dcterms:created>
  <dc:creator>openpyxl</dc:creator>
  <dc:description/>
  <dc:language>en-US</dc:language>
  <cp:lastModifiedBy/>
  <dcterms:modified xsi:type="dcterms:W3CDTF">2026-10-03T06:02:11Z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