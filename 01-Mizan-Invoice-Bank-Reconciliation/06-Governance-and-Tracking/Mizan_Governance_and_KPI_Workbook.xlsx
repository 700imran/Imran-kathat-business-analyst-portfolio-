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3.xml.rels" ContentType="application/vnd.openxmlformats-package.relationships+xml"/>
  <Override PartName="/xl/worksheets/_rels/sheet1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takeholder Register" sheetId="2" state="visible" r:id="rId4"/>
    <sheet name="RACI" sheetId="3" state="visible" r:id="rId5"/>
    <sheet name="Requirements Trace" sheetId="4" state="visible" r:id="rId6"/>
    <sheet name="Backlog" sheetId="5" state="visible" r:id="rId7"/>
    <sheet name="Sprint Velocity" sheetId="6" state="visible" r:id="rId8"/>
    <sheet name="RAID Log" sheetId="7" state="visible" r:id="rId9"/>
    <sheet name="Change Log" sheetId="8" state="visible" r:id="rId10"/>
    <sheet name="UAT" sheetId="9" state="visible" r:id="rId11"/>
    <sheet name="Defects" sheetId="10" state="visible" r:id="rId12"/>
    <sheet name="Defect Triage Matrix" sheetId="11" state="visible" r:id="rId13"/>
    <sheet name="Exception Tracker" sheetId="12" state="visible" r:id="rId14"/>
    <sheet name="KPI Tracker" sheetId="13" state="visible" r:id="rId15"/>
  </sheets>
  <definedNames>
    <definedName function="false" hidden="true" localSheetId="11" name="_xlnm._FilterDatabase" vbProcedure="false">'Exception Tracker'!$A$3:$K$683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<sst xmlns="http://schemas.openxmlformats.org/spreadsheetml/2006/main" count="3726" uniqueCount="1884">
  <si>
    <t xml:space="preserve">Mizan - simulated portfolio project. Fictional client, synthetic data. Blue header = table; edit data rows only.</t>
  </si>
  <si>
    <t xml:space="preserve">Sheet</t>
  </si>
  <si>
    <t xml:space="preserve">Purpose</t>
  </si>
  <si>
    <t xml:space="preserve">Stakeholder Register</t>
  </si>
  <si>
    <t xml:space="preserve">Who is involved, influence/interest, engagement strategy</t>
  </si>
  <si>
    <t xml:space="preserve">RACI</t>
  </si>
  <si>
    <t xml:space="preserve">Responsibility matrix per deliverable</t>
  </si>
  <si>
    <t xml:space="preserve">Requirements Trace</t>
  </si>
  <si>
    <t xml:space="preserve">BR/FR/NFR to epic/story/UAT traceability</t>
  </si>
  <si>
    <t xml:space="preserve">Backlog</t>
  </si>
  <si>
    <t xml:space="preserve">Prioritized sprint backlog with MoSCoW and story points</t>
  </si>
  <si>
    <t xml:space="preserve">Sprint Velocity</t>
  </si>
  <si>
    <t xml:space="preserve">Planned vs completed points (formulas)</t>
  </si>
  <si>
    <t xml:space="preserve">RAID Log</t>
  </si>
  <si>
    <t xml:space="preserve">Risks, assumptions, issues, dependencies with scoring formula</t>
  </si>
  <si>
    <t xml:space="preserve">Change Log</t>
  </si>
  <si>
    <t xml:space="preserve">Change control decisions</t>
  </si>
  <si>
    <t xml:space="preserve">UAT</t>
  </si>
  <si>
    <t xml:space="preserve">UAT cases and results</t>
  </si>
  <si>
    <t xml:space="preserve">Defects</t>
  </si>
  <si>
    <t xml:space="preserve">Defect log</t>
  </si>
  <si>
    <t xml:space="preserve">Defect Triage Matrix</t>
  </si>
  <si>
    <t xml:space="preserve">Severity and response rules</t>
  </si>
  <si>
    <t xml:space="preserve">Exception Tracker</t>
  </si>
  <si>
    <t xml:space="preserve">December 2024 exceptions from the reconciliation run (synthetic data); status and SLA breach are formulas</t>
  </si>
  <si>
    <t xml:space="preserve">KPI Tracker</t>
  </si>
  <si>
    <t xml:space="preserve">Match rate, clearance velocity and resolution KPIs computed by formula from the tracker</t>
  </si>
  <si>
    <t xml:space="preserve">ID</t>
  </si>
  <si>
    <t xml:space="preserve">Name (fictional)</t>
  </si>
  <si>
    <t xml:space="preserve">Role</t>
  </si>
  <si>
    <t xml:space="preserve">Project role</t>
  </si>
  <si>
    <t xml:space="preserve">Influence</t>
  </si>
  <si>
    <t xml:space="preserve">Interest</t>
  </si>
  <si>
    <t xml:space="preserve">Strategy</t>
  </si>
  <si>
    <t xml:space="preserve">Needs / notes</t>
  </si>
  <si>
    <t xml:space="preserve">SH-01</t>
  </si>
  <si>
    <t xml:space="preserve">Maryam Al Hosani</t>
  </si>
  <si>
    <t xml:space="preserve">Finance Controller</t>
  </si>
  <si>
    <t xml:space="preserve">Sponsor and Product Owner</t>
  </si>
  <si>
    <t xml:space="preserve">High</t>
  </si>
  <si>
    <t xml:space="preserve">Manage closely</t>
  </si>
  <si>
    <t xml:space="preserve">Owns scope, priority and go-live decision</t>
  </si>
  <si>
    <t xml:space="preserve">SH-02</t>
  </si>
  <si>
    <t xml:space="preserve">Karthik Raman</t>
  </si>
  <si>
    <t xml:space="preserve">Finance Manager</t>
  </si>
  <si>
    <t xml:space="preserve">Approver, process SME</t>
  </si>
  <si>
    <t xml:space="preserve">Wants approvals tracked and queryable; limits own approval queue to variances above AED 5,000</t>
  </si>
  <si>
    <t xml:space="preserve">SH-03</t>
  </si>
  <si>
    <t xml:space="preserve">Sana Qureshi</t>
  </si>
  <si>
    <t xml:space="preserve">Finance Analyst</t>
  </si>
  <si>
    <t xml:space="preserve">Primary user</t>
  </si>
  <si>
    <t xml:space="preserve">Medium</t>
  </si>
  <si>
    <t xml:space="preserve">Keep informed, involve in UAT</t>
  </si>
  <si>
    <t xml:space="preserve">Spends most of the day on VLOOKUP matching; wants fewer false breaks</t>
  </si>
  <si>
    <t xml:space="preserve">SH-04</t>
  </si>
  <si>
    <t xml:space="preserve">Priya Menon</t>
  </si>
  <si>
    <t xml:space="preserve">Revenue Accountant</t>
  </si>
  <si>
    <t xml:space="preserve">User at month-end close</t>
  </si>
  <si>
    <t xml:space="preserve">Keep informed</t>
  </si>
  <si>
    <t xml:space="preserve">Cut-off errors from UTC vs GST dates; needs clean period totals</t>
  </si>
  <si>
    <t xml:space="preserve">SH-05</t>
  </si>
  <si>
    <t xml:space="preserve">Omar Haddad</t>
  </si>
  <si>
    <t xml:space="preserve">Head of Payments Partnerships</t>
  </si>
  <si>
    <t xml:space="preserve">Gateway contracts, fee disputes</t>
  </si>
  <si>
    <t xml:space="preserve">Keep satisfied</t>
  </si>
  <si>
    <t xml:space="preserve">Needs fee evidence per transaction to dispute with gateways</t>
  </si>
  <si>
    <t xml:space="preserve">SH-06</t>
  </si>
  <si>
    <t xml:space="preserve">Daniel Okafor</t>
  </si>
  <si>
    <t xml:space="preserve">Engineering Lead</t>
  </si>
  <si>
    <t xml:space="preserve">Delivery lead</t>
  </si>
  <si>
    <t xml:space="preserve">Owns build estimates, ERP integration risk</t>
  </si>
  <si>
    <t xml:space="preserve">SH-07</t>
  </si>
  <si>
    <t xml:space="preserve">Layla Siddiqui</t>
  </si>
  <si>
    <t xml:space="preserve">QA Lead</t>
  </si>
  <si>
    <t xml:space="preserve">Test owner</t>
  </si>
  <si>
    <t xml:space="preserve">Needs testable rules and seed data</t>
  </si>
  <si>
    <t xml:space="preserve">SH-08</t>
  </si>
  <si>
    <t xml:space="preserve">Nadia Farouk</t>
  </si>
  <si>
    <t xml:space="preserve">Data Engineer (part-time)</t>
  </si>
  <si>
    <t xml:space="preserve">Pipelines, data models</t>
  </si>
  <si>
    <t xml:space="preserve">Low</t>
  </si>
  <si>
    <t xml:space="preserve">Supports ingestion and views</t>
  </si>
  <si>
    <t xml:space="preserve">SH-09</t>
  </si>
  <si>
    <t xml:space="preserve">Hassan Raza</t>
  </si>
  <si>
    <t xml:space="preserve">Internal Audit</t>
  </si>
  <si>
    <t xml:space="preserve">Audit evidence consumer</t>
  </si>
  <si>
    <t xml:space="preserve">Needs immutable trail and period export</t>
  </si>
  <si>
    <t xml:space="preserve">SH-10</t>
  </si>
  <si>
    <t xml:space="preserve">Rahul Nair</t>
  </si>
  <si>
    <t xml:space="preserve">Scrum Master (part-time)</t>
  </si>
  <si>
    <t xml:space="preserve">Ceremony facilitation</t>
  </si>
  <si>
    <t xml:space="preserve">Facilitates sprint cadence</t>
  </si>
  <si>
    <t xml:space="preserve">SH-11</t>
  </si>
  <si>
    <t xml:space="preserve">Imran Kathat</t>
  </si>
  <si>
    <t xml:space="preserve">Business Analyst</t>
  </si>
  <si>
    <t xml:space="preserve">Requirements, process design, UAT coordination</t>
  </si>
  <si>
    <t xml:space="preserve">Author</t>
  </si>
  <si>
    <t xml:space="preserve">Single point for requirements traceability</t>
  </si>
  <si>
    <t xml:space="preserve">R=Responsible, A=Accountable, C=Consulted, I=Informed</t>
  </si>
  <si>
    <t xml:space="preserve">Deliverable / activity</t>
  </si>
  <si>
    <t xml:space="preserve">Controller (PO)</t>
  </si>
  <si>
    <t xml:space="preserve">Finance Mgr</t>
  </si>
  <si>
    <t xml:space="preserve">Analyst</t>
  </si>
  <si>
    <t xml:space="preserve">Eng Lead</t>
  </si>
  <si>
    <t xml:space="preserve">BA</t>
  </si>
  <si>
    <t xml:space="preserve">Data Eng</t>
  </si>
  <si>
    <t xml:space="preserve">Audit</t>
  </si>
  <si>
    <t xml:space="preserve">Elicitation workshops and interviews</t>
  </si>
  <si>
    <t xml:space="preserve">C</t>
  </si>
  <si>
    <t xml:space="preserve">I</t>
  </si>
  <si>
    <t xml:space="preserve">R/A</t>
  </si>
  <si>
    <t xml:space="preserve">BRD authoring</t>
  </si>
  <si>
    <t xml:space="preserve">A</t>
  </si>
  <si>
    <t xml:space="preserve">R</t>
  </si>
  <si>
    <t xml:space="preserve">BRD sign-off</t>
  </si>
  <si>
    <t xml:space="preserve">A/R</t>
  </si>
  <si>
    <t xml:space="preserve">Backlog prioritization (MoSCoW)</t>
  </si>
  <si>
    <t xml:space="preserve">Gherkin acceptance criteria</t>
  </si>
  <si>
    <t xml:space="preserve">Matching and tolerance rules definition</t>
  </si>
  <si>
    <t xml:space="preserve">Fee schedule data supply</t>
  </si>
  <si>
    <t xml:space="preserve">Build ingestion and matching</t>
  </si>
  <si>
    <t xml:space="preserve">ERP integration</t>
  </si>
  <si>
    <t xml:space="preserve">Test planning and fixtures</t>
  </si>
  <si>
    <t xml:space="preserve">UAT execution</t>
  </si>
  <si>
    <t xml:space="preserve">UAT sign-off</t>
  </si>
  <si>
    <t xml:space="preserve">KPI definitions</t>
  </si>
  <si>
    <t xml:space="preserve">Audit evidence requirements</t>
  </si>
  <si>
    <t xml:space="preserve">Go-live decision</t>
  </si>
  <si>
    <t xml:space="preserve">Req ID</t>
  </si>
  <si>
    <t xml:space="preserve">Type</t>
  </si>
  <si>
    <t xml:space="preserve">Requirement</t>
  </si>
  <si>
    <t xml:space="preserve">Priority</t>
  </si>
  <si>
    <t xml:space="preserve">Source stakeholder</t>
  </si>
  <si>
    <t xml:space="preserve">Epic / Story</t>
  </si>
  <si>
    <t xml:space="preserve">UAT cases</t>
  </si>
  <si>
    <t xml:space="preserve">BR-01</t>
  </si>
  <si>
    <t xml:space="preserve">Business</t>
  </si>
  <si>
    <t xml:space="preserve">Eliminate manual portal exports, spreadsheet matching and email approvals from daily reconciliation</t>
  </si>
  <si>
    <t xml:space="preserve">Must</t>
  </si>
  <si>
    <t xml:space="preserve">MIZ-E1, MIZ-E4</t>
  </si>
  <si>
    <t xml:space="preserve">BR-02</t>
  </si>
  <si>
    <t xml:space="preserve">Reconcile every gateway settlement to a ledger invoice with net variance explained to AED 0.50</t>
  </si>
  <si>
    <t xml:space="preserve">MIZ-E2</t>
  </si>
  <si>
    <t xml:space="preserve">BR-03</t>
  </si>
  <si>
    <t xml:space="preserve">Every unmatched item has an owner, a flag and a due time</t>
  </si>
  <si>
    <t xml:space="preserve">MIZ-E3</t>
  </si>
  <si>
    <t xml:space="preserve">BR-04</t>
  </si>
  <si>
    <t xml:space="preserve">Management can see match rate, clearance velocity and daily resolution rate without asking for spreadsheets</t>
  </si>
  <si>
    <t xml:space="preserve">Should</t>
  </si>
  <si>
    <t xml:space="preserve">MIZ-E5</t>
  </si>
  <si>
    <t xml:space="preserve">BR-05</t>
  </si>
  <si>
    <t xml:space="preserve">Every adjustment is approved, posted and traceable for audit</t>
  </si>
  <si>
    <t xml:space="preserve">MIZ-E4, MIZ-E5</t>
  </si>
  <si>
    <t xml:space="preserve">FR-01</t>
  </si>
  <si>
    <t xml:space="preserve">Functional</t>
  </si>
  <si>
    <t xml:space="preserve">Ingest gateway settlement batches via signed webhook with idempotency</t>
  </si>
  <si>
    <t xml:space="preserve">MIZ-101</t>
  </si>
  <si>
    <t xml:space="preserve">UAT-01, UAT-02</t>
  </si>
  <si>
    <t xml:space="preserve">FR-02</t>
  </si>
  <si>
    <t xml:space="preserve">Detect and backfill missing batches by scheduled polling</t>
  </si>
  <si>
    <t xml:space="preserve">Finance Ops Lead</t>
  </si>
  <si>
    <t xml:space="preserve">MIZ-102</t>
  </si>
  <si>
    <t xml:space="preserve">UAT-03</t>
  </si>
  <si>
    <t xml:space="preserve">FR-03</t>
  </si>
  <si>
    <t xml:space="preserve">Match settlements to the latest non-void ledger invoice by gateway and transaction reference</t>
  </si>
  <si>
    <t xml:space="preserve">MIZ-103</t>
  </si>
  <si>
    <t xml:space="preserve">UAT-04</t>
  </si>
  <si>
    <t xml:space="preserve">FR-04</t>
  </si>
  <si>
    <t xml:space="preserve">Price each settlement against the fee schedule effective on its settlement date, including 5% VAT on the fee</t>
  </si>
  <si>
    <t xml:space="preserve">Head of Payments</t>
  </si>
  <si>
    <t xml:space="preserve">MIZ-104</t>
  </si>
  <si>
    <t xml:space="preserve">UAT-05</t>
  </si>
  <si>
    <t xml:space="preserve">FR-05</t>
  </si>
  <si>
    <t xml:space="preserve">Report dates in GST and tag differences that are explained only by the UTC/GST boundary</t>
  </si>
  <si>
    <t xml:space="preserve">MIZ-105</t>
  </si>
  <si>
    <t xml:space="preserve">UAT-06</t>
  </si>
  <si>
    <t xml:space="preserve">FR-06</t>
  </si>
  <si>
    <t xml:space="preserve">Flag orphaned gateway and ledger records after a 3-working-day grace period</t>
  </si>
  <si>
    <t xml:space="preserve">MIZ-106</t>
  </si>
  <si>
    <t xml:space="preserve">UAT-07</t>
  </si>
  <si>
    <t xml:space="preserve">FR-07</t>
  </si>
  <si>
    <t xml:space="preserve">Route exceptions to owner queues by flag</t>
  </si>
  <si>
    <t xml:space="preserve">MIZ-107</t>
  </si>
  <si>
    <t xml:space="preserve">UAT-08</t>
  </si>
  <si>
    <t xml:space="preserve">FR-08</t>
  </si>
  <si>
    <t xml:space="preserve">Require manager approval above AED 5,000 with a 4-working-hour SLA and escalation</t>
  </si>
  <si>
    <t xml:space="preserve">MIZ-108</t>
  </si>
  <si>
    <t xml:space="preserve">UAT-09, UAT-10, UAT-10R</t>
  </si>
  <si>
    <t xml:space="preserve">FR-09</t>
  </si>
  <si>
    <t xml:space="preserve">Post approved journals to the ERP once, linked to the exception</t>
  </si>
  <si>
    <t xml:space="preserve">MIZ-109</t>
  </si>
  <si>
    <t xml:space="preserve">UAT-11, UAT-12</t>
  </si>
  <si>
    <t xml:space="preserve">FR-10</t>
  </si>
  <si>
    <t xml:space="preserve">Provide KPI dashboard and exception tracker</t>
  </si>
  <si>
    <t xml:space="preserve">MIZ-110</t>
  </si>
  <si>
    <t xml:space="preserve">UAT-13</t>
  </si>
  <si>
    <t xml:space="preserve">FR-11</t>
  </si>
  <si>
    <t xml:space="preserve">Export period audit report with approver, timestamps and journal reference</t>
  </si>
  <si>
    <t xml:space="preserve">MIZ-111</t>
  </si>
  <si>
    <t xml:space="preserve">UAT-14</t>
  </si>
  <si>
    <t xml:space="preserve">NFR-01</t>
  </si>
  <si>
    <t xml:space="preserve">Non-functional</t>
  </si>
  <si>
    <t xml:space="preserve">Process a 26,000-row monthly volume reconciliation in under 5 minutes</t>
  </si>
  <si>
    <t xml:space="preserve">NFR-02</t>
  </si>
  <si>
    <t xml:space="preserve">Exception rows are append-only; no delete privilege for application roles</t>
  </si>
  <si>
    <t xml:space="preserve">NFR-03</t>
  </si>
  <si>
    <t xml:space="preserve">Store timestamps in UTC and display GST; weekend is Saturday-Sunday</t>
  </si>
  <si>
    <t xml:space="preserve">NFR-04</t>
  </si>
  <si>
    <t xml:space="preserve">Webhook endpoint availability 99.5% in business hours with 15-minute fallback</t>
  </si>
  <si>
    <t xml:space="preserve">NFR-05</t>
  </si>
  <si>
    <t xml:space="preserve">Keep financial records for 5 years (VAT) in a UAE-hosted region</t>
  </si>
  <si>
    <t xml:space="preserve">Rank</t>
  </si>
  <si>
    <t xml:space="preserve">Key</t>
  </si>
  <si>
    <t xml:space="preserve">Epic</t>
  </si>
  <si>
    <t xml:space="preserve">Story</t>
  </si>
  <si>
    <t xml:space="preserve">Persona</t>
  </si>
  <si>
    <t xml:space="preserve">MoSCoW</t>
  </si>
  <si>
    <t xml:space="preserve">Story points</t>
  </si>
  <si>
    <t xml:space="preserve">Sprint</t>
  </si>
  <si>
    <t xml:space="preserve">Status</t>
  </si>
  <si>
    <t xml:space="preserve">MIZ-E1</t>
  </si>
  <si>
    <t xml:space="preserve">Webhook receiver with signature verification and idempotency</t>
  </si>
  <si>
    <t xml:space="preserve">MIZ Sprint 1</t>
  </si>
  <si>
    <t xml:space="preserve">Done</t>
  </si>
  <si>
    <t xml:space="preserve">Scheduled polling fallback for missed batches</t>
  </si>
  <si>
    <t xml:space="preserve">Match gateway settlements to ledger invoices within tolerance</t>
  </si>
  <si>
    <t xml:space="preserve">Highest</t>
  </si>
  <si>
    <t xml:space="preserve">MIZ Sprint 2</t>
  </si>
  <si>
    <t xml:space="preserve">Price settlements against fee schedule including VAT on fee</t>
  </si>
  <si>
    <t xml:space="preserve">Classify UTC vs GST timing differences</t>
  </si>
  <si>
    <t xml:space="preserve">MIZ Sprint 3</t>
  </si>
  <si>
    <t xml:space="preserve">Detect orphaned records in both directions</t>
  </si>
  <si>
    <t xml:space="preserve">Route exceptions to owners by decision table</t>
  </si>
  <si>
    <t xml:space="preserve">MIZ-E4</t>
  </si>
  <si>
    <t xml:space="preserve">In-tool approval with thresholds and SLA escalation</t>
  </si>
  <si>
    <t xml:space="preserve">MIZ Sprint 4</t>
  </si>
  <si>
    <t xml:space="preserve">Post journal adjustments to the ERP via API with idempotency</t>
  </si>
  <si>
    <t xml:space="preserve">Reconciliation KPI dashboard and exception tracker</t>
  </si>
  <si>
    <t xml:space="preserve">MIZ Sprint 5</t>
  </si>
  <si>
    <t xml:space="preserve">Export reconciliation audit report for internal audit</t>
  </si>
  <si>
    <t xml:space="preserve">Internal Auditor</t>
  </si>
  <si>
    <t xml:space="preserve">Average velocity excludes Sprint 0 (discovery).</t>
  </si>
  <si>
    <t xml:space="preserve">Start</t>
  </si>
  <si>
    <t xml:space="preserve">End</t>
  </si>
  <si>
    <t xml:space="preserve">Committed SP</t>
  </si>
  <si>
    <t xml:space="preserve">Completed SP</t>
  </si>
  <si>
    <t xml:space="preserve">Completion %</t>
  </si>
  <si>
    <t xml:space="preserve">Focus</t>
  </si>
  <si>
    <t xml:space="preserve">Sprint 0 - Discovery</t>
  </si>
  <si>
    <t xml:space="preserve">2024-10-07</t>
  </si>
  <si>
    <t xml:space="preserve">2024-10-18</t>
  </si>
  <si>
    <t xml:space="preserve">Elicitation, baseline, BRD v0.1</t>
  </si>
  <si>
    <t xml:space="preserve">2024-10-21</t>
  </si>
  <si>
    <t xml:space="preserve">2024-11-01</t>
  </si>
  <si>
    <t xml:space="preserve">Webhook and polling ingestion</t>
  </si>
  <si>
    <t xml:space="preserve">2024-11-04</t>
  </si>
  <si>
    <t xml:space="preserve">2024-11-15</t>
  </si>
  <si>
    <t xml:space="preserve">Matching and fee pricing</t>
  </si>
  <si>
    <t xml:space="preserve">2024-11-18</t>
  </si>
  <si>
    <t xml:space="preserve">2024-11-29</t>
  </si>
  <si>
    <t xml:space="preserve">Timing, orphans, routing</t>
  </si>
  <si>
    <t xml:space="preserve">2024-12-02</t>
  </si>
  <si>
    <t xml:space="preserve">2024-12-13</t>
  </si>
  <si>
    <t xml:space="preserve">Approvals and ERP posting (National Day 2-3 Dec)</t>
  </si>
  <si>
    <t xml:space="preserve">2024-12-16</t>
  </si>
  <si>
    <t xml:space="preserve">2024-12-27</t>
  </si>
  <si>
    <t xml:space="preserve">Dashboard, audit export, hardening</t>
  </si>
  <si>
    <t xml:space="preserve">Average velocity (Sprints 1-5)</t>
  </si>
  <si>
    <t xml:space="preserve">Total completed SP</t>
  </si>
  <si>
    <t xml:space="preserve">Description</t>
  </si>
  <si>
    <t xml:space="preserve">Impact (1-5)</t>
  </si>
  <si>
    <t xml:space="preserve">Probability (1-5)</t>
  </si>
  <si>
    <t xml:space="preserve">Score</t>
  </si>
  <si>
    <t xml:space="preserve">Owner</t>
  </si>
  <si>
    <t xml:space="preserve">Response / mitigation</t>
  </si>
  <si>
    <t xml:space="preserve">Raised</t>
  </si>
  <si>
    <t xml:space="preserve">R-01</t>
  </si>
  <si>
    <t xml:space="preserve">Risk</t>
  </si>
  <si>
    <t xml:space="preserve">Gateway webhook delivery is delayed or dropped during peak settlement windows</t>
  </si>
  <si>
    <t xml:space="preserve">Polling fallback every 15 minutes (MIZ-102); batch-gap alert</t>
  </si>
  <si>
    <t xml:space="preserve">Mitigated</t>
  </si>
  <si>
    <t xml:space="preserve">2024-10-08</t>
  </si>
  <si>
    <t xml:space="preserve">R-02</t>
  </si>
  <si>
    <t xml:space="preserve">Legacy ledger stamps posting dates in UTC for one entity, creating false month-end breaks</t>
  </si>
  <si>
    <t xml:space="preserve">Timezone classification rule (MIZ-105); finance to confirm affected entity list</t>
  </si>
  <si>
    <t xml:space="preserve">2024-10-10</t>
  </si>
  <si>
    <t xml:space="preserve">R-03</t>
  </si>
  <si>
    <t xml:space="preserve">ERP sandbox access delayed, blocking posting integration</t>
  </si>
  <si>
    <t xml:space="preserve">Mock ERP service with recorded contract; escalate via Controller by 25 Oct</t>
  </si>
  <si>
    <t xml:space="preserve">Closed</t>
  </si>
  <si>
    <t xml:space="preserve">2024-10-09</t>
  </si>
  <si>
    <t xml:space="preserve">R-04</t>
  </si>
  <si>
    <t xml:space="preserve">Analyst availability drops at month-end, slowing UAT feedback</t>
  </si>
  <si>
    <t xml:space="preserve">Schedule UAT outside close window (30 Dec - 10 Jan, avoiding days 1-3 of month)</t>
  </si>
  <si>
    <t xml:space="preserve">2024-10-15</t>
  </si>
  <si>
    <t xml:space="preserve">R-05</t>
  </si>
  <si>
    <t xml:space="preserve">Scope creep: refunds and chargebacks requested mid-project</t>
  </si>
  <si>
    <t xml:space="preserve">Change control (CR-001); deferred to release 1.1</t>
  </si>
  <si>
    <t xml:space="preserve">2024-11-12</t>
  </si>
  <si>
    <t xml:space="preserve">R-06</t>
  </si>
  <si>
    <t xml:space="preserve">UAE National Day holiday (2-3 Dec) reduces Sprint 4 capacity</t>
  </si>
  <si>
    <t xml:space="preserve">Sprint 4 commitment reduced; MIZ-110 moved to Sprint 5</t>
  </si>
  <si>
    <t xml:space="preserve">I-01</t>
  </si>
  <si>
    <t xml:space="preserve">Issue</t>
  </si>
  <si>
    <t xml:space="preserve">ERP returns HTTP 429 when posting more than ~40 journals per minute</t>
  </si>
  <si>
    <t xml:space="preserve">Chunked posting with backoff and resume (MIZ-109 scenario 3)</t>
  </si>
  <si>
    <t xml:space="preserve">2024-12-04</t>
  </si>
  <si>
    <t xml:space="preserve">I-02</t>
  </si>
  <si>
    <t xml:space="preserve">Re-issued invoices not voided in ERP produce two candidate matches per transaction</t>
  </si>
  <si>
    <t xml:space="preserve">Latest non-void invoice rule via ROW_NUMBER (MIZ-103)</t>
  </si>
  <si>
    <t xml:space="preserve">2024-11-06</t>
  </si>
  <si>
    <t xml:space="preserve">A-01</t>
  </si>
  <si>
    <t xml:space="preserve">Assumption</t>
  </si>
  <si>
    <t xml:space="preserve">Gateways provide HMAC-signed webhooks and a batch-listing API</t>
  </si>
  <si>
    <t xml:space="preserve">Confirmed in technical call with both gateways, 14 Oct</t>
  </si>
  <si>
    <t xml:space="preserve">Validated</t>
  </si>
  <si>
    <t xml:space="preserve">A-02</t>
  </si>
  <si>
    <t xml:space="preserve">Contracted fee schedules are available per rail and effective date</t>
  </si>
  <si>
    <t xml:space="preserve">Contracts supplied 21 Oct; one rail (AANI) missing, handled in CR-004</t>
  </si>
  <si>
    <t xml:space="preserve">D-01</t>
  </si>
  <si>
    <t xml:space="preserve">Dependency</t>
  </si>
  <si>
    <t xml:space="preserve">ERP sandbox credentials and API documentation</t>
  </si>
  <si>
    <t xml:space="preserve">Delivered 29 Oct</t>
  </si>
  <si>
    <t xml:space="preserve">D-02</t>
  </si>
  <si>
    <t xml:space="preserve">Finance to supply 3 months of historical reconciliation spreadsheets for baseline</t>
  </si>
  <si>
    <t xml:space="preserve">Delivered 16 Oct</t>
  </si>
  <si>
    <t xml:space="preserve">CR ID</t>
  </si>
  <si>
    <t xml:space="preserve">Date</t>
  </si>
  <si>
    <t xml:space="preserve">Requested by</t>
  </si>
  <si>
    <t xml:space="preserve">Change</t>
  </si>
  <si>
    <t xml:space="preserve">Impact assessment</t>
  </si>
  <si>
    <t xml:space="preserve">Decision</t>
  </si>
  <si>
    <t xml:space="preserve">Approvers</t>
  </si>
  <si>
    <t xml:space="preserve">CR-001</t>
  </si>
  <si>
    <t xml:space="preserve">Add refunds and chargebacks to the matching engine</t>
  </si>
  <si>
    <t xml:space="preserve">+13 SP, 2 sprints; delays go-live by 3 weeks</t>
  </si>
  <si>
    <t xml:space="preserve">Rejected for 1.0, added to release 1.1 backlog</t>
  </si>
  <si>
    <t xml:space="preserve">Controller (decision), BA, Eng Lead</t>
  </si>
  <si>
    <t xml:space="preserve">CR-002</t>
  </si>
  <si>
    <t xml:space="preserve">2024-12-11</t>
  </si>
  <si>
    <t xml:space="preserve">Count the orphan grace period in working days (SIT defect DEF-009: weekend false positives)</t>
  </si>
  <si>
    <t xml:space="preserve">+1 SP; no date impact</t>
  </si>
  <si>
    <t xml:space="preserve">Approved</t>
  </si>
  <si>
    <t xml:space="preserve">Controller, QA Lead</t>
  </si>
  <si>
    <t xml:space="preserve">Implemented 2024-12-18</t>
  </si>
  <si>
    <t xml:space="preserve">CR-003</t>
  </si>
  <si>
    <t xml:space="preserve">2024-11-20</t>
  </si>
  <si>
    <t xml:space="preserve">Reduce match tolerance from AED 1.00 to AED 0.50</t>
  </si>
  <si>
    <t xml:space="preserve">0 SP; parameter change; re-baseline of test data</t>
  </si>
  <si>
    <t xml:space="preserve">Controller, Finance Mgr</t>
  </si>
  <si>
    <t xml:space="preserve">Implemented 2024-11-22</t>
  </si>
  <si>
    <t xml:space="preserve">CR-004</t>
  </si>
  <si>
    <t xml:space="preserve">2024-11-14</t>
  </si>
  <si>
    <t xml:space="preserve">Add AANI instant-payment rail to the fee schedule and test data</t>
  </si>
  <si>
    <t xml:space="preserve">+2 SP</t>
  </si>
  <si>
    <t xml:space="preserve">Controller, Eng Lead</t>
  </si>
  <si>
    <t xml:space="preserve">Implemented 2024-11-29</t>
  </si>
  <si>
    <t xml:space="preserve">Case</t>
  </si>
  <si>
    <t xml:space="preserve">Scenario</t>
  </si>
  <si>
    <t xml:space="preserve">Tester</t>
  </si>
  <si>
    <t xml:space="preserve">Result</t>
  </si>
  <si>
    <t xml:space="preserve">UAT-01</t>
  </si>
  <si>
    <t xml:space="preserve">Signed batch ingested and row count matches declared rows</t>
  </si>
  <si>
    <t xml:space="preserve">Pass</t>
  </si>
  <si>
    <t xml:space="preserve">2024-12-31</t>
  </si>
  <si>
    <t xml:space="preserve">UAT-02</t>
  </si>
  <si>
    <t xml:space="preserve">Invalid signature rejected; no rows written</t>
  </si>
  <si>
    <t xml:space="preserve">Security</t>
  </si>
  <si>
    <t xml:space="preserve">Missed batch is back-filled within 15 minutes</t>
  </si>
  <si>
    <t xml:space="preserve">2025-01-02</t>
  </si>
  <si>
    <t xml:space="preserve">Exact, within-tolerance and beyond-tolerance rows classified correctly</t>
  </si>
  <si>
    <t xml:space="preserve">Gateway overcharge detected with fee variance AED 27.56 on test row</t>
  </si>
  <si>
    <t xml:space="preserve">30 Nov 21:40 UTC settlement tagged as timing mismatch</t>
  </si>
  <si>
    <t xml:space="preserve">2025-01-03</t>
  </si>
  <si>
    <t xml:space="preserve">Weekend does not consume the orphan grace period</t>
  </si>
  <si>
    <t xml:space="preserve">Regression</t>
  </si>
  <si>
    <t xml:space="preserve">Each flag lands in the correct owner queue</t>
  </si>
  <si>
    <t xml:space="preserve">2025-01-06</t>
  </si>
  <si>
    <t xml:space="preserve">UAT-09</t>
  </si>
  <si>
    <t xml:space="preserve">Variance of AED 5,000.01 blocks posting until manager approval</t>
  </si>
  <si>
    <t xml:space="preserve">UAT-10</t>
  </si>
  <si>
    <t xml:space="preserve">SLA escalation fires after 4 working hours</t>
  </si>
  <si>
    <t xml:space="preserve">Fail</t>
  </si>
  <si>
    <t xml:space="preserve">UAT-10R</t>
  </si>
  <si>
    <t xml:space="preserve">Retest SLA escalation after fix DEF-013</t>
  </si>
  <si>
    <t xml:space="preserve">Retest</t>
  </si>
  <si>
    <t xml:space="preserve">2025-01-08</t>
  </si>
  <si>
    <t xml:space="preserve">UAT-11</t>
  </si>
  <si>
    <t xml:space="preserve">Retry after timeout does not double-post</t>
  </si>
  <si>
    <t xml:space="preserve">2025-01-07</t>
  </si>
  <si>
    <t xml:space="preserve">UAT-12</t>
  </si>
  <si>
    <t xml:space="preserve">Locked ERP period holds the adjustment with reason</t>
  </si>
  <si>
    <t xml:space="preserve">Negative</t>
  </si>
  <si>
    <t xml:space="preserve">KPI cards match controller's manual December control totals</t>
  </si>
  <si>
    <t xml:space="preserve">Audit export for closed December period complete</t>
  </si>
  <si>
    <t xml:space="preserve">2025-01-09</t>
  </si>
  <si>
    <t xml:space="preserve">Title</t>
  </si>
  <si>
    <t xml:space="preserve">Severity</t>
  </si>
  <si>
    <t xml:space="preserve">Found in</t>
  </si>
  <si>
    <t xml:space="preserve">Found</t>
  </si>
  <si>
    <t xml:space="preserve">Fixed</t>
  </si>
  <si>
    <t xml:space="preserve">Root cause</t>
  </si>
  <si>
    <t xml:space="preserve">DEF-001</t>
  </si>
  <si>
    <t xml:space="preserve">Duplicate rows when webhook and poller race</t>
  </si>
  <si>
    <t xml:space="preserve">S2</t>
  </si>
  <si>
    <t xml:space="preserve">P2</t>
  </si>
  <si>
    <t xml:space="preserve">SIT</t>
  </si>
  <si>
    <t xml:space="preserve">2024-11-05</t>
  </si>
  <si>
    <t xml:space="preserve">2024-11-08</t>
  </si>
  <si>
    <t xml:space="preserve">Missing unique constraint on event key</t>
  </si>
  <si>
    <t xml:space="preserve">DEF-002</t>
  </si>
  <si>
    <t xml:space="preserve">Tolerance applied to absolute gross instead of net</t>
  </si>
  <si>
    <t xml:space="preserve">S1</t>
  </si>
  <si>
    <t xml:space="preserve">P1</t>
  </si>
  <si>
    <t xml:space="preserve">2024-11-13</t>
  </si>
  <si>
    <t xml:space="preserve">Wrong column in comparison</t>
  </si>
  <si>
    <t xml:space="preserve">DEF-003</t>
  </si>
  <si>
    <t xml:space="preserve">Re-issued invoice produced two matches</t>
  </si>
  <si>
    <t xml:space="preserve">2024-11-11</t>
  </si>
  <si>
    <t xml:space="preserve">Missing latest-invoice window rule</t>
  </si>
  <si>
    <t xml:space="preserve">DEF-004</t>
  </si>
  <si>
    <t xml:space="preserve">VAT on fee rounded per row sum, not per row</t>
  </si>
  <si>
    <t xml:space="preserve">S3</t>
  </si>
  <si>
    <t xml:space="preserve">P3</t>
  </si>
  <si>
    <t xml:space="preserve">Rounding applied after aggregation</t>
  </si>
  <si>
    <t xml:space="preserve">DEF-005</t>
  </si>
  <si>
    <t xml:space="preserve">Fee schedule not effective-dated; mid-month rate change misprices</t>
  </si>
  <si>
    <t xml:space="preserve">2024-11-25</t>
  </si>
  <si>
    <t xml:space="preserve">Join ignored effective_to</t>
  </si>
  <si>
    <t xml:space="preserve">DEF-006</t>
  </si>
  <si>
    <t xml:space="preserve">Month-end settlement shown in wrong period in GST report</t>
  </si>
  <si>
    <t xml:space="preserve">2024-12-05</t>
  </si>
  <si>
    <t xml:space="preserve">UTC date used for period bucket</t>
  </si>
  <si>
    <t xml:space="preserve">DEF-007</t>
  </si>
  <si>
    <t xml:space="preserve">Dead-letter alert posted twice</t>
  </si>
  <si>
    <t xml:space="preserve">S4</t>
  </si>
  <si>
    <t xml:space="preserve">P4</t>
  </si>
  <si>
    <t xml:space="preserve">2024-11-07</t>
  </si>
  <si>
    <t xml:space="preserve">Retry handler re-raised</t>
  </si>
  <si>
    <t xml:space="preserve">DEF-008</t>
  </si>
  <si>
    <t xml:space="preserve">Owner empty for UNCLASSIFIED_VARIANCE</t>
  </si>
  <si>
    <t xml:space="preserve">2024-12-03</t>
  </si>
  <si>
    <t xml:space="preserve">Missing default branch in routing table</t>
  </si>
  <si>
    <t xml:space="preserve">DEF-009</t>
  </si>
  <si>
    <t xml:space="preserve">Paid Thursday invoice flagged orphan on Sunday</t>
  </si>
  <si>
    <t xml:space="preserve">2024-12-18</t>
  </si>
  <si>
    <t xml:space="preserve">Grace counted calendar days (CR-002)</t>
  </si>
  <si>
    <t xml:space="preserve">DEF-010</t>
  </si>
  <si>
    <t xml:space="preserve">Self-approval possible via direct link</t>
  </si>
  <si>
    <t xml:space="preserve">2024-12-12</t>
  </si>
  <si>
    <t xml:space="preserve">Authorisation checked in UI only</t>
  </si>
  <si>
    <t xml:space="preserve">DEF-011</t>
  </si>
  <si>
    <t xml:space="preserve">Posting retried after commit created second journal</t>
  </si>
  <si>
    <t xml:space="preserve">2024-12-17</t>
  </si>
  <si>
    <t xml:space="preserve">Idempotency key not sent on retry</t>
  </si>
  <si>
    <t xml:space="preserve">DEF-012</t>
  </si>
  <si>
    <t xml:space="preserve">KPI card shows 0% on Saturday</t>
  </si>
  <si>
    <t xml:space="preserve">2024-12-20</t>
  </si>
  <si>
    <t xml:space="preserve">2024-12-23</t>
  </si>
  <si>
    <t xml:space="preserve">Non-working day not blank</t>
  </si>
  <si>
    <t xml:space="preserve">DEF-013</t>
  </si>
  <si>
    <t xml:space="preserve">SLA escalation timer counts weekends</t>
  </si>
  <si>
    <t xml:space="preserve">Timer used elapsed clock hours</t>
  </si>
  <si>
    <t xml:space="preserve">Definition</t>
  </si>
  <si>
    <t xml:space="preserve">Priority / action</t>
  </si>
  <si>
    <t xml:space="preserve">Response SLA</t>
  </si>
  <si>
    <t xml:space="preserve">Fix SLA</t>
  </si>
  <si>
    <t xml:space="preserve">S1 Critical</t>
  </si>
  <si>
    <t xml:space="preserve">Data loss, wrong money posted, security bypass</t>
  </si>
  <si>
    <t xml:space="preserve">P1 - fix before next build; stop-ship</t>
  </si>
  <si>
    <t xml:space="preserve">Same day</t>
  </si>
  <si>
    <t xml:space="preserve">4 hours</t>
  </si>
  <si>
    <t xml:space="preserve">S2 Major</t>
  </si>
  <si>
    <t xml:space="preserve">Core rule wrong, workaround exists</t>
  </si>
  <si>
    <t xml:space="preserve">P1/P2 - fix in current sprint</t>
  </si>
  <si>
    <t xml:space="preserve">1 working day</t>
  </si>
  <si>
    <t xml:space="preserve">2 working days</t>
  </si>
  <si>
    <t xml:space="preserve">S3 Moderate</t>
  </si>
  <si>
    <t xml:space="preserve">Incorrect output in edge case, no money impact</t>
  </si>
  <si>
    <t xml:space="preserve">P2/P3 - next sprint</t>
  </si>
  <si>
    <t xml:space="preserve">Next sprint</t>
  </si>
  <si>
    <t xml:space="preserve">S4 Minor</t>
  </si>
  <si>
    <t xml:space="preserve">Cosmetic or logging</t>
  </si>
  <si>
    <t xml:space="preserve">P4 - backlog</t>
  </si>
  <si>
    <t xml:space="preserve">3 working days</t>
  </si>
  <si>
    <t xml:space="preserve">Synthetic December 2024 run. Clearance hours exclude Saturday/Sunday. SLA (working hours): timing 1; variance &gt; AED 5,000: 4; fee dispute 120; orphan 48; other 24.</t>
  </si>
  <si>
    <t xml:space="preserve">Exception</t>
  </si>
  <si>
    <t xml:space="preserve">Txn ref</t>
  </si>
  <si>
    <t xml:space="preserve">Flag</t>
  </si>
  <si>
    <t xml:space="preserve">Variance AED</t>
  </si>
  <si>
    <t xml:space="preserve">Opened (GST)</t>
  </si>
  <si>
    <t xml:space="preserve">Resolved (GST)</t>
  </si>
  <si>
    <t xml:space="preserve">Clearance (working h)</t>
  </si>
  <si>
    <t xml:space="preserve">SLA target (working h)</t>
  </si>
  <si>
    <t xml:space="preserve">SLA check</t>
  </si>
  <si>
    <t xml:space="preserve">EXC-8606</t>
  </si>
  <si>
    <t xml:space="preserve">TX2423001</t>
  </si>
  <si>
    <t xml:space="preserve">FEE_VARIANCE_BREACH</t>
  </si>
  <si>
    <t xml:space="preserve">payments-partnerships</t>
  </si>
  <si>
    <t xml:space="preserve">EXC-8258</t>
  </si>
  <si>
    <t xml:space="preserve">TX2410071</t>
  </si>
  <si>
    <t xml:space="preserve">EXC-8315</t>
  </si>
  <si>
    <t xml:space="preserve">TX2412182</t>
  </si>
  <si>
    <t xml:space="preserve">ORPHANED_LEDGER_RECORD</t>
  </si>
  <si>
    <t xml:space="preserve">revenue-accounting</t>
  </si>
  <si>
    <t xml:space="preserve">EXC-8316</t>
  </si>
  <si>
    <t xml:space="preserve">TX2412206</t>
  </si>
  <si>
    <t xml:space="preserve">EXC-8257</t>
  </si>
  <si>
    <t xml:space="preserve">TX2410049</t>
  </si>
  <si>
    <t xml:space="preserve">EXC-8431</t>
  </si>
  <si>
    <t xml:space="preserve">TX2417163</t>
  </si>
  <si>
    <t xml:space="preserve">ORPHANED_GATEWAY_RECORD</t>
  </si>
  <si>
    <t xml:space="preserve">finance-ops-recon</t>
  </si>
  <si>
    <t xml:space="preserve">EXC-8344</t>
  </si>
  <si>
    <t xml:space="preserve">TX2413620</t>
  </si>
  <si>
    <t xml:space="preserve">EXC-8376</t>
  </si>
  <si>
    <t xml:space="preserve">TX2414813</t>
  </si>
  <si>
    <t xml:space="preserve">UNCLASSIFIED_VARIANCE</t>
  </si>
  <si>
    <t xml:space="preserve">recon-lead</t>
  </si>
  <si>
    <t xml:space="preserve">EXC-8404</t>
  </si>
  <si>
    <t xml:space="preserve">TX2416257</t>
  </si>
  <si>
    <t xml:space="preserve">EXC-8568</t>
  </si>
  <si>
    <t xml:space="preserve">TX2421739</t>
  </si>
  <si>
    <t xml:space="preserve">EXC-8565</t>
  </si>
  <si>
    <t xml:space="preserve">TX2421649</t>
  </si>
  <si>
    <t xml:space="preserve">EXC-8545</t>
  </si>
  <si>
    <t xml:space="preserve">TX2420759</t>
  </si>
  <si>
    <t xml:space="preserve">EXC-8455</t>
  </si>
  <si>
    <t xml:space="preserve">TX2418105</t>
  </si>
  <si>
    <t xml:space="preserve">EXC-8427</t>
  </si>
  <si>
    <t xml:space="preserve">TX2417135</t>
  </si>
  <si>
    <t xml:space="preserve">TIMING_MISMATCH_TIMEZONE</t>
  </si>
  <si>
    <t xml:space="preserve">EXC-8000</t>
  </si>
  <si>
    <t xml:space="preserve">TX2400001</t>
  </si>
  <si>
    <t xml:space="preserve">EXC-8324</t>
  </si>
  <si>
    <t xml:space="preserve">TX2412709</t>
  </si>
  <si>
    <t xml:space="preserve">EXC-8236</t>
  </si>
  <si>
    <t xml:space="preserve">TX2409370</t>
  </si>
  <si>
    <t xml:space="preserve">EXC-8242</t>
  </si>
  <si>
    <t xml:space="preserve">TX2409615</t>
  </si>
  <si>
    <t xml:space="preserve">EXC-8090</t>
  </si>
  <si>
    <t xml:space="preserve">TX2404033</t>
  </si>
  <si>
    <t xml:space="preserve">EXC-8111</t>
  </si>
  <si>
    <t xml:space="preserve">TX2404860</t>
  </si>
  <si>
    <t xml:space="preserve">EXC-8097</t>
  </si>
  <si>
    <t xml:space="preserve">TX2404504</t>
  </si>
  <si>
    <t xml:space="preserve">EXC-8027</t>
  </si>
  <si>
    <t xml:space="preserve">TX2401409</t>
  </si>
  <si>
    <t xml:space="preserve">EXC-8232</t>
  </si>
  <si>
    <t xml:space="preserve">TX2409148</t>
  </si>
  <si>
    <t xml:space="preserve">EXC-8252</t>
  </si>
  <si>
    <t xml:space="preserve">TX2409938</t>
  </si>
  <si>
    <t xml:space="preserve">EXC-8014</t>
  </si>
  <si>
    <t xml:space="preserve">TX2400765</t>
  </si>
  <si>
    <t xml:space="preserve">EXC-8065</t>
  </si>
  <si>
    <t xml:space="preserve">TX2402917</t>
  </si>
  <si>
    <t xml:space="preserve">EXC-8414</t>
  </si>
  <si>
    <t xml:space="preserve">TX2416676</t>
  </si>
  <si>
    <t xml:space="preserve">EXC-8661</t>
  </si>
  <si>
    <t xml:space="preserve">TX2425315</t>
  </si>
  <si>
    <t xml:space="preserve">EXC-8331</t>
  </si>
  <si>
    <t xml:space="preserve">TX2412943</t>
  </si>
  <si>
    <t xml:space="preserve">EXC-8335</t>
  </si>
  <si>
    <t xml:space="preserve">TX2413169</t>
  </si>
  <si>
    <t xml:space="preserve">EXC-8501</t>
  </si>
  <si>
    <t xml:space="preserve">TX2419400</t>
  </si>
  <si>
    <t xml:space="preserve">EXC-8495</t>
  </si>
  <si>
    <t xml:space="preserve">TX2419224</t>
  </si>
  <si>
    <t xml:space="preserve">EXC-8222</t>
  </si>
  <si>
    <t xml:space="preserve">TX2408951</t>
  </si>
  <si>
    <t xml:space="preserve">EXC-8354</t>
  </si>
  <si>
    <t xml:space="preserve">TX2413943</t>
  </si>
  <si>
    <t xml:space="preserve">EXC-8054</t>
  </si>
  <si>
    <t xml:space="preserve">TX2402555</t>
  </si>
  <si>
    <t xml:space="preserve">EXC-8463</t>
  </si>
  <si>
    <t xml:space="preserve">TX2418467</t>
  </si>
  <si>
    <t xml:space="preserve">EXC-8182</t>
  </si>
  <si>
    <t xml:space="preserve">TX2407313</t>
  </si>
  <si>
    <t xml:space="preserve">EXC-8441</t>
  </si>
  <si>
    <t xml:space="preserve">TX2417566</t>
  </si>
  <si>
    <t xml:space="preserve">EXC-8392</t>
  </si>
  <si>
    <t xml:space="preserve">TX2415802</t>
  </si>
  <si>
    <t xml:space="preserve">EXC-8015</t>
  </si>
  <si>
    <t xml:space="preserve">TX2400814</t>
  </si>
  <si>
    <t xml:space="preserve">EXC-8543</t>
  </si>
  <si>
    <t xml:space="preserve">TX2420703</t>
  </si>
  <si>
    <t xml:space="preserve">EXC-8308</t>
  </si>
  <si>
    <t xml:space="preserve">TX2411948</t>
  </si>
  <si>
    <t xml:space="preserve">EXC-8610</t>
  </si>
  <si>
    <t xml:space="preserve">TX2423135</t>
  </si>
  <si>
    <t xml:space="preserve">EXC-8583</t>
  </si>
  <si>
    <t xml:space="preserve">TX2422276</t>
  </si>
  <si>
    <t xml:space="preserve">EXC-8556</t>
  </si>
  <si>
    <t xml:space="preserve">TX2421311</t>
  </si>
  <si>
    <t xml:space="preserve">EXC-8209</t>
  </si>
  <si>
    <t xml:space="preserve">TX2408309</t>
  </si>
  <si>
    <t xml:space="preserve">EXC-8292</t>
  </si>
  <si>
    <t xml:space="preserve">TX2411142</t>
  </si>
  <si>
    <t xml:space="preserve">EXC-8603</t>
  </si>
  <si>
    <t xml:space="preserve">TX2422896</t>
  </si>
  <si>
    <t xml:space="preserve">EXC-8279</t>
  </si>
  <si>
    <t xml:space="preserve">TX2410631</t>
  </si>
  <si>
    <t xml:space="preserve">EXC-8021</t>
  </si>
  <si>
    <t xml:space="preserve">TX2401306</t>
  </si>
  <si>
    <t xml:space="preserve">EXC-8102</t>
  </si>
  <si>
    <t xml:space="preserve">TX2404670</t>
  </si>
  <si>
    <t xml:space="preserve">EXC-8109</t>
  </si>
  <si>
    <t xml:space="preserve">TX2404820</t>
  </si>
  <si>
    <t xml:space="preserve">EXC-8396</t>
  </si>
  <si>
    <t xml:space="preserve">TX2416007</t>
  </si>
  <si>
    <t xml:space="preserve">EXC-8676</t>
  </si>
  <si>
    <t xml:space="preserve">TX2425822</t>
  </si>
  <si>
    <t xml:space="preserve">EXC-8117</t>
  </si>
  <si>
    <t xml:space="preserve">TX2405086</t>
  </si>
  <si>
    <t xml:space="preserve">EXC-8298</t>
  </si>
  <si>
    <t xml:space="preserve">TX2411420</t>
  </si>
  <si>
    <t xml:space="preserve">EXC-8247</t>
  </si>
  <si>
    <t xml:space="preserve">TX2409681</t>
  </si>
  <si>
    <t xml:space="preserve">EXC-8305</t>
  </si>
  <si>
    <t xml:space="preserve">TX2411783</t>
  </si>
  <si>
    <t xml:space="preserve">EXC-8351</t>
  </si>
  <si>
    <t xml:space="preserve">TX2413816</t>
  </si>
  <si>
    <t xml:space="preserve">EXC-8653</t>
  </si>
  <si>
    <t xml:space="preserve">TX2425091</t>
  </si>
  <si>
    <t xml:space="preserve">EXC-8150</t>
  </si>
  <si>
    <t xml:space="preserve">TX2406183</t>
  </si>
  <si>
    <t xml:space="preserve">EXC-8285</t>
  </si>
  <si>
    <t xml:space="preserve">TX2410849</t>
  </si>
  <si>
    <t xml:space="preserve">EXC-8296</t>
  </si>
  <si>
    <t xml:space="preserve">TX2411246</t>
  </si>
  <si>
    <t xml:space="preserve">EXC-8267</t>
  </si>
  <si>
    <t xml:space="preserve">TX2410309</t>
  </si>
  <si>
    <t xml:space="preserve">EXC-8663</t>
  </si>
  <si>
    <t xml:space="preserve">TX2425398</t>
  </si>
  <si>
    <t xml:space="preserve">EXC-8615</t>
  </si>
  <si>
    <t xml:space="preserve">TX2423228</t>
  </si>
  <si>
    <t xml:space="preserve">EXC-8230</t>
  </si>
  <si>
    <t xml:space="preserve">TX2409103</t>
  </si>
  <si>
    <t xml:space="preserve">EXC-8599</t>
  </si>
  <si>
    <t xml:space="preserve">TX2422746</t>
  </si>
  <si>
    <t xml:space="preserve">EXC-8628</t>
  </si>
  <si>
    <t xml:space="preserve">TX2423792</t>
  </si>
  <si>
    <t xml:space="preserve">EXC-8596</t>
  </si>
  <si>
    <t xml:space="preserve">TX2422690</t>
  </si>
  <si>
    <t xml:space="preserve">EXC-8191</t>
  </si>
  <si>
    <t xml:space="preserve">TX2407773</t>
  </si>
  <si>
    <t xml:space="preserve">EXC-8634</t>
  </si>
  <si>
    <t xml:space="preserve">TX2424033</t>
  </si>
  <si>
    <t xml:space="preserve">EXC-8619</t>
  </si>
  <si>
    <t xml:space="preserve">TX2423309</t>
  </si>
  <si>
    <t xml:space="preserve">EXC-8035</t>
  </si>
  <si>
    <t xml:space="preserve">TX2401640</t>
  </si>
  <si>
    <t xml:space="preserve">EXC-8047</t>
  </si>
  <si>
    <t xml:space="preserve">TX2402202</t>
  </si>
  <si>
    <t xml:space="preserve">EXC-8538</t>
  </si>
  <si>
    <t xml:space="preserve">TX2420384</t>
  </si>
  <si>
    <t xml:space="preserve">EXC-8522</t>
  </si>
  <si>
    <t xml:space="preserve">TX2419917</t>
  </si>
  <si>
    <t xml:space="preserve">EXC-8575</t>
  </si>
  <si>
    <t xml:space="preserve">TX2421852</t>
  </si>
  <si>
    <t xml:space="preserve">EXC-8417</t>
  </si>
  <si>
    <t xml:space="preserve">TX2416746</t>
  </si>
  <si>
    <t xml:space="preserve">EXC-8281</t>
  </si>
  <si>
    <t xml:space="preserve">TX2410791</t>
  </si>
  <si>
    <t xml:space="preserve">EXC-8584</t>
  </si>
  <si>
    <t xml:space="preserve">TX2422353</t>
  </si>
  <si>
    <t xml:space="preserve">EXC-8211</t>
  </si>
  <si>
    <t xml:space="preserve">TX2408373</t>
  </si>
  <si>
    <t xml:space="preserve">EXC-8266</t>
  </si>
  <si>
    <t xml:space="preserve">TX2410272</t>
  </si>
  <si>
    <t xml:space="preserve">EXC-8592</t>
  </si>
  <si>
    <t xml:space="preserve">TX2422520</t>
  </si>
  <si>
    <t xml:space="preserve">EXC-8103</t>
  </si>
  <si>
    <t xml:space="preserve">TX2404674</t>
  </si>
  <si>
    <t xml:space="preserve">EXC-8002</t>
  </si>
  <si>
    <t xml:space="preserve">TX2400061</t>
  </si>
  <si>
    <t xml:space="preserve">EXC-8303</t>
  </si>
  <si>
    <t xml:space="preserve">TX2411650</t>
  </si>
  <si>
    <t xml:space="preserve">EXC-8112</t>
  </si>
  <si>
    <t xml:space="preserve">TX2404881</t>
  </si>
  <si>
    <t xml:space="preserve">EXC-8149</t>
  </si>
  <si>
    <t xml:space="preserve">TX2406172</t>
  </si>
  <si>
    <t xml:space="preserve">EXC-8309</t>
  </si>
  <si>
    <t xml:space="preserve">TX2411965</t>
  </si>
  <si>
    <t xml:space="preserve">EXC-8058</t>
  </si>
  <si>
    <t xml:space="preserve">TX2402722</t>
  </si>
  <si>
    <t xml:space="preserve">EXC-8122</t>
  </si>
  <si>
    <t xml:space="preserve">TX2405216</t>
  </si>
  <si>
    <t xml:space="preserve">EXC-8175</t>
  </si>
  <si>
    <t xml:space="preserve">TX2406997</t>
  </si>
  <si>
    <t xml:space="preserve">EXC-8482</t>
  </si>
  <si>
    <t xml:space="preserve">TX2419002</t>
  </si>
  <si>
    <t xml:space="preserve">EXC-8546</t>
  </si>
  <si>
    <t xml:space="preserve">TX2420796</t>
  </si>
  <si>
    <t xml:space="preserve">EXC-8333</t>
  </si>
  <si>
    <t xml:space="preserve">TX2413006</t>
  </si>
  <si>
    <t xml:space="preserve">EXC-8190</t>
  </si>
  <si>
    <t xml:space="preserve">TX2407709</t>
  </si>
  <si>
    <t xml:space="preserve">EXC-8186</t>
  </si>
  <si>
    <t xml:space="preserve">TX2407471</t>
  </si>
  <si>
    <t xml:space="preserve">EXC-8225</t>
  </si>
  <si>
    <t xml:space="preserve">TX2408990</t>
  </si>
  <si>
    <t xml:space="preserve">EXC-8176</t>
  </si>
  <si>
    <t xml:space="preserve">TX2407122</t>
  </si>
  <si>
    <t xml:space="preserve">EXC-8208</t>
  </si>
  <si>
    <t xml:space="preserve">TX2408276</t>
  </si>
  <si>
    <t xml:space="preserve">EXC-8233</t>
  </si>
  <si>
    <t xml:space="preserve">TX2409155</t>
  </si>
  <si>
    <t xml:space="preserve">EXC-8173</t>
  </si>
  <si>
    <t xml:space="preserve">TX2406947</t>
  </si>
  <si>
    <t xml:space="preserve">EXC-8156</t>
  </si>
  <si>
    <t xml:space="preserve">TX2406338</t>
  </si>
  <si>
    <t xml:space="preserve">EXC-8194</t>
  </si>
  <si>
    <t xml:space="preserve">TX2407819</t>
  </si>
  <si>
    <t xml:space="preserve">EXC-8199</t>
  </si>
  <si>
    <t xml:space="preserve">TX2407934</t>
  </si>
  <si>
    <t xml:space="preserve">EXC-8228</t>
  </si>
  <si>
    <t xml:space="preserve">TX2409071</t>
  </si>
  <si>
    <t xml:space="preserve">EXC-8372</t>
  </si>
  <si>
    <t xml:space="preserve">TX2414710</t>
  </si>
  <si>
    <t xml:space="preserve">EXC-8255</t>
  </si>
  <si>
    <t xml:space="preserve">TX2410026</t>
  </si>
  <si>
    <t xml:space="preserve">EXC-8674</t>
  </si>
  <si>
    <t xml:space="preserve">TX2425702</t>
  </si>
  <si>
    <t xml:space="preserve">EXC-8667</t>
  </si>
  <si>
    <t xml:space="preserve">TX2425542</t>
  </si>
  <si>
    <t xml:space="preserve">EXC-8666</t>
  </si>
  <si>
    <t xml:space="preserve">TX2425502</t>
  </si>
  <si>
    <t xml:space="preserve">EXC-8660</t>
  </si>
  <si>
    <t xml:space="preserve">TX2425268</t>
  </si>
  <si>
    <t xml:space="preserve">EXC-8655</t>
  </si>
  <si>
    <t xml:space="preserve">TX2425133</t>
  </si>
  <si>
    <t xml:space="preserve">EXC-8650</t>
  </si>
  <si>
    <t xml:space="preserve">TX2424848</t>
  </si>
  <si>
    <t xml:space="preserve">EXC-8648</t>
  </si>
  <si>
    <t xml:space="preserve">TX2424726</t>
  </si>
  <si>
    <t xml:space="preserve">EXC-8647</t>
  </si>
  <si>
    <t xml:space="preserve">TX2424643</t>
  </si>
  <si>
    <t xml:space="preserve">EXC-8639</t>
  </si>
  <si>
    <t xml:space="preserve">TX2424358</t>
  </si>
  <si>
    <t xml:space="preserve">EXC-8633</t>
  </si>
  <si>
    <t xml:space="preserve">TX2423954</t>
  </si>
  <si>
    <t xml:space="preserve">EXC-8587</t>
  </si>
  <si>
    <t xml:space="preserve">TX2422442</t>
  </si>
  <si>
    <t xml:space="preserve">EXC-8580</t>
  </si>
  <si>
    <t xml:space="preserve">TX2422205</t>
  </si>
  <si>
    <t xml:space="preserve">EXC-8563</t>
  </si>
  <si>
    <t xml:space="preserve">TX2421473</t>
  </si>
  <si>
    <t xml:space="preserve">EXC-8254</t>
  </si>
  <si>
    <t xml:space="preserve">TX2410020</t>
  </si>
  <si>
    <t xml:space="preserve">EXC-8550</t>
  </si>
  <si>
    <t xml:space="preserve">TX2421065</t>
  </si>
  <si>
    <t xml:space="preserve">EXC-8484</t>
  </si>
  <si>
    <t xml:space="preserve">TX2419028</t>
  </si>
  <si>
    <t xml:space="preserve">EXC-8470</t>
  </si>
  <si>
    <t xml:space="preserve">TX2418677</t>
  </si>
  <si>
    <t xml:space="preserve">EXC-8468</t>
  </si>
  <si>
    <t xml:space="preserve">TX2418634</t>
  </si>
  <si>
    <t xml:space="preserve">EXC-8440</t>
  </si>
  <si>
    <t xml:space="preserve">TX2417463</t>
  </si>
  <si>
    <t xml:space="preserve">EXC-8368</t>
  </si>
  <si>
    <t xml:space="preserve">TX2414541</t>
  </si>
  <si>
    <t xml:space="preserve">EXC-8359</t>
  </si>
  <si>
    <t xml:space="preserve">TX2414138</t>
  </si>
  <si>
    <t xml:space="preserve">EXC-8322</t>
  </si>
  <si>
    <t xml:space="preserve">TX2412619</t>
  </si>
  <si>
    <t xml:space="preserve">EXC-8320</t>
  </si>
  <si>
    <t xml:space="preserve">TX2412586</t>
  </si>
  <si>
    <t xml:space="preserve">EXC-8318</t>
  </si>
  <si>
    <t xml:space="preserve">TX2412425</t>
  </si>
  <si>
    <t xml:space="preserve">EXC-8307</t>
  </si>
  <si>
    <t xml:space="preserve">TX2411849</t>
  </si>
  <si>
    <t xml:space="preserve">EXC-8271</t>
  </si>
  <si>
    <t xml:space="preserve">TX2410424</t>
  </si>
  <si>
    <t xml:space="preserve">EXC-8268</t>
  </si>
  <si>
    <t xml:space="preserve">TX2410336</t>
  </si>
  <si>
    <t xml:space="preserve">EXC-8260</t>
  </si>
  <si>
    <t xml:space="preserve">TX2410098</t>
  </si>
  <si>
    <t xml:space="preserve">EXC-8542</t>
  </si>
  <si>
    <t xml:space="preserve">TX2420617</t>
  </si>
  <si>
    <t xml:space="preserve">EXC-8139</t>
  </si>
  <si>
    <t xml:space="preserve">TX2405802</t>
  </si>
  <si>
    <t xml:space="preserve">EXC-8339</t>
  </si>
  <si>
    <t xml:space="preserve">TX2413425</t>
  </si>
  <si>
    <t xml:space="preserve">EXC-8007</t>
  </si>
  <si>
    <t xml:space="preserve">TX2400306</t>
  </si>
  <si>
    <t xml:space="preserve">EXC-8008</t>
  </si>
  <si>
    <t xml:space="preserve">TX2400458</t>
  </si>
  <si>
    <t xml:space="preserve">EXC-8093</t>
  </si>
  <si>
    <t xml:space="preserve">TX2404176</t>
  </si>
  <si>
    <t xml:space="preserve">EXC-8055</t>
  </si>
  <si>
    <t xml:space="preserve">TX2402591</t>
  </si>
  <si>
    <t xml:space="preserve">EXC-8101</t>
  </si>
  <si>
    <t xml:space="preserve">TX2404645</t>
  </si>
  <si>
    <t xml:space="preserve">EXC-8062</t>
  </si>
  <si>
    <t xml:space="preserve">TX2402841</t>
  </si>
  <si>
    <t xml:space="preserve">EXC-8031</t>
  </si>
  <si>
    <t xml:space="preserve">TX2401501</t>
  </si>
  <si>
    <t xml:space="preserve">EXC-8019</t>
  </si>
  <si>
    <t xml:space="preserve">TX2401189</t>
  </si>
  <si>
    <t xml:space="preserve">EXC-8085</t>
  </si>
  <si>
    <t xml:space="preserve">TX2403875</t>
  </si>
  <si>
    <t xml:space="preserve">EXC-8119</t>
  </si>
  <si>
    <t xml:space="preserve">TX2405113</t>
  </si>
  <si>
    <t xml:space="preserve">EXC-8419</t>
  </si>
  <si>
    <t xml:space="preserve">TX2416857</t>
  </si>
  <si>
    <t xml:space="preserve">EXC-8608</t>
  </si>
  <si>
    <t xml:space="preserve">TX2423030</t>
  </si>
  <si>
    <t xml:space="preserve">EXC-8601</t>
  </si>
  <si>
    <t xml:space="preserve">TX2422778</t>
  </si>
  <si>
    <t xml:space="preserve">EXC-8643</t>
  </si>
  <si>
    <t xml:space="preserve">TX2424471</t>
  </si>
  <si>
    <t xml:space="preserve">EXC-8602</t>
  </si>
  <si>
    <t xml:space="preserve">TX2422780</t>
  </si>
  <si>
    <t xml:space="preserve">EXC-8439</t>
  </si>
  <si>
    <t xml:space="preserve">TX2417391</t>
  </si>
  <si>
    <t xml:space="preserve">EXC-8287</t>
  </si>
  <si>
    <t xml:space="preserve">TX2410944</t>
  </si>
  <si>
    <t xml:space="preserve">EXC-8071</t>
  </si>
  <si>
    <t xml:space="preserve">TX2403293</t>
  </si>
  <si>
    <t xml:space="preserve">EXC-8330</t>
  </si>
  <si>
    <t xml:space="preserve">TX2412899</t>
  </si>
  <si>
    <t xml:space="preserve">EXC-8552</t>
  </si>
  <si>
    <t xml:space="preserve">TX2421138</t>
  </si>
  <si>
    <t xml:space="preserve">EXC-8411</t>
  </si>
  <si>
    <t xml:space="preserve">TX2416591</t>
  </si>
  <si>
    <t xml:space="preserve">EXC-8221</t>
  </si>
  <si>
    <t xml:space="preserve">TX2408867</t>
  </si>
  <si>
    <t xml:space="preserve">EXC-8511</t>
  </si>
  <si>
    <t xml:space="preserve">TX2419709</t>
  </si>
  <si>
    <t xml:space="preserve">EXC-8403</t>
  </si>
  <si>
    <t xml:space="preserve">TX2416217</t>
  </si>
  <si>
    <t xml:space="preserve">EXC-8548</t>
  </si>
  <si>
    <t xml:space="preserve">TX2420908</t>
  </si>
  <si>
    <t xml:space="preserve">EXC-8123</t>
  </si>
  <si>
    <t xml:space="preserve">TX2405237</t>
  </si>
  <si>
    <t xml:space="preserve">EXC-8540</t>
  </si>
  <si>
    <t xml:space="preserve">TX2420603</t>
  </si>
  <si>
    <t xml:space="preserve">EXC-8076</t>
  </si>
  <si>
    <t xml:space="preserve">TX2403475</t>
  </si>
  <si>
    <t xml:space="preserve">EXC-8405</t>
  </si>
  <si>
    <t xml:space="preserve">TX2416268</t>
  </si>
  <si>
    <t xml:space="preserve">EXC-8167</t>
  </si>
  <si>
    <t xml:space="preserve">TX2406850</t>
  </si>
  <si>
    <t xml:space="preserve">EXC-8590</t>
  </si>
  <si>
    <t xml:space="preserve">TX2422485</t>
  </si>
  <si>
    <t xml:space="preserve">EXC-8672</t>
  </si>
  <si>
    <t xml:space="preserve">TX2425684</t>
  </si>
  <si>
    <t xml:space="preserve">EXC-8144</t>
  </si>
  <si>
    <t xml:space="preserve">TX2405994</t>
  </si>
  <si>
    <t xml:space="preserve">EXC-8454</t>
  </si>
  <si>
    <t xml:space="preserve">TX2418022</t>
  </si>
  <si>
    <t xml:space="preserve">EXC-8108</t>
  </si>
  <si>
    <t xml:space="preserve">TX2404818</t>
  </si>
  <si>
    <t xml:space="preserve">EXC-8445</t>
  </si>
  <si>
    <t xml:space="preserve">TX2417678</t>
  </si>
  <si>
    <t xml:space="preserve">EXC-8570</t>
  </si>
  <si>
    <t xml:space="preserve">TX2421750</t>
  </si>
  <si>
    <t xml:space="preserve">EXC-8210</t>
  </si>
  <si>
    <t xml:space="preserve">TX2408332</t>
  </si>
  <si>
    <t xml:space="preserve">EXC-8582</t>
  </si>
  <si>
    <t xml:space="preserve">TX2422272</t>
  </si>
  <si>
    <t xml:space="preserve">EXC-8202</t>
  </si>
  <si>
    <t xml:space="preserve">TX2408054</t>
  </si>
  <si>
    <t xml:space="preserve">EXC-8038</t>
  </si>
  <si>
    <t xml:space="preserve">TX2401713</t>
  </si>
  <si>
    <t xml:space="preserve">EXC-8086</t>
  </si>
  <si>
    <t xml:space="preserve">TX2403876</t>
  </si>
  <si>
    <t xml:space="preserve">EXC-8352</t>
  </si>
  <si>
    <t xml:space="preserve">TX2413883</t>
  </si>
  <si>
    <t xml:space="preserve">EXC-8072</t>
  </si>
  <si>
    <t xml:space="preserve">TX2403308</t>
  </si>
  <si>
    <t xml:space="preserve">EXC-8573</t>
  </si>
  <si>
    <t xml:space="preserve">TX2421830</t>
  </si>
  <si>
    <t xml:space="preserve">EXC-8197</t>
  </si>
  <si>
    <t xml:space="preserve">TX2407906</t>
  </si>
  <si>
    <t xml:space="preserve">EXC-8397</t>
  </si>
  <si>
    <t xml:space="preserve">TX2416061</t>
  </si>
  <si>
    <t xml:space="preserve">EXC-8530</t>
  </si>
  <si>
    <t xml:space="preserve">TX2420127</t>
  </si>
  <si>
    <t xml:space="preserve">EXC-8458</t>
  </si>
  <si>
    <t xml:space="preserve">TX2418271</t>
  </si>
  <si>
    <t xml:space="preserve">EXC-8357</t>
  </si>
  <si>
    <t xml:space="preserve">TX2413963</t>
  </si>
  <si>
    <t xml:space="preserve">EXC-8539</t>
  </si>
  <si>
    <t xml:space="preserve">TX2420398</t>
  </si>
  <si>
    <t xml:space="preserve">EXC-8325</t>
  </si>
  <si>
    <t xml:space="preserve">TX2412729</t>
  </si>
  <si>
    <t xml:space="preserve">EXC-8516</t>
  </si>
  <si>
    <t xml:space="preserve">TX2419784</t>
  </si>
  <si>
    <t xml:space="preserve">EXC-8166</t>
  </si>
  <si>
    <t xml:space="preserve">TX2406831</t>
  </si>
  <si>
    <t xml:space="preserve">EXC-8385</t>
  </si>
  <si>
    <t xml:space="preserve">TX2415500</t>
  </si>
  <si>
    <t xml:space="preserve">EXC-8562</t>
  </si>
  <si>
    <t xml:space="preserve">TX2421438</t>
  </si>
  <si>
    <t xml:space="preserve">EXC-8046</t>
  </si>
  <si>
    <t xml:space="preserve">TX2402100</t>
  </si>
  <si>
    <t xml:space="preserve">EXC-8549</t>
  </si>
  <si>
    <t xml:space="preserve">TX2420954</t>
  </si>
  <si>
    <t xml:space="preserve">EXC-8383</t>
  </si>
  <si>
    <t xml:space="preserve">TX2415461</t>
  </si>
  <si>
    <t xml:space="preserve">EXC-8415</t>
  </si>
  <si>
    <t xml:space="preserve">TX2416722</t>
  </si>
  <si>
    <t xml:space="preserve">EXC-8241</t>
  </si>
  <si>
    <t xml:space="preserve">TX2409597</t>
  </si>
  <si>
    <t xml:space="preserve">EXC-8597</t>
  </si>
  <si>
    <t xml:space="preserve">TX2422716</t>
  </si>
  <si>
    <t xml:space="preserve">EXC-8075</t>
  </si>
  <si>
    <t xml:space="preserve">TX2403463</t>
  </si>
  <si>
    <t xml:space="preserve">EXC-8428</t>
  </si>
  <si>
    <t xml:space="preserve">TX2417140</t>
  </si>
  <si>
    <t xml:space="preserve">EXC-8478</t>
  </si>
  <si>
    <t xml:space="preserve">TX2418954</t>
  </si>
  <si>
    <t xml:space="preserve">EXC-8237</t>
  </si>
  <si>
    <t xml:space="preserve">TX2409419</t>
  </si>
  <si>
    <t xml:space="preserve">EXC-8070</t>
  </si>
  <si>
    <t xml:space="preserve">TX2403258</t>
  </si>
  <si>
    <t xml:space="preserve">EXC-8366</t>
  </si>
  <si>
    <t xml:space="preserve">TX2414442</t>
  </si>
  <si>
    <t xml:space="preserve">EXC-8282</t>
  </si>
  <si>
    <t xml:space="preserve">TX2410802</t>
  </si>
  <si>
    <t xml:space="preserve">EXC-8040</t>
  </si>
  <si>
    <t xml:space="preserve">TX2401855</t>
  </si>
  <si>
    <t xml:space="preserve">EXC-8555</t>
  </si>
  <si>
    <t xml:space="preserve">TX2421255</t>
  </si>
  <si>
    <t xml:space="preserve">EXC-8300</t>
  </si>
  <si>
    <t xml:space="preserve">TX2411569</t>
  </si>
  <si>
    <t xml:space="preserve">EXC-8239</t>
  </si>
  <si>
    <t xml:space="preserve">TX2409526</t>
  </si>
  <si>
    <t xml:space="preserve">EXC-8382</t>
  </si>
  <si>
    <t xml:space="preserve">TX2415367</t>
  </si>
  <si>
    <t xml:space="preserve">EXC-8206</t>
  </si>
  <si>
    <t xml:space="preserve">TX2408186</t>
  </si>
  <si>
    <t xml:space="preserve">EXC-8355</t>
  </si>
  <si>
    <t xml:space="preserve">TX2413944</t>
  </si>
  <si>
    <t xml:space="preserve">EXC-8457</t>
  </si>
  <si>
    <t xml:space="preserve">TX2418177</t>
  </si>
  <si>
    <t xml:space="preserve">EXC-8181</t>
  </si>
  <si>
    <t xml:space="preserve">TX2407300</t>
  </si>
  <si>
    <t xml:space="preserve">EXC-8406</t>
  </si>
  <si>
    <t xml:space="preserve">TX2416286</t>
  </si>
  <si>
    <t xml:space="preserve">EXC-8426</t>
  </si>
  <si>
    <t xml:space="preserve">TX2417101</t>
  </si>
  <si>
    <t xml:space="preserve">EXC-8134</t>
  </si>
  <si>
    <t xml:space="preserve">TX2405581</t>
  </si>
  <si>
    <t xml:space="preserve">EXC-8657</t>
  </si>
  <si>
    <t xml:space="preserve">TX2425195</t>
  </si>
  <si>
    <t xml:space="preserve">EXC-8513</t>
  </si>
  <si>
    <t xml:space="preserve">TX2419744</t>
  </si>
  <si>
    <t xml:space="preserve">EXC-8143</t>
  </si>
  <si>
    <t xml:space="preserve">TX2405975</t>
  </si>
  <si>
    <t xml:space="preserve">EXC-8203</t>
  </si>
  <si>
    <t xml:space="preserve">TX2408092</t>
  </si>
  <si>
    <t xml:space="preserve">EXC-8200</t>
  </si>
  <si>
    <t xml:space="preserve">TX2407978</t>
  </si>
  <si>
    <t xml:space="preserve">EXC-8453</t>
  </si>
  <si>
    <t xml:space="preserve">TX2417968</t>
  </si>
  <si>
    <t xml:space="preserve">EXC-8423</t>
  </si>
  <si>
    <t xml:space="preserve">TX2417046</t>
  </si>
  <si>
    <t xml:space="preserve">EXC-8135</t>
  </si>
  <si>
    <t xml:space="preserve">TX2405587</t>
  </si>
  <si>
    <t xml:space="preserve">EXC-8326</t>
  </si>
  <si>
    <t xml:space="preserve">TX2412806</t>
  </si>
  <si>
    <t xml:space="preserve">EXC-8337</t>
  </si>
  <si>
    <t xml:space="preserve">TX2413218</t>
  </si>
  <si>
    <t xml:space="preserve">EXC-8164</t>
  </si>
  <si>
    <t xml:space="preserve">TX2406796</t>
  </si>
  <si>
    <t xml:space="preserve">EXC-8494</t>
  </si>
  <si>
    <t xml:space="preserve">TX2419197</t>
  </si>
  <si>
    <t xml:space="preserve">EXC-8016</t>
  </si>
  <si>
    <t xml:space="preserve">TX2400817</t>
  </si>
  <si>
    <t xml:space="preserve">EXC-8638</t>
  </si>
  <si>
    <t xml:space="preserve">TX2424276</t>
  </si>
  <si>
    <t xml:space="preserve">EXC-8133</t>
  </si>
  <si>
    <t xml:space="preserve">TX2405531</t>
  </si>
  <si>
    <t xml:space="preserve">EXC-8234</t>
  </si>
  <si>
    <t xml:space="preserve">TX2409217</t>
  </si>
  <si>
    <t xml:space="preserve">EXC-8464</t>
  </si>
  <si>
    <t xml:space="preserve">TX2418469</t>
  </si>
  <si>
    <t xml:space="preserve">EXC-8553</t>
  </si>
  <si>
    <t xml:space="preserve">TX2421147</t>
  </si>
  <si>
    <t xml:space="preserve">EXC-8264</t>
  </si>
  <si>
    <t xml:space="preserve">TX2410199</t>
  </si>
  <si>
    <t xml:space="preserve">EXC-8527</t>
  </si>
  <si>
    <t xml:space="preserve">TX2420021</t>
  </si>
  <si>
    <t xml:space="preserve">EXC-8505</t>
  </si>
  <si>
    <t xml:space="preserve">TX2419518</t>
  </si>
  <si>
    <t xml:space="preserve">EXC-8130</t>
  </si>
  <si>
    <t xml:space="preserve">TX2405419</t>
  </si>
  <si>
    <t xml:space="preserve">EXC-8010</t>
  </si>
  <si>
    <t xml:space="preserve">TX2400507</t>
  </si>
  <si>
    <t xml:space="preserve">EXC-8528</t>
  </si>
  <si>
    <t xml:space="preserve">TX2420028</t>
  </si>
  <si>
    <t xml:space="preserve">EXC-8566</t>
  </si>
  <si>
    <t xml:space="preserve">TX2421724</t>
  </si>
  <si>
    <t xml:space="preserve">EXC-8373</t>
  </si>
  <si>
    <t xml:space="preserve">TX2414713</t>
  </si>
  <si>
    <t xml:space="preserve">EXC-8531</t>
  </si>
  <si>
    <t xml:space="preserve">TX2420148</t>
  </si>
  <si>
    <t xml:space="preserve">EXC-8048</t>
  </si>
  <si>
    <t xml:space="preserve">TX2402215</t>
  </si>
  <si>
    <t xml:space="preserve">EXC-8507</t>
  </si>
  <si>
    <t xml:space="preserve">TX2419574</t>
  </si>
  <si>
    <t xml:space="preserve">EXC-8521</t>
  </si>
  <si>
    <t xml:space="preserve">TX2419881</t>
  </si>
  <si>
    <t xml:space="preserve">EXC-8275</t>
  </si>
  <si>
    <t xml:space="preserve">TX2410528</t>
  </si>
  <si>
    <t xml:space="preserve">EXC-8283</t>
  </si>
  <si>
    <t xml:space="preserve">TX2410841</t>
  </si>
  <si>
    <t xml:space="preserve">EXC-8313</t>
  </si>
  <si>
    <t xml:space="preserve">TX2412104</t>
  </si>
  <si>
    <t xml:space="preserve">EXC-8561</t>
  </si>
  <si>
    <t xml:space="preserve">TX2421400</t>
  </si>
  <si>
    <t xml:space="preserve">EXC-8498</t>
  </si>
  <si>
    <t xml:space="preserve">TX2419365</t>
  </si>
  <si>
    <t xml:space="preserve">EXC-8042</t>
  </si>
  <si>
    <t xml:space="preserve">TX2402016</t>
  </si>
  <si>
    <t xml:space="preserve">EXC-8551</t>
  </si>
  <si>
    <t xml:space="preserve">TX2421106</t>
  </si>
  <si>
    <t xml:space="preserve">EXC-8363</t>
  </si>
  <si>
    <t xml:space="preserve">TX2414284</t>
  </si>
  <si>
    <t xml:space="preserve">EXC-8087</t>
  </si>
  <si>
    <t xml:space="preserve">TX2403886</t>
  </si>
  <si>
    <t xml:space="preserve">EXC-8361</t>
  </si>
  <si>
    <t xml:space="preserve">TX2414242</t>
  </si>
  <si>
    <t xml:space="preserve">EXC-8554</t>
  </si>
  <si>
    <t xml:space="preserve">TX2421153</t>
  </si>
  <si>
    <t xml:space="preserve">EXC-8329</t>
  </si>
  <si>
    <t xml:space="preserve">TX2412883</t>
  </si>
  <si>
    <t xml:space="preserve">EXC-8321</t>
  </si>
  <si>
    <t xml:space="preserve">TX2412610</t>
  </si>
  <si>
    <t xml:space="preserve">EXC-8089</t>
  </si>
  <si>
    <t xml:space="preserve">TX2403917</t>
  </si>
  <si>
    <t xml:space="preserve">EXC-8039</t>
  </si>
  <si>
    <t xml:space="preserve">TX2401806</t>
  </si>
  <si>
    <t xml:space="preserve">EXC-8091</t>
  </si>
  <si>
    <t xml:space="preserve">TX2404057</t>
  </si>
  <si>
    <t xml:space="preserve">EXC-8323</t>
  </si>
  <si>
    <t xml:space="preserve">TX2412653</t>
  </si>
  <si>
    <t xml:space="preserve">EXC-8293</t>
  </si>
  <si>
    <t xml:space="preserve">TX2411179</t>
  </si>
  <si>
    <t xml:space="preserve">EXC-8078</t>
  </si>
  <si>
    <t xml:space="preserve">TX2403572</t>
  </si>
  <si>
    <t xml:space="preserve">EXC-8559</t>
  </si>
  <si>
    <t xml:space="preserve">TX2421380</t>
  </si>
  <si>
    <t xml:space="preserve">EXC-8079</t>
  </si>
  <si>
    <t xml:space="preserve">TX2403622</t>
  </si>
  <si>
    <t xml:space="preserve">EXC-8497</t>
  </si>
  <si>
    <t xml:space="preserve">TX2419265</t>
  </si>
  <si>
    <t xml:space="preserve">EXC-8290</t>
  </si>
  <si>
    <t xml:space="preserve">TX2411117</t>
  </si>
  <si>
    <t xml:space="preserve">EXC-8096</t>
  </si>
  <si>
    <t xml:space="preserve">TX2404497</t>
  </si>
  <si>
    <t xml:space="preserve">EXC-8220</t>
  </si>
  <si>
    <t xml:space="preserve">TX2408855</t>
  </si>
  <si>
    <t xml:space="preserve">EXC-8401</t>
  </si>
  <si>
    <t xml:space="preserve">TX2416145</t>
  </si>
  <si>
    <t xml:space="preserve">EXC-8620</t>
  </si>
  <si>
    <t xml:space="preserve">TX2423320</t>
  </si>
  <si>
    <t xml:space="preserve">EXC-8272</t>
  </si>
  <si>
    <t xml:space="preserve">TX2410438</t>
  </si>
  <si>
    <t xml:space="preserve">EXC-8627</t>
  </si>
  <si>
    <t xml:space="preserve">TX2423685</t>
  </si>
  <si>
    <t xml:space="preserve">EXC-8629</t>
  </si>
  <si>
    <t xml:space="preserve">TX2423832</t>
  </si>
  <si>
    <t xml:space="preserve">EXC-8459</t>
  </si>
  <si>
    <t xml:space="preserve">TX2418344</t>
  </si>
  <si>
    <t xml:space="preserve">EXC-8636</t>
  </si>
  <si>
    <t xml:space="preserve">TX2424059</t>
  </si>
  <si>
    <t xml:space="preserve">EXC-8189</t>
  </si>
  <si>
    <t xml:space="preserve">TX2407699</t>
  </si>
  <si>
    <t xml:space="preserve">EXC-8188</t>
  </si>
  <si>
    <t xml:space="preserve">TX2407599</t>
  </si>
  <si>
    <t xml:space="preserve">EXC-8185</t>
  </si>
  <si>
    <t xml:space="preserve">TX2407389</t>
  </si>
  <si>
    <t xml:space="preserve">EXC-8418</t>
  </si>
  <si>
    <t xml:space="preserve">TX2416838</t>
  </si>
  <si>
    <t xml:space="preserve">EXC-8480</t>
  </si>
  <si>
    <t xml:space="preserve">TX2418978</t>
  </si>
  <si>
    <t xml:space="preserve">EXC-8178</t>
  </si>
  <si>
    <t xml:space="preserve">TX2407177</t>
  </si>
  <si>
    <t xml:space="preserve">EXC-8421</t>
  </si>
  <si>
    <t xml:space="preserve">TX2416961</t>
  </si>
  <si>
    <t xml:space="preserve">EXC-8456</t>
  </si>
  <si>
    <t xml:space="preserve">TX2418165</t>
  </si>
  <si>
    <t xml:space="preserve">EXC-8012</t>
  </si>
  <si>
    <t xml:space="preserve">TX2400555</t>
  </si>
  <si>
    <t xml:space="preserve">EXC-8009</t>
  </si>
  <si>
    <t xml:space="preserve">TX2400465</t>
  </si>
  <si>
    <t xml:space="preserve">EXC-8061</t>
  </si>
  <si>
    <t xml:space="preserve">TX2402823</t>
  </si>
  <si>
    <t xml:space="preserve">EXC-8429</t>
  </si>
  <si>
    <t xml:space="preserve">TX2417145</t>
  </si>
  <si>
    <t xml:space="preserve">EXC-8430</t>
  </si>
  <si>
    <t xml:space="preserve">TX2417146</t>
  </si>
  <si>
    <t xml:space="preserve">EXC-8451</t>
  </si>
  <si>
    <t xml:space="preserve">TX2417909</t>
  </si>
  <si>
    <t xml:space="preserve">EXC-8449</t>
  </si>
  <si>
    <t xml:space="preserve">TX2417831</t>
  </si>
  <si>
    <t xml:space="preserve">EXC-8436</t>
  </si>
  <si>
    <t xml:space="preserve">TX2417360</t>
  </si>
  <si>
    <t xml:space="preserve">EXC-8669</t>
  </si>
  <si>
    <t xml:space="preserve">TX2425565</t>
  </si>
  <si>
    <t xml:space="preserve">EXC-8057</t>
  </si>
  <si>
    <t xml:space="preserve">TX2402716</t>
  </si>
  <si>
    <t xml:space="preserve">EXC-8171</t>
  </si>
  <si>
    <t xml:space="preserve">TX2406882</t>
  </si>
  <si>
    <t xml:space="preserve">EXC-8487</t>
  </si>
  <si>
    <t xml:space="preserve">TX2419062</t>
  </si>
  <si>
    <t xml:space="preserve">EXC-8215</t>
  </si>
  <si>
    <t xml:space="preserve">TX2408615</t>
  </si>
  <si>
    <t xml:space="preserve">EXC-8524</t>
  </si>
  <si>
    <t xml:space="preserve">TX2419989</t>
  </si>
  <si>
    <t xml:space="preserve">EXC-8249</t>
  </si>
  <si>
    <t xml:space="preserve">TX2409748</t>
  </si>
  <si>
    <t xml:space="preserve">EXC-8393</t>
  </si>
  <si>
    <t xml:space="preserve">TX2415866</t>
  </si>
  <si>
    <t xml:space="preserve">EXC-8381</t>
  </si>
  <si>
    <t xml:space="preserve">TX2415261</t>
  </si>
  <si>
    <t xml:space="preserve">EXC-8588</t>
  </si>
  <si>
    <t xml:space="preserve">TX2422444</t>
  </si>
  <si>
    <t xml:space="preserve">EXC-8595</t>
  </si>
  <si>
    <t xml:space="preserve">TX2422681</t>
  </si>
  <si>
    <t xml:space="preserve">EXC-8240</t>
  </si>
  <si>
    <t xml:space="preserve">TX2409529</t>
  </si>
  <si>
    <t xml:space="preserve">EXC-8496</t>
  </si>
  <si>
    <t xml:space="preserve">TX2419232</t>
  </si>
  <si>
    <t xml:space="preserve">EXC-8261</t>
  </si>
  <si>
    <t xml:space="preserve">TX2410117</t>
  </si>
  <si>
    <t xml:space="preserve">EXC-8578</t>
  </si>
  <si>
    <t xml:space="preserve">TX2421869</t>
  </si>
  <si>
    <t xml:space="preserve">EXC-8262</t>
  </si>
  <si>
    <t xml:space="preserve">TX2410151</t>
  </si>
  <si>
    <t xml:space="preserve">EXC-8391</t>
  </si>
  <si>
    <t xml:space="preserve">TX2415772</t>
  </si>
  <si>
    <t xml:space="preserve">EXC-8034</t>
  </si>
  <si>
    <t xml:space="preserve">TX2401633</t>
  </si>
  <si>
    <t xml:space="preserve">EXC-8115</t>
  </si>
  <si>
    <t xml:space="preserve">TX2404982</t>
  </si>
  <si>
    <t xml:space="preserve">EXC-8116</t>
  </si>
  <si>
    <t xml:space="preserve">TX2405026</t>
  </si>
  <si>
    <t xml:space="preserve">EXC-8488</t>
  </si>
  <si>
    <t xml:space="preserve">TX2419094</t>
  </si>
  <si>
    <t xml:space="preserve">EXC-8023</t>
  </si>
  <si>
    <t xml:space="preserve">TX2401328</t>
  </si>
  <si>
    <t xml:space="preserve">EXC-8227</t>
  </si>
  <si>
    <t xml:space="preserve">TX2409053</t>
  </si>
  <si>
    <t xml:space="preserve">EXC-8114</t>
  </si>
  <si>
    <t xml:space="preserve">TX2404951</t>
  </si>
  <si>
    <t xml:space="preserve">EXC-8110</t>
  </si>
  <si>
    <t xml:space="preserve">TX2404836</t>
  </si>
  <si>
    <t xml:space="preserve">EXC-8535</t>
  </si>
  <si>
    <t xml:space="preserve">TX2420344</t>
  </si>
  <si>
    <t xml:space="preserve">EXC-8433</t>
  </si>
  <si>
    <t xml:space="preserve">TX2417295</t>
  </si>
  <si>
    <t xml:space="preserve">EXC-8576</t>
  </si>
  <si>
    <t xml:space="preserve">TX2421857</t>
  </si>
  <si>
    <t xml:space="preserve">EXC-8270</t>
  </si>
  <si>
    <t xml:space="preserve">TX2410360</t>
  </si>
  <si>
    <t xml:space="preserve">EXC-8380</t>
  </si>
  <si>
    <t xml:space="preserve">TX2415066</t>
  </si>
  <si>
    <t xml:space="preserve">EXC-8107</t>
  </si>
  <si>
    <t xml:space="preserve">TX2404797</t>
  </si>
  <si>
    <t xml:space="preserve">EXC-8304</t>
  </si>
  <si>
    <t xml:space="preserve">TX2411726</t>
  </si>
  <si>
    <t xml:space="preserve">EXC-8642</t>
  </si>
  <si>
    <t xml:space="preserve">TX2424457</t>
  </si>
  <si>
    <t xml:space="preserve">EXC-8622</t>
  </si>
  <si>
    <t xml:space="preserve">TX2423477</t>
  </si>
  <si>
    <t xml:space="preserve">EXC-8204</t>
  </si>
  <si>
    <t xml:space="preserve">TX2408166</t>
  </si>
  <si>
    <t xml:space="preserve">EXC-8126</t>
  </si>
  <si>
    <t xml:space="preserve">TX2405281</t>
  </si>
  <si>
    <t xml:space="preserve">EXC-8172</t>
  </si>
  <si>
    <t xml:space="preserve">TX2406926</t>
  </si>
  <si>
    <t xml:space="preserve">EXC-8294</t>
  </si>
  <si>
    <t xml:space="preserve">TX2411218</t>
  </si>
  <si>
    <t xml:space="preserve">EXC-8196</t>
  </si>
  <si>
    <t xml:space="preserve">TX2407857</t>
  </si>
  <si>
    <t xml:space="preserve">EXC-8327</t>
  </si>
  <si>
    <t xml:space="preserve">TX2412819</t>
  </si>
  <si>
    <t xml:space="preserve">EXC-8635</t>
  </si>
  <si>
    <t xml:space="preserve">TX2424037</t>
  </si>
  <si>
    <t xml:space="preserve">EXC-8386</t>
  </si>
  <si>
    <t xml:space="preserve">TX2415568</t>
  </si>
  <si>
    <t xml:space="preserve">EXC-8369</t>
  </si>
  <si>
    <t xml:space="preserve">TX2414558</t>
  </si>
  <si>
    <t xml:space="preserve">EXC-8388</t>
  </si>
  <si>
    <t xml:space="preserve">TX2415731</t>
  </si>
  <si>
    <t xml:space="preserve">EXC-8509</t>
  </si>
  <si>
    <t xml:space="preserve">TX2419680</t>
  </si>
  <si>
    <t xml:space="preserve">EXC-8420</t>
  </si>
  <si>
    <t xml:space="preserve">TX2416959</t>
  </si>
  <si>
    <t xml:space="preserve">EXC-8053</t>
  </si>
  <si>
    <t xml:space="preserve">TX2402531</t>
  </si>
  <si>
    <t xml:space="preserve">EXC-8073</t>
  </si>
  <si>
    <t xml:space="preserve">TX2403390</t>
  </si>
  <si>
    <t xml:space="preserve">EXC-8471</t>
  </si>
  <si>
    <t xml:space="preserve">TX2418698</t>
  </si>
  <si>
    <t xml:space="preserve">EXC-8059</t>
  </si>
  <si>
    <t xml:space="preserve">TX2402770</t>
  </si>
  <si>
    <t xml:space="preserve">EXC-8120</t>
  </si>
  <si>
    <t xml:space="preserve">TX2405141</t>
  </si>
  <si>
    <t xml:space="preserve">EXC-8084</t>
  </si>
  <si>
    <t xml:space="preserve">TX2403773</t>
  </si>
  <si>
    <t xml:space="preserve">EXC-8246</t>
  </si>
  <si>
    <t xml:space="preserve">TX2409666</t>
  </si>
  <si>
    <t xml:space="preserve">EXC-8585</t>
  </si>
  <si>
    <t xml:space="preserve">TX2422388</t>
  </si>
  <si>
    <t xml:space="preserve">EXC-8569</t>
  </si>
  <si>
    <t xml:space="preserve">TX2421746</t>
  </si>
  <si>
    <t xml:space="preserve">EXC-8187</t>
  </si>
  <si>
    <t xml:space="preserve">TX2407486</t>
  </si>
  <si>
    <t xml:space="preserve">EXC-8571</t>
  </si>
  <si>
    <t xml:space="preserve">TX2421751</t>
  </si>
  <si>
    <t xml:space="preserve">EXC-8165</t>
  </si>
  <si>
    <t xml:space="preserve">TX2406827</t>
  </si>
  <si>
    <t xml:space="preserve">EXC-8616</t>
  </si>
  <si>
    <t xml:space="preserve">TX2423232</t>
  </si>
  <si>
    <t xml:space="preserve">EXC-8011</t>
  </si>
  <si>
    <t xml:space="preserve">TX2400511</t>
  </si>
  <si>
    <t xml:space="preserve">EXC-8155</t>
  </si>
  <si>
    <t xml:space="preserve">TX2406323</t>
  </si>
  <si>
    <t xml:space="preserve">EXC-8678</t>
  </si>
  <si>
    <t xml:space="preserve">TX2425939</t>
  </si>
  <si>
    <t xml:space="preserve">EXC-8152</t>
  </si>
  <si>
    <t xml:space="preserve">TX2406249</t>
  </si>
  <si>
    <t xml:space="preserve">EXC-8005</t>
  </si>
  <si>
    <t xml:space="preserve">TX2400243</t>
  </si>
  <si>
    <t xml:space="preserve">EXC-8003</t>
  </si>
  <si>
    <t xml:space="preserve">TX2400102</t>
  </si>
  <si>
    <t xml:space="preserve">EXC-8526</t>
  </si>
  <si>
    <t xml:space="preserve">TX2420005</t>
  </si>
  <si>
    <t xml:space="preserve">EXC-8345</t>
  </si>
  <si>
    <t xml:space="preserve">TX2413621</t>
  </si>
  <si>
    <t xml:space="preserve">EXC-8332</t>
  </si>
  <si>
    <t xml:space="preserve">TX2412957</t>
  </si>
  <si>
    <t xml:space="preserve">EXC-8280</t>
  </si>
  <si>
    <t xml:space="preserve">TX2410755</t>
  </si>
  <si>
    <t xml:space="preserve">EXC-8250</t>
  </si>
  <si>
    <t xml:space="preserve">TX2409800</t>
  </si>
  <si>
    <t xml:space="preserve">EXC-8493</t>
  </si>
  <si>
    <t xml:space="preserve">TX2419182</t>
  </si>
  <si>
    <t xml:space="preserve">EXC-8127</t>
  </si>
  <si>
    <t xml:space="preserve">TX2405332</t>
  </si>
  <si>
    <t xml:space="preserve">EXC-8020</t>
  </si>
  <si>
    <t xml:space="preserve">TX2401270</t>
  </si>
  <si>
    <t xml:space="preserve">EXC-8217</t>
  </si>
  <si>
    <t xml:space="preserve">TX2408776</t>
  </si>
  <si>
    <t xml:space="preserve">EXC-8214</t>
  </si>
  <si>
    <t xml:space="preserve">TX2408539</t>
  </si>
  <si>
    <t xml:space="preserve">EXC-8632</t>
  </si>
  <si>
    <t xml:space="preserve">TX2423946</t>
  </si>
  <si>
    <t xml:space="preserve">EXC-8193</t>
  </si>
  <si>
    <t xml:space="preserve">TX2407798</t>
  </si>
  <si>
    <t xml:space="preserve">EXC-8179</t>
  </si>
  <si>
    <t xml:space="preserve">TX2407180</t>
  </si>
  <si>
    <t xml:space="preserve">EXC-8659</t>
  </si>
  <si>
    <t xml:space="preserve">TX2425203</t>
  </si>
  <si>
    <t xml:space="preserve">EXC-8219</t>
  </si>
  <si>
    <t xml:space="preserve">TX2408813</t>
  </si>
  <si>
    <t xml:space="preserve">EXC-8105</t>
  </si>
  <si>
    <t xml:space="preserve">TX2404789</t>
  </si>
  <si>
    <t xml:space="preserve">EXC-8349</t>
  </si>
  <si>
    <t xml:space="preserve">TX2413784</t>
  </si>
  <si>
    <t xml:space="preserve">EXC-8289</t>
  </si>
  <si>
    <t xml:space="preserve">TX2411104</t>
  </si>
  <si>
    <t xml:space="preserve">EXC-8342</t>
  </si>
  <si>
    <t xml:space="preserve">TX2413568</t>
  </si>
  <si>
    <t xml:space="preserve">EXC-8557</t>
  </si>
  <si>
    <t xml:space="preserve">TX2421347</t>
  </si>
  <si>
    <t xml:space="preserve">EXC-8572</t>
  </si>
  <si>
    <t xml:space="preserve">TX2421786</t>
  </si>
  <si>
    <t xml:space="preserve">EXC-8379</t>
  </si>
  <si>
    <t xml:space="preserve">TX2415041</t>
  </si>
  <si>
    <t xml:space="preserve">EXC-8043</t>
  </si>
  <si>
    <t xml:space="preserve">TX2402065</t>
  </si>
  <si>
    <t xml:space="preserve">EXC-8064</t>
  </si>
  <si>
    <t xml:space="preserve">TX2402909</t>
  </si>
  <si>
    <t xml:space="preserve">EXC-8510</t>
  </si>
  <si>
    <t xml:space="preserve">TX2419685</t>
  </si>
  <si>
    <t xml:space="preserve">EXC-8129</t>
  </si>
  <si>
    <t xml:space="preserve">TX2405370</t>
  </si>
  <si>
    <t xml:space="preserve">EXC-8317</t>
  </si>
  <si>
    <t xml:space="preserve">TX2412354</t>
  </si>
  <si>
    <t xml:space="preserve">EXC-8256</t>
  </si>
  <si>
    <t xml:space="preserve">TX2410043</t>
  </si>
  <si>
    <t xml:space="preserve">EXC-8291</t>
  </si>
  <si>
    <t xml:space="preserve">TX2411137</t>
  </si>
  <si>
    <t xml:space="preserve">EXC-8514</t>
  </si>
  <si>
    <t xml:space="preserve">TX2419753</t>
  </si>
  <si>
    <t xml:space="preserve">EXC-8425</t>
  </si>
  <si>
    <t xml:space="preserve">TX2417082</t>
  </si>
  <si>
    <t xml:space="preserve">EXC-8532</t>
  </si>
  <si>
    <t xml:space="preserve">TX2420179</t>
  </si>
  <si>
    <t xml:space="preserve">EXC-8340</t>
  </si>
  <si>
    <t xml:space="preserve">TX2413461</t>
  </si>
  <si>
    <t xml:space="preserve">EXC-8136</t>
  </si>
  <si>
    <t xml:space="preserve">TX2405669</t>
  </si>
  <si>
    <t xml:space="preserve">EXC-8665</t>
  </si>
  <si>
    <t xml:space="preserve">TX2425475</t>
  </si>
  <si>
    <t xml:space="preserve">EXC-8131</t>
  </si>
  <si>
    <t xml:space="preserve">TX2405440</t>
  </si>
  <si>
    <t xml:space="preserve">EXC-8541</t>
  </si>
  <si>
    <t xml:space="preserve">TX2420612</t>
  </si>
  <si>
    <t xml:space="preserve">EXC-8631</t>
  </si>
  <si>
    <t xml:space="preserve">TX2423892</t>
  </si>
  <si>
    <t xml:space="preserve">EXC-8140</t>
  </si>
  <si>
    <t xml:space="preserve">TX2405815</t>
  </si>
  <si>
    <t xml:space="preserve">EXC-8390</t>
  </si>
  <si>
    <t xml:space="preserve">TX2415750</t>
  </si>
  <si>
    <t xml:space="preserve">EXC-8389</t>
  </si>
  <si>
    <t xml:space="preserve">TX2415735</t>
  </si>
  <si>
    <t xml:space="preserve">EXC-8248</t>
  </si>
  <si>
    <t xml:space="preserve">TX2409731</t>
  </si>
  <si>
    <t xml:space="preserve">EXC-8618</t>
  </si>
  <si>
    <t xml:space="preserve">TX2423295</t>
  </si>
  <si>
    <t xml:space="preserve">EXC-8106</t>
  </si>
  <si>
    <t xml:space="preserve">TX2404792</t>
  </si>
  <si>
    <t xml:space="preserve">EXC-8593</t>
  </si>
  <si>
    <t xml:space="preserve">TX2422530</t>
  </si>
  <si>
    <t xml:space="preserve">EXC-8004</t>
  </si>
  <si>
    <t xml:space="preserve">TX2400114</t>
  </si>
  <si>
    <t xml:space="preserve">EXC-8452</t>
  </si>
  <si>
    <t xml:space="preserve">TX2417924</t>
  </si>
  <si>
    <t xml:space="preserve">EXC-8006</t>
  </si>
  <si>
    <t xml:space="preserve">TX2400275</t>
  </si>
  <si>
    <t xml:space="preserve">EXC-8013</t>
  </si>
  <si>
    <t xml:space="preserve">TX2400566</t>
  </si>
  <si>
    <t xml:space="preserve">EXC-8519</t>
  </si>
  <si>
    <t xml:space="preserve">TX2419858</t>
  </si>
  <si>
    <t xml:space="preserve">EXC-8036</t>
  </si>
  <si>
    <t xml:space="preserve">TX2401671</t>
  </si>
  <si>
    <t xml:space="preserve">EXC-8658</t>
  </si>
  <si>
    <t xml:space="preserve">TX2425199</t>
  </si>
  <si>
    <t xml:space="preserve">EXC-8652</t>
  </si>
  <si>
    <t xml:space="preserve">TX2425003</t>
  </si>
  <si>
    <t xml:space="preserve">EXC-8594</t>
  </si>
  <si>
    <t xml:space="preserve">TX2422633</t>
  </si>
  <si>
    <t xml:space="preserve">EXC-8045</t>
  </si>
  <si>
    <t xml:space="preserve">TX2402096</t>
  </si>
  <si>
    <t xml:space="preserve">EXC-8677</t>
  </si>
  <si>
    <t xml:space="preserve">TX2425909</t>
  </si>
  <si>
    <t xml:space="preserve">EXC-8520</t>
  </si>
  <si>
    <t xml:space="preserve">TX2419872</t>
  </si>
  <si>
    <t xml:space="preserve">EXC-8502</t>
  </si>
  <si>
    <t xml:space="preserve">TX2419407</t>
  </si>
  <si>
    <t xml:space="preserve">EXC-8479</t>
  </si>
  <si>
    <t xml:space="preserve">TX2418969</t>
  </si>
  <si>
    <t xml:space="preserve">EXC-8640</t>
  </si>
  <si>
    <t xml:space="preserve">TX2424423</t>
  </si>
  <si>
    <t xml:space="preserve">EXC-8567</t>
  </si>
  <si>
    <t xml:space="preserve">TX2421734</t>
  </si>
  <si>
    <t xml:space="preserve">EXC-8614</t>
  </si>
  <si>
    <t xml:space="preserve">TX2423225</t>
  </si>
  <si>
    <t xml:space="preserve">EXC-8483</t>
  </si>
  <si>
    <t xml:space="preserve">TX2419025</t>
  </si>
  <si>
    <t xml:space="preserve">EXC-8621</t>
  </si>
  <si>
    <t xml:space="preserve">TX2423439</t>
  </si>
  <si>
    <t xml:space="preserve">EXC-8052</t>
  </si>
  <si>
    <t xml:space="preserve">TX2402430</t>
  </si>
  <si>
    <t xml:space="preserve">EXC-8469</t>
  </si>
  <si>
    <t xml:space="preserve">TX2418635</t>
  </si>
  <si>
    <t xml:space="preserve">EXC-8625</t>
  </si>
  <si>
    <t xml:space="preserve">TX2423607</t>
  </si>
  <si>
    <t xml:space="preserve">EXC-8486</t>
  </si>
  <si>
    <t xml:space="preserve">TX2419051</t>
  </si>
  <si>
    <t xml:space="preserve">EXC-8525</t>
  </si>
  <si>
    <t xml:space="preserve">TX2420001</t>
  </si>
  <si>
    <t xml:space="preserve">EXC-8018</t>
  </si>
  <si>
    <t xml:space="preserve">TX2401139</t>
  </si>
  <si>
    <t xml:space="preserve">EXC-8512</t>
  </si>
  <si>
    <t xml:space="preserve">TX2419725</t>
  </si>
  <si>
    <t xml:space="preserve">EXC-8044</t>
  </si>
  <si>
    <t xml:space="preserve">TX2402081</t>
  </si>
  <si>
    <t xml:space="preserve">EXC-8611</t>
  </si>
  <si>
    <t xml:space="preserve">TX2423149</t>
  </si>
  <si>
    <t xml:space="preserve">EXC-8024</t>
  </si>
  <si>
    <t xml:space="preserve">TX2401365</t>
  </si>
  <si>
    <t xml:space="preserve">EXC-8604</t>
  </si>
  <si>
    <t xml:space="preserve">TX2422931</t>
  </si>
  <si>
    <t xml:space="preserve">EXC-8641</t>
  </si>
  <si>
    <t xml:space="preserve">TX2424449</t>
  </si>
  <si>
    <t xml:space="preserve">EXC-8644</t>
  </si>
  <si>
    <t xml:space="preserve">TX2424492</t>
  </si>
  <si>
    <t xml:space="preserve">EXC-8409</t>
  </si>
  <si>
    <t xml:space="preserve">TX2416513</t>
  </si>
  <si>
    <t xml:space="preserve">EXC-8265</t>
  </si>
  <si>
    <t xml:space="preserve">TX2410202</t>
  </si>
  <si>
    <t xml:space="preserve">EXC-8177</t>
  </si>
  <si>
    <t xml:space="preserve">TX2407176</t>
  </si>
  <si>
    <t xml:space="preserve">EXC-8438</t>
  </si>
  <si>
    <t xml:space="preserve">TX2417385</t>
  </si>
  <si>
    <t xml:space="preserve">EXC-8168</t>
  </si>
  <si>
    <t xml:space="preserve">TX2406868</t>
  </si>
  <si>
    <t xml:space="preserve">EXC-8299</t>
  </si>
  <si>
    <t xml:space="preserve">TX2411519</t>
  </si>
  <si>
    <t xml:space="preserve">EXC-8301</t>
  </si>
  <si>
    <t xml:space="preserve">TX2411621</t>
  </si>
  <si>
    <t xml:space="preserve">EXC-8213</t>
  </si>
  <si>
    <t xml:space="preserve">TX2408459</t>
  </si>
  <si>
    <t xml:space="preserve">EXC-8394</t>
  </si>
  <si>
    <t xml:space="preserve">TX2415938</t>
  </si>
  <si>
    <t xml:space="preserve">EXC-8067</t>
  </si>
  <si>
    <t xml:space="preserve">TX2402999</t>
  </si>
  <si>
    <t xml:space="preserve">EXC-8157</t>
  </si>
  <si>
    <t xml:space="preserve">TX2406427</t>
  </si>
  <si>
    <t xml:space="preserve">EXC-8160</t>
  </si>
  <si>
    <t xml:space="preserve">TX2406607</t>
  </si>
  <si>
    <t xml:space="preserve">EXC-8377</t>
  </si>
  <si>
    <t xml:space="preserve">TX2414817</t>
  </si>
  <si>
    <t xml:space="preserve">EXC-8192</t>
  </si>
  <si>
    <t xml:space="preserve">TX2407788</t>
  </si>
  <si>
    <t xml:space="preserve">EXC-8068</t>
  </si>
  <si>
    <t xml:space="preserve">TX2403009</t>
  </si>
  <si>
    <t xml:space="preserve">EXC-8310</t>
  </si>
  <si>
    <t xml:space="preserve">TX2411971</t>
  </si>
  <si>
    <t xml:space="preserve">EXC-8162</t>
  </si>
  <si>
    <t xml:space="preserve">TX2406733</t>
  </si>
  <si>
    <t xml:space="preserve">EXC-8314</t>
  </si>
  <si>
    <t xml:space="preserve">TX2412124</t>
  </si>
  <si>
    <t xml:space="preserve">EXC-8132</t>
  </si>
  <si>
    <t xml:space="preserve">TX2405452</t>
  </si>
  <si>
    <t xml:space="preserve">EXC-8360</t>
  </si>
  <si>
    <t xml:space="preserve">TX2414203</t>
  </si>
  <si>
    <t xml:space="preserve">EXC-8082</t>
  </si>
  <si>
    <t xml:space="preserve">TX2403739</t>
  </si>
  <si>
    <t xml:space="preserve">EXC-8081</t>
  </si>
  <si>
    <t xml:space="preserve">TX2403659</t>
  </si>
  <si>
    <t xml:space="preserve">EXC-8319</t>
  </si>
  <si>
    <t xml:space="preserve">TX2412491</t>
  </si>
  <si>
    <t xml:space="preserve">EXC-8077</t>
  </si>
  <si>
    <t xml:space="preserve">TX2403515</t>
  </si>
  <si>
    <t xml:space="preserve">EXC-8346</t>
  </si>
  <si>
    <t xml:space="preserve">TX2413640</t>
  </si>
  <si>
    <t xml:space="preserve">EXC-8244</t>
  </si>
  <si>
    <t xml:space="preserve">TX2409644</t>
  </si>
  <si>
    <t xml:space="preserve">EXC-8184</t>
  </si>
  <si>
    <t xml:space="preserve">TX2407369</t>
  </si>
  <si>
    <t xml:space="preserve">EXC-8402</t>
  </si>
  <si>
    <t xml:space="preserve">TX2416165</t>
  </si>
  <si>
    <t xml:space="preserve">EXC-8154</t>
  </si>
  <si>
    <t xml:space="preserve">TX2406320</t>
  </si>
  <si>
    <t xml:space="preserve">EXC-8273</t>
  </si>
  <si>
    <t xml:space="preserve">TX2410460</t>
  </si>
  <si>
    <t xml:space="preserve">EXC-8263</t>
  </si>
  <si>
    <t xml:space="preserve">TX2410175</t>
  </si>
  <si>
    <t xml:space="preserve">EXC-8099</t>
  </si>
  <si>
    <t xml:space="preserve">TX2404587</t>
  </si>
  <si>
    <t xml:space="preserve">EXC-8098</t>
  </si>
  <si>
    <t xml:space="preserve">TX2404574</t>
  </si>
  <si>
    <t xml:space="preserve">EXC-8274</t>
  </si>
  <si>
    <t xml:space="preserve">TX2410500</t>
  </si>
  <si>
    <t xml:space="preserve">EXC-8063</t>
  </si>
  <si>
    <t xml:space="preserve">TX2402874</t>
  </si>
  <si>
    <t xml:space="preserve">EXC-8224</t>
  </si>
  <si>
    <t xml:space="preserve">TX2408988</t>
  </si>
  <si>
    <t xml:space="preserve">EXC-8412</t>
  </si>
  <si>
    <t xml:space="preserve">TX2416648</t>
  </si>
  <si>
    <t xml:space="preserve">EXC-8410</t>
  </si>
  <si>
    <t xml:space="preserve">TX2416534</t>
  </si>
  <si>
    <t xml:space="preserve">EXC-8338</t>
  </si>
  <si>
    <t xml:space="preserve">TX2413276</t>
  </si>
  <si>
    <t xml:space="preserve">EXC-8094</t>
  </si>
  <si>
    <t xml:space="preserve">TX2404339</t>
  </si>
  <si>
    <t xml:space="preserve">EXC-8183</t>
  </si>
  <si>
    <t xml:space="preserve">TX2407350</t>
  </si>
  <si>
    <t xml:space="preserve">EXC-8341</t>
  </si>
  <si>
    <t xml:space="preserve">TX2413507</t>
  </si>
  <si>
    <t xml:space="preserve">EXC-8347</t>
  </si>
  <si>
    <t xml:space="preserve">TX2413696</t>
  </si>
  <si>
    <t xml:space="preserve">EXC-8218</t>
  </si>
  <si>
    <t xml:space="preserve">TX2408779</t>
  </si>
  <si>
    <t xml:space="preserve">EXC-8448</t>
  </si>
  <si>
    <t xml:space="preserve">TX2417816</t>
  </si>
  <si>
    <t xml:space="preserve">EXC-8362</t>
  </si>
  <si>
    <t xml:space="preserve">TX2414262</t>
  </si>
  <si>
    <t xml:space="preserve">EXC-8450</t>
  </si>
  <si>
    <t xml:space="preserve">TX2417867</t>
  </si>
  <si>
    <t xml:space="preserve">EXC-8083</t>
  </si>
  <si>
    <t xml:space="preserve">TX2403746</t>
  </si>
  <si>
    <t xml:space="preserve">EXC-8026</t>
  </si>
  <si>
    <t xml:space="preserve">TX2401382</t>
  </si>
  <si>
    <t xml:space="preserve">EXC-8161</t>
  </si>
  <si>
    <t xml:space="preserve">TX2406651</t>
  </si>
  <si>
    <t xml:space="preserve">EXC-8503</t>
  </si>
  <si>
    <t xml:space="preserve">TX2419473</t>
  </si>
  <si>
    <t xml:space="preserve">EXC-8374</t>
  </si>
  <si>
    <t xml:space="preserve">TX2414773</t>
  </si>
  <si>
    <t xml:space="preserve">EXC-8473</t>
  </si>
  <si>
    <t xml:space="preserve">TX2418791</t>
  </si>
  <si>
    <t xml:space="preserve">EXC-8654</t>
  </si>
  <si>
    <t xml:space="preserve">TX2425123</t>
  </si>
  <si>
    <t xml:space="preserve">EXC-8422</t>
  </si>
  <si>
    <t xml:space="preserve">TX2417041</t>
  </si>
  <si>
    <t xml:space="preserve">EXC-8146</t>
  </si>
  <si>
    <t xml:space="preserve">TX2406037</t>
  </si>
  <si>
    <t xml:space="preserve">EXC-8151</t>
  </si>
  <si>
    <t xml:space="preserve">TX2406236</t>
  </si>
  <si>
    <t xml:space="preserve">EXC-8558</t>
  </si>
  <si>
    <t xml:space="preserve">TX2421376</t>
  </si>
  <si>
    <t xml:space="preserve">EXC-8637</t>
  </si>
  <si>
    <t xml:space="preserve">TX2424086</t>
  </si>
  <si>
    <t xml:space="preserve">EXC-8492</t>
  </si>
  <si>
    <t xml:space="preserve">TX2419175</t>
  </si>
  <si>
    <t xml:space="preserve">EXC-8467</t>
  </si>
  <si>
    <t xml:space="preserve">TX2418616</t>
  </si>
  <si>
    <t xml:space="preserve">EXC-8278</t>
  </si>
  <si>
    <t xml:space="preserve">TX2410620</t>
  </si>
  <si>
    <t xml:space="preserve">EXC-8088</t>
  </si>
  <si>
    <t xml:space="preserve">TX2403893</t>
  </si>
  <si>
    <t xml:space="preserve">EXC-8515</t>
  </si>
  <si>
    <t xml:space="preserve">TX2419773</t>
  </si>
  <si>
    <t xml:space="preserve">EXC-8147</t>
  </si>
  <si>
    <t xml:space="preserve">TX2406054</t>
  </si>
  <si>
    <t xml:space="preserve">EXC-8447</t>
  </si>
  <si>
    <t xml:space="preserve">TX2417735</t>
  </si>
  <si>
    <t xml:space="preserve">EXC-8612</t>
  </si>
  <si>
    <t xml:space="preserve">TX2423166</t>
  </si>
  <si>
    <t xml:space="preserve">EXC-8461</t>
  </si>
  <si>
    <t xml:space="preserve">TX2418406</t>
  </si>
  <si>
    <t xml:space="preserve">EXC-8125</t>
  </si>
  <si>
    <t xml:space="preserve">TX2405260</t>
  </si>
  <si>
    <t xml:space="preserve">EXC-8443</t>
  </si>
  <si>
    <t xml:space="preserve">TX2417644</t>
  </si>
  <si>
    <t xml:space="preserve">EXC-8533</t>
  </si>
  <si>
    <t xml:space="preserve">TX2420227</t>
  </si>
  <si>
    <t xml:space="preserve">EXC-8523</t>
  </si>
  <si>
    <t xml:space="preserve">TX2419988</t>
  </si>
  <si>
    <t xml:space="preserve">EXC-8645</t>
  </si>
  <si>
    <t xml:space="preserve">TX2424533</t>
  </si>
  <si>
    <t xml:space="preserve">EXC-8231</t>
  </si>
  <si>
    <t xml:space="preserve">TX2409119</t>
  </si>
  <si>
    <t xml:space="preserve">EXC-8586</t>
  </si>
  <si>
    <t xml:space="preserve">TX2422434</t>
  </si>
  <si>
    <t xml:space="preserve">EXC-8245</t>
  </si>
  <si>
    <t xml:space="preserve">TX2409651</t>
  </si>
  <si>
    <t xml:space="preserve">EXC-8489</t>
  </si>
  <si>
    <t xml:space="preserve">TX2419105</t>
  </si>
  <si>
    <t xml:space="preserve">EXC-8311</t>
  </si>
  <si>
    <t xml:space="preserve">TX2411991</t>
  </si>
  <si>
    <t xml:space="preserve">EXC-8306</t>
  </si>
  <si>
    <t xml:space="preserve">TX2411806</t>
  </si>
  <si>
    <t xml:space="preserve">EXC-8030</t>
  </si>
  <si>
    <t xml:space="preserve">TX2401449</t>
  </si>
  <si>
    <t xml:space="preserve">EXC-8589</t>
  </si>
  <si>
    <t xml:space="preserve">TX2422448</t>
  </si>
  <si>
    <t xml:space="preserve">EXC-8378</t>
  </si>
  <si>
    <t xml:space="preserve">TX2414975</t>
  </si>
  <si>
    <t xml:space="preserve">EXC-8100</t>
  </si>
  <si>
    <t xml:space="preserve">TX2404588</t>
  </si>
  <si>
    <t xml:space="preserve">EXC-8104</t>
  </si>
  <si>
    <t xml:space="preserve">TX2404694</t>
  </si>
  <si>
    <t xml:space="preserve">EXC-8080</t>
  </si>
  <si>
    <t xml:space="preserve">TX2403625</t>
  </si>
  <si>
    <t xml:space="preserve">EXC-8328</t>
  </si>
  <si>
    <t xml:space="preserve">TX2412852</t>
  </si>
  <si>
    <t xml:space="preserve">EXC-8537</t>
  </si>
  <si>
    <t xml:space="preserve">TX2420372</t>
  </si>
  <si>
    <t xml:space="preserve">EXC-8032</t>
  </si>
  <si>
    <t xml:space="preserve">TX2401574</t>
  </si>
  <si>
    <t xml:space="preserve">EXC-8180</t>
  </si>
  <si>
    <t xml:space="preserve">TX2407290</t>
  </si>
  <si>
    <t xml:space="preserve">EXC-8170</t>
  </si>
  <si>
    <t xml:space="preserve">TX2406875</t>
  </si>
  <si>
    <t xml:space="preserve">EXC-8364</t>
  </si>
  <si>
    <t xml:space="preserve">TX2414309</t>
  </si>
  <si>
    <t xml:space="preserve">EXC-8370</t>
  </si>
  <si>
    <t xml:space="preserve">TX2414570</t>
  </si>
  <si>
    <t xml:space="preserve">EXC-8662</t>
  </si>
  <si>
    <t xml:space="preserve">TX2425321</t>
  </si>
  <si>
    <t xml:space="preserve">EXC-8153</t>
  </si>
  <si>
    <t xml:space="preserve">TX2406253</t>
  </si>
  <si>
    <t xml:space="preserve">EXC-8128</t>
  </si>
  <si>
    <t xml:space="preserve">TX2405359</t>
  </si>
  <si>
    <t xml:space="preserve">EXC-8490</t>
  </si>
  <si>
    <t xml:space="preserve">TX2419107</t>
  </si>
  <si>
    <t xml:space="preserve">EXC-8387</t>
  </si>
  <si>
    <t xml:space="preserve">TX2415600</t>
  </si>
  <si>
    <t xml:space="preserve">EXC-8113</t>
  </si>
  <si>
    <t xml:space="preserve">TX2404943</t>
  </si>
  <si>
    <t xml:space="preserve">EXC-8504</t>
  </si>
  <si>
    <t xml:space="preserve">TX2419497</t>
  </si>
  <si>
    <t xml:space="preserve">EXC-8408</t>
  </si>
  <si>
    <t xml:space="preserve">TX2416416</t>
  </si>
  <si>
    <t xml:space="preserve">EXC-8336</t>
  </si>
  <si>
    <t xml:space="preserve">TX2413194</t>
  </si>
  <si>
    <t xml:space="preserve">EXC-8201</t>
  </si>
  <si>
    <t xml:space="preserve">TX2407989</t>
  </si>
  <si>
    <t xml:space="preserve">EXC-8400</t>
  </si>
  <si>
    <t xml:space="preserve">TX2416127</t>
  </si>
  <si>
    <t xml:space="preserve">EXC-8145</t>
  </si>
  <si>
    <t xml:space="preserve">TX2406020</t>
  </si>
  <si>
    <t xml:space="preserve">EXC-8675</t>
  </si>
  <si>
    <t xml:space="preserve">TX2425715</t>
  </si>
  <si>
    <t xml:space="preserve">EXC-8353</t>
  </si>
  <si>
    <t xml:space="preserve">TX2413903</t>
  </si>
  <si>
    <t xml:space="preserve">EXC-8348</t>
  </si>
  <si>
    <t xml:space="preserve">TX2413736</t>
  </si>
  <si>
    <t xml:space="preserve">EXC-8141</t>
  </si>
  <si>
    <t xml:space="preserve">TX2405824</t>
  </si>
  <si>
    <t xml:space="preserve">EXC-8671</t>
  </si>
  <si>
    <t xml:space="preserve">TX2425610</t>
  </si>
  <si>
    <t xml:space="preserve">EXC-8022</t>
  </si>
  <si>
    <t xml:space="preserve">TX2401326</t>
  </si>
  <si>
    <t xml:space="preserve">EXC-8138</t>
  </si>
  <si>
    <t xml:space="preserve">TX2405769</t>
  </si>
  <si>
    <t xml:space="preserve">EXC-8284</t>
  </si>
  <si>
    <t xml:space="preserve">TX2410847</t>
  </si>
  <si>
    <t xml:space="preserve">EXC-8574</t>
  </si>
  <si>
    <t xml:space="preserve">TX2421831</t>
  </si>
  <si>
    <t xml:space="preserve">EXC-8060</t>
  </si>
  <si>
    <t xml:space="preserve">TX2402817</t>
  </si>
  <si>
    <t xml:space="preserve">EXC-8577</t>
  </si>
  <si>
    <t xml:space="preserve">TX2421858</t>
  </si>
  <si>
    <t xml:space="preserve">EXC-8668</t>
  </si>
  <si>
    <t xml:space="preserve">TX2425562</t>
  </si>
  <si>
    <t xml:space="preserve">EXC-8435</t>
  </si>
  <si>
    <t xml:space="preserve">TX2417318</t>
  </si>
  <si>
    <t xml:space="preserve">EXC-8529</t>
  </si>
  <si>
    <t xml:space="preserve">TX2420122</t>
  </si>
  <si>
    <t xml:space="preserve">EXC-8295</t>
  </si>
  <si>
    <t xml:space="preserve">TX2411242</t>
  </si>
  <si>
    <t xml:space="preserve">EXC-8302</t>
  </si>
  <si>
    <t xml:space="preserve">TX2411648</t>
  </si>
  <si>
    <t xml:space="preserve">EXC-8343</t>
  </si>
  <si>
    <t xml:space="preserve">TX2413603</t>
  </si>
  <si>
    <t xml:space="preserve">EXC-8312</t>
  </si>
  <si>
    <t xml:space="preserve">TX2411993</t>
  </si>
  <si>
    <t xml:space="preserve">EXC-8163</t>
  </si>
  <si>
    <t xml:space="preserve">TX2406781</t>
  </si>
  <si>
    <t xml:space="preserve">EXC-8536</t>
  </si>
  <si>
    <t xml:space="preserve">TX2420355</t>
  </si>
  <si>
    <t xml:space="preserve">EXC-8350</t>
  </si>
  <si>
    <t xml:space="preserve">TX2413785</t>
  </si>
  <si>
    <t xml:space="preserve">EXC-8356</t>
  </si>
  <si>
    <t xml:space="preserve">TX2413959</t>
  </si>
  <si>
    <t xml:space="preserve">EXC-8517</t>
  </si>
  <si>
    <t xml:space="preserve">TX2419807</t>
  </si>
  <si>
    <t xml:space="preserve">EXC-8518</t>
  </si>
  <si>
    <t xml:space="preserve">TX2419834</t>
  </si>
  <si>
    <t xml:space="preserve">EXC-8605</t>
  </si>
  <si>
    <t xml:space="preserve">TX2422934</t>
  </si>
  <si>
    <t xml:space="preserve">EXC-8121</t>
  </si>
  <si>
    <t xml:space="preserve">TX2405161</t>
  </si>
  <si>
    <t xml:space="preserve">EXC-8617</t>
  </si>
  <si>
    <t xml:space="preserve">TX2423241</t>
  </si>
  <si>
    <t xml:space="preserve">EXC-8259</t>
  </si>
  <si>
    <t xml:space="preserve">TX2410091</t>
  </si>
  <si>
    <t xml:space="preserve">EXC-8223</t>
  </si>
  <si>
    <t xml:space="preserve">TX2408960</t>
  </si>
  <si>
    <t xml:space="preserve">EXC-8028</t>
  </si>
  <si>
    <t xml:space="preserve">TX2401432</t>
  </si>
  <si>
    <t xml:space="preserve">EXC-8243</t>
  </si>
  <si>
    <t xml:space="preserve">TX2409629</t>
  </si>
  <si>
    <t xml:space="preserve">EXC-8598</t>
  </si>
  <si>
    <t xml:space="preserve">TX2422721</t>
  </si>
  <si>
    <t xml:space="preserve">EXC-8600</t>
  </si>
  <si>
    <t xml:space="preserve">TX2422753</t>
  </si>
  <si>
    <t xml:space="preserve">EXC-8029</t>
  </si>
  <si>
    <t xml:space="preserve">TX2401436</t>
  </si>
  <si>
    <t xml:space="preserve">EXC-8195</t>
  </si>
  <si>
    <t xml:space="preserve">TX2407849</t>
  </si>
  <si>
    <t xml:space="preserve">EXC-8017</t>
  </si>
  <si>
    <t xml:space="preserve">TX2400982</t>
  </si>
  <si>
    <t xml:space="preserve">EXC-8607</t>
  </si>
  <si>
    <t xml:space="preserve">TX2423003</t>
  </si>
  <si>
    <t xml:space="preserve">EXC-8334</t>
  </si>
  <si>
    <t xml:space="preserve">TX2413128</t>
  </si>
  <si>
    <t xml:space="preserve">EXC-8212</t>
  </si>
  <si>
    <t xml:space="preserve">TX2408435</t>
  </si>
  <si>
    <t xml:space="preserve">EXC-8579</t>
  </si>
  <si>
    <t xml:space="preserve">TX2421991</t>
  </si>
  <si>
    <t xml:space="preserve">EXC-8485</t>
  </si>
  <si>
    <t xml:space="preserve">TX2419043</t>
  </si>
  <si>
    <t xml:space="preserve">EXC-8481</t>
  </si>
  <si>
    <t xml:space="preserve">TX2418993</t>
  </si>
  <si>
    <t xml:space="preserve">EXC-8664</t>
  </si>
  <si>
    <t xml:space="preserve">TX2425427</t>
  </si>
  <si>
    <t xml:space="preserve">EXC-8137</t>
  </si>
  <si>
    <t xml:space="preserve">TX2405719</t>
  </si>
  <si>
    <t xml:space="preserve">EXC-8475</t>
  </si>
  <si>
    <t xml:space="preserve">TX2418859</t>
  </si>
  <si>
    <t xml:space="preserve">EXC-8474</t>
  </si>
  <si>
    <t xml:space="preserve">TX2418823</t>
  </si>
  <si>
    <t xml:space="preserve">EXC-8472</t>
  </si>
  <si>
    <t xml:space="preserve">TX2418699</t>
  </si>
  <si>
    <t xml:space="preserve">EXC-8670</t>
  </si>
  <si>
    <t xml:space="preserve">TX2425566</t>
  </si>
  <si>
    <t xml:space="preserve">EXC-8465</t>
  </si>
  <si>
    <t xml:space="preserve">TX2418492</t>
  </si>
  <si>
    <t xml:space="preserve">EXC-8462</t>
  </si>
  <si>
    <t xml:space="preserve">TX2418455</t>
  </si>
  <si>
    <t xml:space="preserve">EXC-8673</t>
  </si>
  <si>
    <t xml:space="preserve">TX2425692</t>
  </si>
  <si>
    <t xml:space="preserve">EXC-8142</t>
  </si>
  <si>
    <t xml:space="preserve">TX2405825</t>
  </si>
  <si>
    <t xml:space="preserve">EXC-8432</t>
  </si>
  <si>
    <t xml:space="preserve">TX2417181</t>
  </si>
  <si>
    <t xml:space="preserve">EXC-8446</t>
  </si>
  <si>
    <t xml:space="preserve">TX2417734</t>
  </si>
  <si>
    <t xml:space="preserve">EXC-8444</t>
  </si>
  <si>
    <t xml:space="preserve">TX2417655</t>
  </si>
  <si>
    <t xml:space="preserve">EXC-8033</t>
  </si>
  <si>
    <t xml:space="preserve">TX2401623</t>
  </si>
  <si>
    <t xml:space="preserve">EXC-8500</t>
  </si>
  <si>
    <t xml:space="preserve">TX2419368</t>
  </si>
  <si>
    <t xml:space="preserve">EXC-8384</t>
  </si>
  <si>
    <t xml:space="preserve">TX2415490</t>
  </si>
  <si>
    <t xml:space="preserve">EXC-8069</t>
  </si>
  <si>
    <t xml:space="preserve">TX2403089</t>
  </si>
  <si>
    <t xml:space="preserve">EXC-8277</t>
  </si>
  <si>
    <t xml:space="preserve">TX2410581</t>
  </si>
  <si>
    <t xml:space="preserve">EXC-8169</t>
  </si>
  <si>
    <t xml:space="preserve">TX2406871</t>
  </si>
  <si>
    <t xml:space="preserve">EXC-8564</t>
  </si>
  <si>
    <t xml:space="preserve">TX2421474</t>
  </si>
  <si>
    <t xml:space="preserve">EXC-8286</t>
  </si>
  <si>
    <t xml:space="preserve">TX2410921</t>
  </si>
  <si>
    <t xml:space="preserve">EXC-8288</t>
  </si>
  <si>
    <t xml:space="preserve">TX2411063</t>
  </si>
  <si>
    <t xml:space="preserve">EXC-8375</t>
  </si>
  <si>
    <t xml:space="preserve">TX2414798</t>
  </si>
  <si>
    <t xml:space="preserve">EXC-8547</t>
  </si>
  <si>
    <t xml:space="preserve">TX2420806</t>
  </si>
  <si>
    <t xml:space="preserve">EXC-8092</t>
  </si>
  <si>
    <t xml:space="preserve">TX2404097</t>
  </si>
  <si>
    <t xml:space="preserve">EXC-8544</t>
  </si>
  <si>
    <t xml:space="preserve">TX2420734</t>
  </si>
  <si>
    <t xml:space="preserve">EXC-8534</t>
  </si>
  <si>
    <t xml:space="preserve">TX2420319</t>
  </si>
  <si>
    <t xml:space="preserve">EXC-8358</t>
  </si>
  <si>
    <t xml:space="preserve">TX2414106</t>
  </si>
  <si>
    <t xml:space="preserve">EXC-8365</t>
  </si>
  <si>
    <t xml:space="preserve">TX2414421</t>
  </si>
  <si>
    <t xml:space="preserve">EXC-8651</t>
  </si>
  <si>
    <t xml:space="preserve">TX2424931</t>
  </si>
  <si>
    <t xml:space="preserve">EXC-8371</t>
  </si>
  <si>
    <t xml:space="preserve">TX2414648</t>
  </si>
  <si>
    <t xml:space="preserve">EXC-8649</t>
  </si>
  <si>
    <t xml:space="preserve">TX2424727</t>
  </si>
  <si>
    <t xml:space="preserve">EXC-8205</t>
  </si>
  <si>
    <t xml:space="preserve">TX2408184</t>
  </si>
  <si>
    <t xml:space="preserve">EXC-8001</t>
  </si>
  <si>
    <t xml:space="preserve">TX2400018</t>
  </si>
  <si>
    <t xml:space="preserve">EXC-8174</t>
  </si>
  <si>
    <t xml:space="preserve">TX2406994</t>
  </si>
  <si>
    <t xml:space="preserve">EXC-8442</t>
  </si>
  <si>
    <t xml:space="preserve">TX2417631</t>
  </si>
  <si>
    <t xml:space="preserve">EXC-8560</t>
  </si>
  <si>
    <t xml:space="preserve">TX2421392</t>
  </si>
  <si>
    <t xml:space="preserve">EXC-8399</t>
  </si>
  <si>
    <t xml:space="preserve">TX2416092</t>
  </si>
  <si>
    <t xml:space="preserve">EXC-8508</t>
  </si>
  <si>
    <t xml:space="preserve">TX2419582</t>
  </si>
  <si>
    <t xml:space="preserve">EXC-8095</t>
  </si>
  <si>
    <t xml:space="preserve">TX2404381</t>
  </si>
  <si>
    <t xml:space="preserve">EXC-8269</t>
  </si>
  <si>
    <t xml:space="preserve">TX2410340</t>
  </si>
  <si>
    <t xml:space="preserve">EXC-8395</t>
  </si>
  <si>
    <t xml:space="preserve">TX2415990</t>
  </si>
  <si>
    <t xml:space="preserve">EXC-8051</t>
  </si>
  <si>
    <t xml:space="preserve">TX2402410</t>
  </si>
  <si>
    <t xml:space="preserve">EXC-8398</t>
  </si>
  <si>
    <t xml:space="preserve">TX2416071</t>
  </si>
  <si>
    <t xml:space="preserve">EXC-8037</t>
  </si>
  <si>
    <t xml:space="preserve">TX2401701</t>
  </si>
  <si>
    <t xml:space="preserve">EXC-8229</t>
  </si>
  <si>
    <t xml:space="preserve">TX2409072</t>
  </si>
  <si>
    <t xml:space="preserve">EXC-8623</t>
  </si>
  <si>
    <t xml:space="preserve">TX2423479</t>
  </si>
  <si>
    <t xml:space="preserve">EXC-8466</t>
  </si>
  <si>
    <t xml:space="preserve">TX2418546</t>
  </si>
  <si>
    <t xml:space="preserve">EXC-8460</t>
  </si>
  <si>
    <t xml:space="preserve">TX2418356</t>
  </si>
  <si>
    <t xml:space="preserve">EXC-8613</t>
  </si>
  <si>
    <t xml:space="preserve">TX2423218</t>
  </si>
  <si>
    <t xml:space="preserve">EXC-8437</t>
  </si>
  <si>
    <t xml:space="preserve">TX2417370</t>
  </si>
  <si>
    <t xml:space="preserve">EXC-8407</t>
  </si>
  <si>
    <t xml:space="preserve">TX2416370</t>
  </si>
  <si>
    <t xml:space="preserve">EXC-8477</t>
  </si>
  <si>
    <t xml:space="preserve">TX2418889</t>
  </si>
  <si>
    <t xml:space="preserve">EXC-8148</t>
  </si>
  <si>
    <t xml:space="preserve">TX2406114</t>
  </si>
  <si>
    <t xml:space="preserve">EXC-8416</t>
  </si>
  <si>
    <t xml:space="preserve">TX2416742</t>
  </si>
  <si>
    <t xml:space="preserve">EXC-8159</t>
  </si>
  <si>
    <t xml:space="preserve">TX2406541</t>
  </si>
  <si>
    <t xml:space="preserve">EXC-8656</t>
  </si>
  <si>
    <t xml:space="preserve">TX2425157</t>
  </si>
  <si>
    <t xml:space="preserve">EXC-8499</t>
  </si>
  <si>
    <t xml:space="preserve">TX2419367</t>
  </si>
  <si>
    <t xml:space="preserve">EXC-8056</t>
  </si>
  <si>
    <t xml:space="preserve">TX2402602</t>
  </si>
  <si>
    <t xml:space="preserve">EXC-8506</t>
  </si>
  <si>
    <t xml:space="preserve">TX2419551</t>
  </si>
  <si>
    <t xml:space="preserve">EXC-8424</t>
  </si>
  <si>
    <t xml:space="preserve">TX2417055</t>
  </si>
  <si>
    <t xml:space="preserve">EXC-8624</t>
  </si>
  <si>
    <t xml:space="preserve">TX2423547</t>
  </si>
  <si>
    <t xml:space="preserve">EXC-8367</t>
  </si>
  <si>
    <t xml:space="preserve">TX2414492</t>
  </si>
  <si>
    <t xml:space="preserve">EXC-8025</t>
  </si>
  <si>
    <t xml:space="preserve">TX2401377</t>
  </si>
  <si>
    <t xml:space="preserve">EXC-8297</t>
  </si>
  <si>
    <t xml:space="preserve">TX2411299</t>
  </si>
  <si>
    <t xml:space="preserve">EXC-8124</t>
  </si>
  <si>
    <t xml:space="preserve">TX2405258</t>
  </si>
  <si>
    <t xml:space="preserve">EXC-8626</t>
  </si>
  <si>
    <t xml:space="preserve">TX2423617</t>
  </si>
  <si>
    <t xml:space="preserve">EXC-8581</t>
  </si>
  <si>
    <t xml:space="preserve">TX2422226</t>
  </si>
  <si>
    <t xml:space="preserve">EXC-8216</t>
  </si>
  <si>
    <t xml:space="preserve">TX2408688</t>
  </si>
  <si>
    <t xml:space="preserve">EXC-8591</t>
  </si>
  <si>
    <t xml:space="preserve">TX2422487</t>
  </si>
  <si>
    <t xml:space="preserve">EXC-8630</t>
  </si>
  <si>
    <t xml:space="preserve">TX2423877</t>
  </si>
  <si>
    <t xml:space="preserve">EXC-8198</t>
  </si>
  <si>
    <t xml:space="preserve">TX2407915</t>
  </si>
  <si>
    <t xml:space="preserve">EXC-8609</t>
  </si>
  <si>
    <t xml:space="preserve">TX2423044</t>
  </si>
  <si>
    <t xml:space="preserve">EXC-8041</t>
  </si>
  <si>
    <t xml:space="preserve">TX2401918</t>
  </si>
  <si>
    <t xml:space="preserve">EXC-8118</t>
  </si>
  <si>
    <t xml:space="preserve">TX2405104</t>
  </si>
  <si>
    <t xml:space="preserve">EXC-8207</t>
  </si>
  <si>
    <t xml:space="preserve">TX2408206</t>
  </si>
  <si>
    <t xml:space="preserve">EXC-8413</t>
  </si>
  <si>
    <t xml:space="preserve">TX2416661</t>
  </si>
  <si>
    <t xml:space="preserve">EXC-8226</t>
  </si>
  <si>
    <t xml:space="preserve">TX2409011</t>
  </si>
  <si>
    <t xml:space="preserve">EXC-8476</t>
  </si>
  <si>
    <t xml:space="preserve">TX2418866</t>
  </si>
  <si>
    <t xml:space="preserve">EXC-8074</t>
  </si>
  <si>
    <t xml:space="preserve">TX2403415</t>
  </si>
  <si>
    <t xml:space="preserve">EXC-8238</t>
  </si>
  <si>
    <t xml:space="preserve">TX2409442</t>
  </si>
  <si>
    <t xml:space="preserve">EXC-8066</t>
  </si>
  <si>
    <t xml:space="preserve">TX2402953</t>
  </si>
  <si>
    <t xml:space="preserve">EXC-8050</t>
  </si>
  <si>
    <t xml:space="preserve">TX2402382</t>
  </si>
  <si>
    <t xml:space="preserve">EXC-8251</t>
  </si>
  <si>
    <t xml:space="preserve">TX2409931</t>
  </si>
  <si>
    <t xml:space="preserve">EXC-8491</t>
  </si>
  <si>
    <t xml:space="preserve">TX2419124</t>
  </si>
  <si>
    <t xml:space="preserve">EXC-8158</t>
  </si>
  <si>
    <t xml:space="preserve">TX2406519</t>
  </si>
  <si>
    <t xml:space="preserve">EXC-8253</t>
  </si>
  <si>
    <t xml:space="preserve">TX2410017</t>
  </si>
  <si>
    <t xml:space="preserve">EXC-8276</t>
  </si>
  <si>
    <t xml:space="preserve">TX2410567</t>
  </si>
  <si>
    <t xml:space="preserve">EXC-8646</t>
  </si>
  <si>
    <t xml:space="preserve">TX2424632</t>
  </si>
  <si>
    <t xml:space="preserve">EXC-8235</t>
  </si>
  <si>
    <t xml:space="preserve">TX2409262</t>
  </si>
  <si>
    <t xml:space="preserve">EXC-8049</t>
  </si>
  <si>
    <t xml:space="preserve">TX2402324</t>
  </si>
  <si>
    <t xml:space="preserve">EXC-8434</t>
  </si>
  <si>
    <t xml:space="preserve">TX2417307</t>
  </si>
  <si>
    <t xml:space="preserve">EXC-8679</t>
  </si>
  <si>
    <t xml:space="preserve">TX2425942</t>
  </si>
  <si>
    <t xml:space="preserve">KPI</t>
  </si>
  <si>
    <t xml:space="preserve">Value</t>
  </si>
  <si>
    <t xml:space="preserve">Definition / note</t>
  </si>
  <si>
    <t xml:space="preserve">Total settlements reconciled (Dec 2024)</t>
  </si>
  <si>
    <t xml:space="preserve">Input from reconciliation run</t>
  </si>
  <si>
    <t xml:space="preserve">Exceptions raised</t>
  </si>
  <si>
    <t xml:space="preserve">Matched without exception</t>
  </si>
  <si>
    <t xml:space="preserve">Match rate</t>
  </si>
  <si>
    <t xml:space="preserve">Matched / total</t>
  </si>
  <si>
    <t xml:space="preserve">Exceptions resolved</t>
  </si>
  <si>
    <t xml:space="preserve">Exceptions still open</t>
  </si>
  <si>
    <t xml:space="preserve">Median clearance velocity (working hours)</t>
  </si>
  <si>
    <t xml:space="preserve">Weekends excluded</t>
  </si>
  <si>
    <t xml:space="preserve">Fee-variance exceptions</t>
  </si>
  <si>
    <t xml:space="preserve">Count; median by flag is on the dashboard</t>
  </si>
  <si>
    <t xml:space="preserve">SLA breaches</t>
  </si>
  <si>
    <t xml:space="preserve">SLA breach rate (of resolved)</t>
  </si>
  <si>
    <t xml:space="preserve">Net variance across exceptions (AED)</t>
  </si>
  <si>
    <t xml:space="preserve">Absolute variance across exceptions (AED)</t>
  </si>
  <si>
    <t xml:space="preserve">Exceptions by flag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</si>
</sst>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General"/>
    <numFmt numFmtId="167" formatCode="#,##0.00"/>
    <numFmt numFmtId="168" formatCode="yyyy\-mm\-dd"/>
    <numFmt numFmtId="169" formatCode="yyyy\-mm\-dd\ hh:mm"/>
    <numFmt numFmtId="170" formatCode="#,##0"/>
    <numFmt numFmtId="171" formatCode="0.0%"/>
    <numFmt numFmtId="172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Exceptions by flag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Tracker'!$A$19:$A$23</c:f>
              <c:strCache>
                <c:ptCount val="5"/>
                <c:pt idx="0">
                  <c:v>TIMING_MISMATCH_TIMEZONE</c:v>
                </c:pt>
                <c:pt idx="1">
                  <c:v>FEE_VARIANCE_BREACH</c:v>
                </c:pt>
                <c:pt idx="2">
                  <c:v>ORPHANED_GATEWAY_RECORD</c:v>
                </c:pt>
                <c:pt idx="3">
                  <c:v>ORPHANED_LEDGER_RECORD</c:v>
                </c:pt>
                <c:pt idx="4">
                  <c:v>UNCLASSIFIED_VARIANCE</c:v>
                </c:pt>
              </c:strCache>
            </c:strRef>
          </c:cat>
          <c:val>
            <c:numRef>
              <c:f>'KPI Tracker'!$B$19:$B$23</c:f>
              <c:numCache>
                <c:formatCode>General</c:formatCode>
                <c:ptCount val="5"/>
                <c:pt idx="0">
                  <c:v>385</c:v>
                </c:pt>
                <c:pt idx="1">
                  <c:v>152</c:v>
                </c:pt>
                <c:pt idx="2">
                  <c:v>72</c:v>
                </c:pt>
                <c:pt idx="3">
                  <c:v>48</c:v>
                </c:pt>
                <c:pt idx="4">
                  <c:v>23</c:v>
                </c:pt>
              </c:numCache>
            </c:numRef>
          </c:val>
        </c:ser>
        <c:gapWidth val="150"/>
        <c:overlap val="0"/>
        <c:axId val="24835491"/>
        <c:axId val="63695139"/>
      </c:barChart>
      <c:catAx>
        <c:axId val="248354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95139"/>
        <c:crosses val="autoZero"/>
        <c:auto val="1"/>
        <c:lblAlgn val="ctr"/>
        <c:lblOffset val="100"/>
        <c:noMultiLvlLbl val="0"/>
      </c:catAx>
      <c:valAx>
        <c:axId val="636951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8354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0</xdr:rowOff>
    </xdr:from>
    <xdr:to>
      <xdr:col>12</xdr:col>
      <xdr:colOff>256320</xdr:colOff>
      <xdr:row>15</xdr:row>
      <xdr:rowOff>42840</xdr:rowOff>
    </xdr:to>
    <xdr:graphicFrame>
      <xdr:nvGraphicFramePr>
        <xdr:cNvPr id="0" name="Chart 1"/>
        <xdr:cNvGraphicFramePr/>
      </xdr:nvGraphicFramePr>
      <xdr:xfrm>
        <a:off x="8176320" y="3808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3" t="s">
        <v>4</v>
      </c>
    </row>
    <row r="5" customFormat="false" ht="15" hidden="false" customHeight="false" outlineLevel="0" collapsed="false">
      <c r="A5" s="3" t="s">
        <v>5</v>
      </c>
      <c r="B5" s="3" t="s">
        <v>6</v>
      </c>
    </row>
    <row r="6" customFormat="false" ht="15" hidden="false" customHeight="false" outlineLevel="0" collapsed="false">
      <c r="A6" s="3" t="s">
        <v>7</v>
      </c>
      <c r="B6" s="3" t="s">
        <v>8</v>
      </c>
    </row>
    <row r="7" customFormat="false" ht="15" hidden="false" customHeight="false" outlineLevel="0" collapsed="false">
      <c r="A7" s="3" t="s">
        <v>9</v>
      </c>
      <c r="B7" s="3" t="s">
        <v>10</v>
      </c>
    </row>
    <row r="8" customFormat="false" ht="15" hidden="false" customHeight="false" outlineLevel="0" collapsed="false">
      <c r="A8" s="3" t="s">
        <v>11</v>
      </c>
      <c r="B8" s="3" t="s">
        <v>12</v>
      </c>
    </row>
    <row r="9" customFormat="false" ht="15" hidden="false" customHeight="false" outlineLevel="0" collapsed="false">
      <c r="A9" s="3" t="s">
        <v>13</v>
      </c>
      <c r="B9" s="3" t="s">
        <v>14</v>
      </c>
    </row>
    <row r="10" customFormat="false" ht="15" hidden="false" customHeight="false" outlineLevel="0" collapsed="false">
      <c r="A10" s="3" t="s">
        <v>15</v>
      </c>
      <c r="B10" s="3" t="s">
        <v>16</v>
      </c>
    </row>
    <row r="11" customFormat="false" ht="15" hidden="false" customHeight="false" outlineLevel="0" collapsed="false">
      <c r="A11" s="3" t="s">
        <v>17</v>
      </c>
      <c r="B11" s="3" t="s">
        <v>18</v>
      </c>
    </row>
    <row r="12" customFormat="false" ht="15" hidden="false" customHeight="false" outlineLevel="0" collapsed="false">
      <c r="A12" s="3" t="s">
        <v>19</v>
      </c>
      <c r="B12" s="3" t="s">
        <v>20</v>
      </c>
    </row>
    <row r="13" customFormat="false" ht="15" hidden="false" customHeight="false" outlineLevel="0" collapsed="false">
      <c r="A13" s="3" t="s">
        <v>21</v>
      </c>
      <c r="B13" s="3" t="s">
        <v>22</v>
      </c>
    </row>
    <row r="14" customFormat="false" ht="15" hidden="false" customHeight="false" outlineLevel="0" collapsed="false">
      <c r="A14" s="3" t="s">
        <v>23</v>
      </c>
      <c r="B14" s="3" t="s">
        <v>24</v>
      </c>
    </row>
    <row r="15" customFormat="false" ht="15" hidden="false" customHeight="false" outlineLevel="0" collapsed="false">
      <c r="A15" s="3" t="s">
        <v>25</v>
      </c>
      <c r="B15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6" min="5" style="0" width="10"/>
    <col collapsed="false" customWidth="true" hidden="false" outlineLevel="0" max="7" min="7" style="0" width="26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</row>
    <row r="2" customFormat="false" ht="15" hidden="false" customHeight="false" outlineLevel="0" collapsed="false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39</v>
      </c>
      <c r="G2" s="3" t="s">
        <v>40</v>
      </c>
      <c r="H2" s="3" t="s">
        <v>41</v>
      </c>
    </row>
    <row r="3" customFormat="false" ht="22.35" hidden="false" customHeight="false" outlineLevel="0" collapsed="false">
      <c r="A3" s="3" t="s">
        <v>42</v>
      </c>
      <c r="B3" s="3" t="s">
        <v>43</v>
      </c>
      <c r="C3" s="3" t="s">
        <v>44</v>
      </c>
      <c r="D3" s="3" t="s">
        <v>45</v>
      </c>
      <c r="E3" s="3" t="s">
        <v>39</v>
      </c>
      <c r="F3" s="3" t="s">
        <v>39</v>
      </c>
      <c r="G3" s="3" t="s">
        <v>40</v>
      </c>
      <c r="H3" s="3" t="s">
        <v>46</v>
      </c>
    </row>
    <row r="4" customFormat="false" ht="15" hidden="false" customHeight="false" outlineLevel="0" collapsed="false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39</v>
      </c>
      <c r="G4" s="3" t="s">
        <v>52</v>
      </c>
      <c r="H4" s="3" t="s">
        <v>53</v>
      </c>
    </row>
    <row r="5" customFormat="false" ht="15" hidden="false" customHeight="false" outlineLevel="0" collapsed="false">
      <c r="A5" s="3" t="s">
        <v>54</v>
      </c>
      <c r="B5" s="3" t="s">
        <v>55</v>
      </c>
      <c r="C5" s="3" t="s">
        <v>56</v>
      </c>
      <c r="D5" s="3" t="s">
        <v>57</v>
      </c>
      <c r="E5" s="3" t="s">
        <v>51</v>
      </c>
      <c r="F5" s="3" t="s">
        <v>39</v>
      </c>
      <c r="G5" s="3" t="s">
        <v>58</v>
      </c>
      <c r="H5" s="3" t="s">
        <v>59</v>
      </c>
    </row>
    <row r="6" customFormat="false" ht="15" hidden="false" customHeight="false" outlineLevel="0" collapsed="false">
      <c r="A6" s="3" t="s">
        <v>60</v>
      </c>
      <c r="B6" s="3" t="s">
        <v>61</v>
      </c>
      <c r="C6" s="3" t="s">
        <v>62</v>
      </c>
      <c r="D6" s="3" t="s">
        <v>63</v>
      </c>
      <c r="E6" s="3" t="s">
        <v>51</v>
      </c>
      <c r="F6" s="3" t="s">
        <v>51</v>
      </c>
      <c r="G6" s="3" t="s">
        <v>64</v>
      </c>
      <c r="H6" s="3" t="s">
        <v>65</v>
      </c>
    </row>
    <row r="7" customFormat="false" ht="15" hidden="false" customHeight="false" outlineLevel="0" collapsed="false">
      <c r="A7" s="3" t="s">
        <v>66</v>
      </c>
      <c r="B7" s="3" t="s">
        <v>67</v>
      </c>
      <c r="C7" s="3" t="s">
        <v>68</v>
      </c>
      <c r="D7" s="3" t="s">
        <v>69</v>
      </c>
      <c r="E7" s="3" t="s">
        <v>39</v>
      </c>
      <c r="F7" s="3" t="s">
        <v>39</v>
      </c>
      <c r="G7" s="3" t="s">
        <v>40</v>
      </c>
      <c r="H7" s="3" t="s">
        <v>70</v>
      </c>
    </row>
    <row r="8" customFormat="false" ht="15" hidden="false" customHeight="false" outlineLevel="0" collapsed="false">
      <c r="A8" s="3" t="s">
        <v>71</v>
      </c>
      <c r="B8" s="3" t="s">
        <v>72</v>
      </c>
      <c r="C8" s="3" t="s">
        <v>73</v>
      </c>
      <c r="D8" s="3" t="s">
        <v>74</v>
      </c>
      <c r="E8" s="3" t="s">
        <v>51</v>
      </c>
      <c r="F8" s="3" t="s">
        <v>39</v>
      </c>
      <c r="G8" s="3" t="s">
        <v>58</v>
      </c>
      <c r="H8" s="3" t="s">
        <v>75</v>
      </c>
    </row>
    <row r="9" customFormat="false" ht="15" hidden="false" customHeight="false" outlineLevel="0" collapsed="false">
      <c r="A9" s="3" t="s">
        <v>76</v>
      </c>
      <c r="B9" s="3" t="s">
        <v>77</v>
      </c>
      <c r="C9" s="3" t="s">
        <v>78</v>
      </c>
      <c r="D9" s="3" t="s">
        <v>79</v>
      </c>
      <c r="E9" s="3" t="s">
        <v>80</v>
      </c>
      <c r="F9" s="3" t="s">
        <v>39</v>
      </c>
      <c r="G9" s="3" t="s">
        <v>58</v>
      </c>
      <c r="H9" s="3" t="s">
        <v>81</v>
      </c>
    </row>
    <row r="10" customFormat="false" ht="15" hidden="false" customHeight="false" outlineLevel="0" collapsed="false">
      <c r="A10" s="3" t="s">
        <v>82</v>
      </c>
      <c r="B10" s="3" t="s">
        <v>83</v>
      </c>
      <c r="C10" s="3" t="s">
        <v>84</v>
      </c>
      <c r="D10" s="3" t="s">
        <v>85</v>
      </c>
      <c r="E10" s="3" t="s">
        <v>51</v>
      </c>
      <c r="F10" s="3" t="s">
        <v>51</v>
      </c>
      <c r="G10" s="3" t="s">
        <v>64</v>
      </c>
      <c r="H10" s="3" t="s">
        <v>86</v>
      </c>
    </row>
    <row r="11" customFormat="false" ht="15" hidden="false" customHeight="false" outlineLevel="0" collapsed="false">
      <c r="A11" s="3" t="s">
        <v>87</v>
      </c>
      <c r="B11" s="3" t="s">
        <v>88</v>
      </c>
      <c r="C11" s="3" t="s">
        <v>89</v>
      </c>
      <c r="D11" s="3" t="s">
        <v>90</v>
      </c>
      <c r="E11" s="3" t="s">
        <v>80</v>
      </c>
      <c r="F11" s="3" t="s">
        <v>51</v>
      </c>
      <c r="G11" s="3" t="s">
        <v>58</v>
      </c>
      <c r="H11" s="3" t="s">
        <v>91</v>
      </c>
    </row>
    <row r="12" customFormat="false" ht="22.35" hidden="false" customHeight="false" outlineLevel="0" collapsed="false">
      <c r="A12" s="3" t="s">
        <v>92</v>
      </c>
      <c r="B12" s="3" t="s">
        <v>93</v>
      </c>
      <c r="C12" s="3" t="s">
        <v>94</v>
      </c>
      <c r="D12" s="3" t="s">
        <v>95</v>
      </c>
      <c r="E12" s="3" t="s">
        <v>39</v>
      </c>
      <c r="F12" s="3" t="s">
        <v>39</v>
      </c>
      <c r="G12" s="3" t="s">
        <v>96</v>
      </c>
      <c r="H12" s="3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4"/>
  </cols>
  <sheetData>
    <row r="1" customFormat="false" ht="15" hidden="false" customHeight="false" outlineLevel="0" collapsed="false">
      <c r="A1" s="1" t="s">
        <v>98</v>
      </c>
    </row>
    <row r="3" customFormat="false" ht="15" hidden="false" customHeight="false" outlineLevel="0" collapsed="false">
      <c r="A3" s="2" t="s">
        <v>99</v>
      </c>
      <c r="B3" s="2" t="s">
        <v>100</v>
      </c>
      <c r="C3" s="2" t="s">
        <v>101</v>
      </c>
      <c r="D3" s="2" t="s">
        <v>102</v>
      </c>
      <c r="E3" s="2" t="s">
        <v>103</v>
      </c>
      <c r="F3" s="2" t="s">
        <v>73</v>
      </c>
      <c r="G3" s="2" t="s">
        <v>104</v>
      </c>
      <c r="H3" s="2" t="s">
        <v>105</v>
      </c>
      <c r="I3" s="2" t="s">
        <v>106</v>
      </c>
    </row>
    <row r="4" customFormat="false" ht="15" hidden="false" customHeight="false" outlineLevel="0" collapsed="false">
      <c r="A4" s="3" t="s">
        <v>107</v>
      </c>
      <c r="B4" s="3" t="s">
        <v>108</v>
      </c>
      <c r="C4" s="3" t="s">
        <v>108</v>
      </c>
      <c r="D4" s="3" t="s">
        <v>108</v>
      </c>
      <c r="E4" s="3" t="s">
        <v>108</v>
      </c>
      <c r="F4" s="3" t="s">
        <v>109</v>
      </c>
      <c r="G4" s="3" t="s">
        <v>110</v>
      </c>
      <c r="H4" s="3" t="s">
        <v>109</v>
      </c>
      <c r="I4" s="3" t="s">
        <v>108</v>
      </c>
    </row>
    <row r="5" customFormat="false" ht="15" hidden="false" customHeight="false" outlineLevel="0" collapsed="false">
      <c r="A5" s="3" t="s">
        <v>111</v>
      </c>
      <c r="B5" s="3" t="s">
        <v>112</v>
      </c>
      <c r="C5" s="3" t="s">
        <v>108</v>
      </c>
      <c r="D5" s="3" t="s">
        <v>108</v>
      </c>
      <c r="E5" s="3" t="s">
        <v>108</v>
      </c>
      <c r="F5" s="3" t="s">
        <v>109</v>
      </c>
      <c r="G5" s="3" t="s">
        <v>113</v>
      </c>
      <c r="H5" s="3" t="s">
        <v>109</v>
      </c>
      <c r="I5" s="3" t="s">
        <v>108</v>
      </c>
    </row>
    <row r="6" customFormat="false" ht="15" hidden="false" customHeight="false" outlineLevel="0" collapsed="false">
      <c r="A6" s="3" t="s">
        <v>114</v>
      </c>
      <c r="B6" s="3" t="s">
        <v>115</v>
      </c>
      <c r="C6" s="3" t="s">
        <v>108</v>
      </c>
      <c r="D6" s="3" t="s">
        <v>109</v>
      </c>
      <c r="E6" s="3" t="s">
        <v>108</v>
      </c>
      <c r="F6" s="3" t="s">
        <v>109</v>
      </c>
      <c r="G6" s="3" t="s">
        <v>113</v>
      </c>
      <c r="H6" s="3" t="s">
        <v>109</v>
      </c>
      <c r="I6" s="3" t="s">
        <v>109</v>
      </c>
    </row>
    <row r="7" customFormat="false" ht="15" hidden="false" customHeight="false" outlineLevel="0" collapsed="false">
      <c r="A7" s="3" t="s">
        <v>116</v>
      </c>
      <c r="B7" s="3" t="s">
        <v>112</v>
      </c>
      <c r="C7" s="3" t="s">
        <v>108</v>
      </c>
      <c r="D7" s="3" t="s">
        <v>108</v>
      </c>
      <c r="E7" s="3" t="s">
        <v>108</v>
      </c>
      <c r="F7" s="3" t="s">
        <v>109</v>
      </c>
      <c r="G7" s="3" t="s">
        <v>113</v>
      </c>
      <c r="H7" s="3" t="s">
        <v>109</v>
      </c>
      <c r="I7" s="3" t="s">
        <v>109</v>
      </c>
    </row>
    <row r="8" customFormat="false" ht="15" hidden="false" customHeight="false" outlineLevel="0" collapsed="false">
      <c r="A8" s="3" t="s">
        <v>117</v>
      </c>
      <c r="B8" s="3" t="s">
        <v>112</v>
      </c>
      <c r="C8" s="3" t="s">
        <v>108</v>
      </c>
      <c r="D8" s="3" t="s">
        <v>108</v>
      </c>
      <c r="E8" s="3" t="s">
        <v>108</v>
      </c>
      <c r="F8" s="3" t="s">
        <v>108</v>
      </c>
      <c r="G8" s="3" t="s">
        <v>113</v>
      </c>
      <c r="H8" s="3" t="s">
        <v>109</v>
      </c>
      <c r="I8" s="3" t="s">
        <v>109</v>
      </c>
    </row>
    <row r="9" customFormat="false" ht="15" hidden="false" customHeight="false" outlineLevel="0" collapsed="false">
      <c r="A9" s="3" t="s">
        <v>118</v>
      </c>
      <c r="B9" s="3" t="s">
        <v>112</v>
      </c>
      <c r="C9" s="3" t="s">
        <v>113</v>
      </c>
      <c r="D9" s="3" t="s">
        <v>108</v>
      </c>
      <c r="E9" s="3" t="s">
        <v>108</v>
      </c>
      <c r="F9" s="3" t="s">
        <v>109</v>
      </c>
      <c r="G9" s="3" t="s">
        <v>113</v>
      </c>
      <c r="H9" s="3" t="s">
        <v>108</v>
      </c>
      <c r="I9" s="3" t="s">
        <v>109</v>
      </c>
    </row>
    <row r="10" customFormat="false" ht="15" hidden="false" customHeight="false" outlineLevel="0" collapsed="false">
      <c r="A10" s="3" t="s">
        <v>119</v>
      </c>
      <c r="B10" s="3" t="s">
        <v>109</v>
      </c>
      <c r="C10" s="3" t="s">
        <v>112</v>
      </c>
      <c r="D10" s="3" t="s">
        <v>109</v>
      </c>
      <c r="E10" s="3" t="s">
        <v>109</v>
      </c>
      <c r="F10" s="3" t="s">
        <v>109</v>
      </c>
      <c r="G10" s="3" t="s">
        <v>108</v>
      </c>
      <c r="H10" s="3" t="s">
        <v>109</v>
      </c>
      <c r="I10" s="3" t="s">
        <v>109</v>
      </c>
    </row>
    <row r="11" customFormat="false" ht="15" hidden="false" customHeight="false" outlineLevel="0" collapsed="false">
      <c r="A11" s="3" t="s">
        <v>120</v>
      </c>
      <c r="B11" s="3" t="s">
        <v>109</v>
      </c>
      <c r="C11" s="3" t="s">
        <v>109</v>
      </c>
      <c r="D11" s="3" t="s">
        <v>109</v>
      </c>
      <c r="E11" s="3" t="s">
        <v>115</v>
      </c>
      <c r="F11" s="3" t="s">
        <v>108</v>
      </c>
      <c r="G11" s="3" t="s">
        <v>108</v>
      </c>
      <c r="H11" s="3" t="s">
        <v>113</v>
      </c>
      <c r="I11" s="3" t="s">
        <v>109</v>
      </c>
    </row>
    <row r="12" customFormat="false" ht="15" hidden="false" customHeight="false" outlineLevel="0" collapsed="false">
      <c r="A12" s="3" t="s">
        <v>121</v>
      </c>
      <c r="B12" s="3" t="s">
        <v>109</v>
      </c>
      <c r="C12" s="3" t="s">
        <v>108</v>
      </c>
      <c r="D12" s="3" t="s">
        <v>109</v>
      </c>
      <c r="E12" s="3" t="s">
        <v>115</v>
      </c>
      <c r="F12" s="3" t="s">
        <v>108</v>
      </c>
      <c r="G12" s="3" t="s">
        <v>108</v>
      </c>
      <c r="H12" s="3" t="s">
        <v>108</v>
      </c>
      <c r="I12" s="3" t="s">
        <v>109</v>
      </c>
    </row>
    <row r="13" customFormat="false" ht="15" hidden="false" customHeight="false" outlineLevel="0" collapsed="false">
      <c r="A13" s="3" t="s">
        <v>122</v>
      </c>
      <c r="B13" s="3" t="s">
        <v>109</v>
      </c>
      <c r="C13" s="3" t="s">
        <v>109</v>
      </c>
      <c r="D13" s="3" t="s">
        <v>108</v>
      </c>
      <c r="E13" s="3" t="s">
        <v>108</v>
      </c>
      <c r="F13" s="3" t="s">
        <v>115</v>
      </c>
      <c r="G13" s="3" t="s">
        <v>113</v>
      </c>
      <c r="H13" s="3" t="s">
        <v>108</v>
      </c>
      <c r="I13" s="3" t="s">
        <v>109</v>
      </c>
    </row>
    <row r="14" customFormat="false" ht="15" hidden="false" customHeight="false" outlineLevel="0" collapsed="false">
      <c r="A14" s="3" t="s">
        <v>123</v>
      </c>
      <c r="B14" s="3" t="s">
        <v>112</v>
      </c>
      <c r="C14" s="3" t="s">
        <v>113</v>
      </c>
      <c r="D14" s="3" t="s">
        <v>113</v>
      </c>
      <c r="E14" s="3" t="s">
        <v>109</v>
      </c>
      <c r="F14" s="3" t="s">
        <v>108</v>
      </c>
      <c r="G14" s="3" t="s">
        <v>113</v>
      </c>
      <c r="H14" s="3" t="s">
        <v>109</v>
      </c>
      <c r="I14" s="3" t="s">
        <v>109</v>
      </c>
    </row>
    <row r="15" customFormat="false" ht="15" hidden="false" customHeight="false" outlineLevel="0" collapsed="false">
      <c r="A15" s="3" t="s">
        <v>124</v>
      </c>
      <c r="B15" s="3" t="s">
        <v>115</v>
      </c>
      <c r="C15" s="3" t="s">
        <v>113</v>
      </c>
      <c r="D15" s="3" t="s">
        <v>108</v>
      </c>
      <c r="E15" s="3" t="s">
        <v>109</v>
      </c>
      <c r="F15" s="3" t="s">
        <v>108</v>
      </c>
      <c r="G15" s="3" t="s">
        <v>108</v>
      </c>
      <c r="H15" s="3" t="s">
        <v>109</v>
      </c>
      <c r="I15" s="3" t="s">
        <v>109</v>
      </c>
    </row>
    <row r="16" customFormat="false" ht="15" hidden="false" customHeight="false" outlineLevel="0" collapsed="false">
      <c r="A16" s="3" t="s">
        <v>16</v>
      </c>
      <c r="B16" s="3" t="s">
        <v>115</v>
      </c>
      <c r="C16" s="3" t="s">
        <v>108</v>
      </c>
      <c r="D16" s="3" t="s">
        <v>109</v>
      </c>
      <c r="E16" s="3" t="s">
        <v>108</v>
      </c>
      <c r="F16" s="3" t="s">
        <v>109</v>
      </c>
      <c r="G16" s="3" t="s">
        <v>113</v>
      </c>
      <c r="H16" s="3" t="s">
        <v>109</v>
      </c>
      <c r="I16" s="3" t="s">
        <v>109</v>
      </c>
    </row>
    <row r="17" customFormat="false" ht="15" hidden="false" customHeight="false" outlineLevel="0" collapsed="false">
      <c r="A17" s="3" t="s">
        <v>125</v>
      </c>
      <c r="B17" s="3" t="s">
        <v>112</v>
      </c>
      <c r="C17" s="3" t="s">
        <v>108</v>
      </c>
      <c r="D17" s="3" t="s">
        <v>108</v>
      </c>
      <c r="E17" s="3" t="s">
        <v>109</v>
      </c>
      <c r="F17" s="3" t="s">
        <v>109</v>
      </c>
      <c r="G17" s="3" t="s">
        <v>113</v>
      </c>
      <c r="H17" s="3" t="s">
        <v>108</v>
      </c>
      <c r="I17" s="3" t="s">
        <v>109</v>
      </c>
    </row>
    <row r="18" customFormat="false" ht="15" hidden="false" customHeight="false" outlineLevel="0" collapsed="false">
      <c r="A18" s="3" t="s">
        <v>126</v>
      </c>
      <c r="B18" s="3" t="s">
        <v>112</v>
      </c>
      <c r="C18" s="3" t="s">
        <v>108</v>
      </c>
      <c r="D18" s="3" t="s">
        <v>109</v>
      </c>
      <c r="E18" s="3" t="s">
        <v>108</v>
      </c>
      <c r="F18" s="3" t="s">
        <v>109</v>
      </c>
      <c r="G18" s="3" t="s">
        <v>113</v>
      </c>
      <c r="H18" s="3" t="s">
        <v>109</v>
      </c>
      <c r="I18" s="3" t="s">
        <v>113</v>
      </c>
    </row>
    <row r="19" customFormat="false" ht="15" hidden="false" customHeight="false" outlineLevel="0" collapsed="false">
      <c r="A19" s="3" t="s">
        <v>127</v>
      </c>
      <c r="B19" s="3" t="s">
        <v>115</v>
      </c>
      <c r="C19" s="3" t="s">
        <v>108</v>
      </c>
      <c r="D19" s="3" t="s">
        <v>108</v>
      </c>
      <c r="E19" s="3" t="s">
        <v>108</v>
      </c>
      <c r="F19" s="3" t="s">
        <v>108</v>
      </c>
      <c r="G19" s="3" t="s">
        <v>113</v>
      </c>
      <c r="H19" s="3" t="s">
        <v>109</v>
      </c>
      <c r="I19" s="3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80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2" t="s">
        <v>128</v>
      </c>
      <c r="B1" s="2" t="s">
        <v>129</v>
      </c>
      <c r="C1" s="2" t="s">
        <v>130</v>
      </c>
      <c r="D1" s="2" t="s">
        <v>131</v>
      </c>
      <c r="E1" s="2" t="s">
        <v>132</v>
      </c>
      <c r="F1" s="2" t="s">
        <v>133</v>
      </c>
      <c r="G1" s="2" t="s">
        <v>134</v>
      </c>
    </row>
    <row r="2" customFormat="false" ht="15" hidden="false" customHeight="false" outlineLevel="0" collapsed="false">
      <c r="A2" s="3" t="s">
        <v>135</v>
      </c>
      <c r="B2" s="3" t="s">
        <v>136</v>
      </c>
      <c r="C2" s="3" t="s">
        <v>137</v>
      </c>
      <c r="D2" s="3" t="s">
        <v>138</v>
      </c>
      <c r="E2" s="3" t="s">
        <v>37</v>
      </c>
      <c r="F2" s="3" t="s">
        <v>139</v>
      </c>
      <c r="G2" s="3"/>
    </row>
    <row r="3" customFormat="false" ht="15" hidden="false" customHeight="false" outlineLevel="0" collapsed="false">
      <c r="A3" s="3" t="s">
        <v>140</v>
      </c>
      <c r="B3" s="3" t="s">
        <v>136</v>
      </c>
      <c r="C3" s="3" t="s">
        <v>141</v>
      </c>
      <c r="D3" s="3" t="s">
        <v>138</v>
      </c>
      <c r="E3" s="3" t="s">
        <v>37</v>
      </c>
      <c r="F3" s="3" t="s">
        <v>142</v>
      </c>
      <c r="G3" s="3"/>
    </row>
    <row r="4" customFormat="false" ht="15" hidden="false" customHeight="false" outlineLevel="0" collapsed="false">
      <c r="A4" s="3" t="s">
        <v>143</v>
      </c>
      <c r="B4" s="3" t="s">
        <v>136</v>
      </c>
      <c r="C4" s="3" t="s">
        <v>144</v>
      </c>
      <c r="D4" s="3" t="s">
        <v>138</v>
      </c>
      <c r="E4" s="3" t="s">
        <v>44</v>
      </c>
      <c r="F4" s="3" t="s">
        <v>145</v>
      </c>
      <c r="G4" s="3"/>
    </row>
    <row r="5" customFormat="false" ht="22.35" hidden="false" customHeight="false" outlineLevel="0" collapsed="false">
      <c r="A5" s="3" t="s">
        <v>146</v>
      </c>
      <c r="B5" s="3" t="s">
        <v>136</v>
      </c>
      <c r="C5" s="3" t="s">
        <v>147</v>
      </c>
      <c r="D5" s="3" t="s">
        <v>148</v>
      </c>
      <c r="E5" s="3" t="s">
        <v>37</v>
      </c>
      <c r="F5" s="3" t="s">
        <v>149</v>
      </c>
      <c r="G5" s="3"/>
    </row>
    <row r="6" customFormat="false" ht="15" hidden="false" customHeight="false" outlineLevel="0" collapsed="false">
      <c r="A6" s="3" t="s">
        <v>150</v>
      </c>
      <c r="B6" s="3" t="s">
        <v>136</v>
      </c>
      <c r="C6" s="3" t="s">
        <v>151</v>
      </c>
      <c r="D6" s="3" t="s">
        <v>138</v>
      </c>
      <c r="E6" s="3" t="s">
        <v>84</v>
      </c>
      <c r="F6" s="3" t="s">
        <v>152</v>
      </c>
      <c r="G6" s="3"/>
    </row>
    <row r="7" customFormat="false" ht="15" hidden="false" customHeight="false" outlineLevel="0" collapsed="false">
      <c r="A7" s="3" t="s">
        <v>153</v>
      </c>
      <c r="B7" s="3" t="s">
        <v>154</v>
      </c>
      <c r="C7" s="3" t="s">
        <v>155</v>
      </c>
      <c r="D7" s="3" t="s">
        <v>138</v>
      </c>
      <c r="E7" s="3" t="s">
        <v>49</v>
      </c>
      <c r="F7" s="3" t="s">
        <v>156</v>
      </c>
      <c r="G7" s="3" t="s">
        <v>157</v>
      </c>
    </row>
    <row r="8" customFormat="false" ht="15" hidden="false" customHeight="false" outlineLevel="0" collapsed="false">
      <c r="A8" s="3" t="s">
        <v>158</v>
      </c>
      <c r="B8" s="3" t="s">
        <v>154</v>
      </c>
      <c r="C8" s="3" t="s">
        <v>159</v>
      </c>
      <c r="D8" s="3" t="s">
        <v>148</v>
      </c>
      <c r="E8" s="3" t="s">
        <v>160</v>
      </c>
      <c r="F8" s="3" t="s">
        <v>161</v>
      </c>
      <c r="G8" s="3" t="s">
        <v>162</v>
      </c>
    </row>
    <row r="9" customFormat="false" ht="15" hidden="false" customHeight="false" outlineLevel="0" collapsed="false">
      <c r="A9" s="3" t="s">
        <v>163</v>
      </c>
      <c r="B9" s="3" t="s">
        <v>154</v>
      </c>
      <c r="C9" s="3" t="s">
        <v>164</v>
      </c>
      <c r="D9" s="3" t="s">
        <v>138</v>
      </c>
      <c r="E9" s="3" t="s">
        <v>49</v>
      </c>
      <c r="F9" s="3" t="s">
        <v>165</v>
      </c>
      <c r="G9" s="3" t="s">
        <v>166</v>
      </c>
    </row>
    <row r="10" customFormat="false" ht="22.35" hidden="false" customHeight="false" outlineLevel="0" collapsed="false">
      <c r="A10" s="3" t="s">
        <v>167</v>
      </c>
      <c r="B10" s="3" t="s">
        <v>154</v>
      </c>
      <c r="C10" s="3" t="s">
        <v>168</v>
      </c>
      <c r="D10" s="3" t="s">
        <v>138</v>
      </c>
      <c r="E10" s="3" t="s">
        <v>169</v>
      </c>
      <c r="F10" s="3" t="s">
        <v>170</v>
      </c>
      <c r="G10" s="3" t="s">
        <v>171</v>
      </c>
    </row>
    <row r="11" customFormat="false" ht="15" hidden="false" customHeight="false" outlineLevel="0" collapsed="false">
      <c r="A11" s="3" t="s">
        <v>172</v>
      </c>
      <c r="B11" s="3" t="s">
        <v>154</v>
      </c>
      <c r="C11" s="3" t="s">
        <v>173</v>
      </c>
      <c r="D11" s="3" t="s">
        <v>138</v>
      </c>
      <c r="E11" s="3" t="s">
        <v>56</v>
      </c>
      <c r="F11" s="3" t="s">
        <v>174</v>
      </c>
      <c r="G11" s="3" t="s">
        <v>175</v>
      </c>
    </row>
    <row r="12" customFormat="false" ht="15" hidden="false" customHeight="false" outlineLevel="0" collapsed="false">
      <c r="A12" s="3" t="s">
        <v>176</v>
      </c>
      <c r="B12" s="3" t="s">
        <v>154</v>
      </c>
      <c r="C12" s="3" t="s">
        <v>177</v>
      </c>
      <c r="D12" s="3" t="s">
        <v>138</v>
      </c>
      <c r="E12" s="3" t="s">
        <v>49</v>
      </c>
      <c r="F12" s="3" t="s">
        <v>178</v>
      </c>
      <c r="G12" s="3" t="s">
        <v>179</v>
      </c>
    </row>
    <row r="13" customFormat="false" ht="15" hidden="false" customHeight="false" outlineLevel="0" collapsed="false">
      <c r="A13" s="3" t="s">
        <v>180</v>
      </c>
      <c r="B13" s="3" t="s">
        <v>154</v>
      </c>
      <c r="C13" s="3" t="s">
        <v>181</v>
      </c>
      <c r="D13" s="3" t="s">
        <v>148</v>
      </c>
      <c r="E13" s="3" t="s">
        <v>160</v>
      </c>
      <c r="F13" s="3" t="s">
        <v>182</v>
      </c>
      <c r="G13" s="3" t="s">
        <v>183</v>
      </c>
    </row>
    <row r="14" customFormat="false" ht="15" hidden="false" customHeight="false" outlineLevel="0" collapsed="false">
      <c r="A14" s="3" t="s">
        <v>184</v>
      </c>
      <c r="B14" s="3" t="s">
        <v>154</v>
      </c>
      <c r="C14" s="3" t="s">
        <v>185</v>
      </c>
      <c r="D14" s="3" t="s">
        <v>138</v>
      </c>
      <c r="E14" s="3" t="s">
        <v>44</v>
      </c>
      <c r="F14" s="3" t="s">
        <v>186</v>
      </c>
      <c r="G14" s="3" t="s">
        <v>187</v>
      </c>
    </row>
    <row r="15" customFormat="false" ht="15" hidden="false" customHeight="false" outlineLevel="0" collapsed="false">
      <c r="A15" s="3" t="s">
        <v>188</v>
      </c>
      <c r="B15" s="3" t="s">
        <v>154</v>
      </c>
      <c r="C15" s="3" t="s">
        <v>189</v>
      </c>
      <c r="D15" s="3" t="s">
        <v>138</v>
      </c>
      <c r="E15" s="3" t="s">
        <v>49</v>
      </c>
      <c r="F15" s="3" t="s">
        <v>190</v>
      </c>
      <c r="G15" s="3" t="s">
        <v>191</v>
      </c>
    </row>
    <row r="16" customFormat="false" ht="15" hidden="false" customHeight="false" outlineLevel="0" collapsed="false">
      <c r="A16" s="3" t="s">
        <v>192</v>
      </c>
      <c r="B16" s="3" t="s">
        <v>154</v>
      </c>
      <c r="C16" s="3" t="s">
        <v>193</v>
      </c>
      <c r="D16" s="3" t="s">
        <v>148</v>
      </c>
      <c r="E16" s="3" t="s">
        <v>37</v>
      </c>
      <c r="F16" s="3" t="s">
        <v>194</v>
      </c>
      <c r="G16" s="3" t="s">
        <v>195</v>
      </c>
    </row>
    <row r="17" customFormat="false" ht="15" hidden="false" customHeight="false" outlineLevel="0" collapsed="false">
      <c r="A17" s="3" t="s">
        <v>196</v>
      </c>
      <c r="B17" s="3" t="s">
        <v>154</v>
      </c>
      <c r="C17" s="3" t="s">
        <v>197</v>
      </c>
      <c r="D17" s="3" t="s">
        <v>148</v>
      </c>
      <c r="E17" s="3" t="s">
        <v>84</v>
      </c>
      <c r="F17" s="3" t="s">
        <v>198</v>
      </c>
      <c r="G17" s="3" t="s">
        <v>199</v>
      </c>
    </row>
    <row r="18" customFormat="false" ht="15" hidden="false" customHeight="false" outlineLevel="0" collapsed="false">
      <c r="A18" s="3" t="s">
        <v>200</v>
      </c>
      <c r="B18" s="3" t="s">
        <v>201</v>
      </c>
      <c r="C18" s="3" t="s">
        <v>202</v>
      </c>
      <c r="D18" s="3" t="s">
        <v>138</v>
      </c>
      <c r="E18" s="3" t="s">
        <v>103</v>
      </c>
      <c r="F18" s="3" t="s">
        <v>165</v>
      </c>
      <c r="G18" s="3" t="s">
        <v>166</v>
      </c>
    </row>
    <row r="19" customFormat="false" ht="15" hidden="false" customHeight="false" outlineLevel="0" collapsed="false">
      <c r="A19" s="3" t="s">
        <v>203</v>
      </c>
      <c r="B19" s="3" t="s">
        <v>201</v>
      </c>
      <c r="C19" s="3" t="s">
        <v>204</v>
      </c>
      <c r="D19" s="3" t="s">
        <v>138</v>
      </c>
      <c r="E19" s="3" t="s">
        <v>84</v>
      </c>
      <c r="F19" s="3" t="s">
        <v>186</v>
      </c>
      <c r="G19" s="3" t="s">
        <v>187</v>
      </c>
    </row>
    <row r="20" customFormat="false" ht="15" hidden="false" customHeight="false" outlineLevel="0" collapsed="false">
      <c r="A20" s="3" t="s">
        <v>205</v>
      </c>
      <c r="B20" s="3" t="s">
        <v>201</v>
      </c>
      <c r="C20" s="3" t="s">
        <v>206</v>
      </c>
      <c r="D20" s="3" t="s">
        <v>138</v>
      </c>
      <c r="E20" s="3" t="s">
        <v>37</v>
      </c>
      <c r="F20" s="3" t="s">
        <v>174</v>
      </c>
      <c r="G20" s="3" t="s">
        <v>175</v>
      </c>
    </row>
    <row r="21" customFormat="false" ht="15" hidden="false" customHeight="false" outlineLevel="0" collapsed="false">
      <c r="A21" s="3" t="s">
        <v>207</v>
      </c>
      <c r="B21" s="3" t="s">
        <v>201</v>
      </c>
      <c r="C21" s="3" t="s">
        <v>208</v>
      </c>
      <c r="D21" s="3" t="s">
        <v>148</v>
      </c>
      <c r="E21" s="3" t="s">
        <v>103</v>
      </c>
      <c r="F21" s="3" t="s">
        <v>161</v>
      </c>
      <c r="G21" s="3" t="s">
        <v>162</v>
      </c>
    </row>
    <row r="22" customFormat="false" ht="15" hidden="false" customHeight="false" outlineLevel="0" collapsed="false">
      <c r="A22" s="3" t="s">
        <v>209</v>
      </c>
      <c r="B22" s="3" t="s">
        <v>201</v>
      </c>
      <c r="C22" s="3" t="s">
        <v>210</v>
      </c>
      <c r="D22" s="3" t="s">
        <v>138</v>
      </c>
      <c r="E22" s="3" t="s">
        <v>84</v>
      </c>
      <c r="F22" s="3" t="s">
        <v>198</v>
      </c>
      <c r="G22" s="3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4" min="4" style="0" width="60"/>
    <col collapsed="false" customWidth="true" hidden="false" outlineLevel="0" max="5" min="5" style="0" width="24"/>
    <col collapsed="false" customWidth="true" hidden="false" outlineLevel="0" max="8" min="6" style="0" width="10"/>
    <col collapsed="false" customWidth="true" hidden="false" outlineLevel="0" max="9" min="9" style="0" width="16"/>
    <col collapsed="false" customWidth="true" hidden="false" outlineLevel="0" max="10" min="10" style="0" width="10"/>
  </cols>
  <sheetData>
    <row r="1" customFormat="false" ht="23.85" hidden="false" customHeight="false" outlineLevel="0" collapsed="false">
      <c r="A1" s="2" t="s">
        <v>211</v>
      </c>
      <c r="B1" s="2" t="s">
        <v>212</v>
      </c>
      <c r="C1" s="2" t="s">
        <v>213</v>
      </c>
      <c r="D1" s="2" t="s">
        <v>214</v>
      </c>
      <c r="E1" s="2" t="s">
        <v>215</v>
      </c>
      <c r="F1" s="2" t="s">
        <v>216</v>
      </c>
      <c r="G1" s="2" t="s">
        <v>131</v>
      </c>
      <c r="H1" s="2" t="s">
        <v>217</v>
      </c>
      <c r="I1" s="2" t="s">
        <v>218</v>
      </c>
      <c r="J1" s="2" t="s">
        <v>219</v>
      </c>
    </row>
    <row r="2" customFormat="false" ht="15" hidden="false" customHeight="false" outlineLevel="0" collapsed="false">
      <c r="A2" s="3" t="n">
        <v>1</v>
      </c>
      <c r="B2" s="3" t="s">
        <v>156</v>
      </c>
      <c r="C2" s="3" t="s">
        <v>220</v>
      </c>
      <c r="D2" s="3" t="s">
        <v>221</v>
      </c>
      <c r="E2" s="3" t="s">
        <v>49</v>
      </c>
      <c r="F2" s="3" t="s">
        <v>138</v>
      </c>
      <c r="G2" s="3" t="s">
        <v>39</v>
      </c>
      <c r="H2" s="3" t="n">
        <v>5</v>
      </c>
      <c r="I2" s="3" t="s">
        <v>222</v>
      </c>
      <c r="J2" s="3" t="s">
        <v>223</v>
      </c>
    </row>
    <row r="3" customFormat="false" ht="15" hidden="false" customHeight="false" outlineLevel="0" collapsed="false">
      <c r="A3" s="3" t="n">
        <v>2</v>
      </c>
      <c r="B3" s="3" t="s">
        <v>161</v>
      </c>
      <c r="C3" s="3" t="s">
        <v>220</v>
      </c>
      <c r="D3" s="3" t="s">
        <v>224</v>
      </c>
      <c r="E3" s="3" t="s">
        <v>160</v>
      </c>
      <c r="F3" s="3" t="s">
        <v>148</v>
      </c>
      <c r="G3" s="3" t="s">
        <v>51</v>
      </c>
      <c r="H3" s="3" t="n">
        <v>5</v>
      </c>
      <c r="I3" s="3" t="s">
        <v>222</v>
      </c>
      <c r="J3" s="3" t="s">
        <v>223</v>
      </c>
    </row>
    <row r="4" customFormat="false" ht="15" hidden="false" customHeight="false" outlineLevel="0" collapsed="false">
      <c r="A4" s="3" t="n">
        <v>3</v>
      </c>
      <c r="B4" s="3" t="s">
        <v>165</v>
      </c>
      <c r="C4" s="3" t="s">
        <v>142</v>
      </c>
      <c r="D4" s="3" t="s">
        <v>225</v>
      </c>
      <c r="E4" s="3" t="s">
        <v>49</v>
      </c>
      <c r="F4" s="3" t="s">
        <v>138</v>
      </c>
      <c r="G4" s="3" t="s">
        <v>226</v>
      </c>
      <c r="H4" s="3" t="n">
        <v>8</v>
      </c>
      <c r="I4" s="3" t="s">
        <v>227</v>
      </c>
      <c r="J4" s="3" t="s">
        <v>223</v>
      </c>
    </row>
    <row r="5" customFormat="false" ht="22.35" hidden="false" customHeight="false" outlineLevel="0" collapsed="false">
      <c r="A5" s="3" t="n">
        <v>4</v>
      </c>
      <c r="B5" s="3" t="s">
        <v>170</v>
      </c>
      <c r="C5" s="3" t="s">
        <v>142</v>
      </c>
      <c r="D5" s="3" t="s">
        <v>228</v>
      </c>
      <c r="E5" s="3" t="s">
        <v>62</v>
      </c>
      <c r="F5" s="3" t="s">
        <v>138</v>
      </c>
      <c r="G5" s="3" t="s">
        <v>226</v>
      </c>
      <c r="H5" s="3" t="n">
        <v>8</v>
      </c>
      <c r="I5" s="3" t="s">
        <v>227</v>
      </c>
      <c r="J5" s="3" t="s">
        <v>223</v>
      </c>
    </row>
    <row r="6" customFormat="false" ht="15" hidden="false" customHeight="false" outlineLevel="0" collapsed="false">
      <c r="A6" s="3" t="n">
        <v>5</v>
      </c>
      <c r="B6" s="3" t="s">
        <v>174</v>
      </c>
      <c r="C6" s="3" t="s">
        <v>142</v>
      </c>
      <c r="D6" s="3" t="s">
        <v>229</v>
      </c>
      <c r="E6" s="3" t="s">
        <v>56</v>
      </c>
      <c r="F6" s="3" t="s">
        <v>138</v>
      </c>
      <c r="G6" s="3" t="s">
        <v>39</v>
      </c>
      <c r="H6" s="3" t="n">
        <v>5</v>
      </c>
      <c r="I6" s="3" t="s">
        <v>230</v>
      </c>
      <c r="J6" s="3" t="s">
        <v>223</v>
      </c>
    </row>
    <row r="7" customFormat="false" ht="15" hidden="false" customHeight="false" outlineLevel="0" collapsed="false">
      <c r="A7" s="3" t="n">
        <v>6</v>
      </c>
      <c r="B7" s="3" t="s">
        <v>178</v>
      </c>
      <c r="C7" s="3" t="s">
        <v>145</v>
      </c>
      <c r="D7" s="3" t="s">
        <v>231</v>
      </c>
      <c r="E7" s="3" t="s">
        <v>49</v>
      </c>
      <c r="F7" s="3" t="s">
        <v>138</v>
      </c>
      <c r="G7" s="3" t="s">
        <v>39</v>
      </c>
      <c r="H7" s="3" t="n">
        <v>5</v>
      </c>
      <c r="I7" s="3" t="s">
        <v>230</v>
      </c>
      <c r="J7" s="3" t="s">
        <v>223</v>
      </c>
    </row>
    <row r="8" customFormat="false" ht="15" hidden="false" customHeight="false" outlineLevel="0" collapsed="false">
      <c r="A8" s="3" t="n">
        <v>7</v>
      </c>
      <c r="B8" s="3" t="s">
        <v>182</v>
      </c>
      <c r="C8" s="3" t="s">
        <v>145</v>
      </c>
      <c r="D8" s="3" t="s">
        <v>232</v>
      </c>
      <c r="E8" s="3" t="s">
        <v>160</v>
      </c>
      <c r="F8" s="3" t="s">
        <v>148</v>
      </c>
      <c r="G8" s="3" t="s">
        <v>51</v>
      </c>
      <c r="H8" s="3" t="n">
        <v>5</v>
      </c>
      <c r="I8" s="3" t="s">
        <v>230</v>
      </c>
      <c r="J8" s="3" t="s">
        <v>223</v>
      </c>
    </row>
    <row r="9" customFormat="false" ht="15" hidden="false" customHeight="false" outlineLevel="0" collapsed="false">
      <c r="A9" s="3" t="n">
        <v>8</v>
      </c>
      <c r="B9" s="3" t="s">
        <v>186</v>
      </c>
      <c r="C9" s="3" t="s">
        <v>233</v>
      </c>
      <c r="D9" s="3" t="s">
        <v>234</v>
      </c>
      <c r="E9" s="3" t="s">
        <v>44</v>
      </c>
      <c r="F9" s="3" t="s">
        <v>138</v>
      </c>
      <c r="G9" s="3" t="s">
        <v>39</v>
      </c>
      <c r="H9" s="3" t="n">
        <v>8</v>
      </c>
      <c r="I9" s="3" t="s">
        <v>235</v>
      </c>
      <c r="J9" s="3" t="s">
        <v>223</v>
      </c>
    </row>
    <row r="10" customFormat="false" ht="15" hidden="false" customHeight="false" outlineLevel="0" collapsed="false">
      <c r="A10" s="3" t="n">
        <v>9</v>
      </c>
      <c r="B10" s="3" t="s">
        <v>190</v>
      </c>
      <c r="C10" s="3" t="s">
        <v>233</v>
      </c>
      <c r="D10" s="3" t="s">
        <v>236</v>
      </c>
      <c r="E10" s="3" t="s">
        <v>49</v>
      </c>
      <c r="F10" s="3" t="s">
        <v>138</v>
      </c>
      <c r="G10" s="3" t="s">
        <v>39</v>
      </c>
      <c r="H10" s="3" t="n">
        <v>8</v>
      </c>
      <c r="I10" s="3" t="s">
        <v>235</v>
      </c>
      <c r="J10" s="3" t="s">
        <v>223</v>
      </c>
    </row>
    <row r="11" customFormat="false" ht="15" hidden="false" customHeight="false" outlineLevel="0" collapsed="false">
      <c r="A11" s="3" t="n">
        <v>10</v>
      </c>
      <c r="B11" s="3" t="s">
        <v>194</v>
      </c>
      <c r="C11" s="3" t="s">
        <v>149</v>
      </c>
      <c r="D11" s="3" t="s">
        <v>237</v>
      </c>
      <c r="E11" s="3" t="s">
        <v>37</v>
      </c>
      <c r="F11" s="3" t="s">
        <v>148</v>
      </c>
      <c r="G11" s="3" t="s">
        <v>51</v>
      </c>
      <c r="H11" s="3" t="n">
        <v>5</v>
      </c>
      <c r="I11" s="3" t="s">
        <v>238</v>
      </c>
      <c r="J11" s="3" t="s">
        <v>223</v>
      </c>
    </row>
    <row r="12" customFormat="false" ht="15" hidden="false" customHeight="false" outlineLevel="0" collapsed="false">
      <c r="A12" s="3" t="n">
        <v>11</v>
      </c>
      <c r="B12" s="3" t="s">
        <v>198</v>
      </c>
      <c r="C12" s="3" t="s">
        <v>149</v>
      </c>
      <c r="D12" s="3" t="s">
        <v>239</v>
      </c>
      <c r="E12" s="3" t="s">
        <v>240</v>
      </c>
      <c r="F12" s="3" t="s">
        <v>148</v>
      </c>
      <c r="G12" s="3" t="s">
        <v>51</v>
      </c>
      <c r="H12" s="3" t="n">
        <v>8</v>
      </c>
      <c r="I12" s="3" t="s">
        <v>238</v>
      </c>
      <c r="J12" s="3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6" min="4" style="0" width="14"/>
    <col collapsed="false" customWidth="true" hidden="false" outlineLevel="0" max="7" min="7" style="0" width="56"/>
  </cols>
  <sheetData>
    <row r="1" customFormat="false" ht="15" hidden="false" customHeight="false" outlineLevel="0" collapsed="false">
      <c r="A1" s="1" t="s">
        <v>241</v>
      </c>
    </row>
    <row r="3" customFormat="false" ht="15" hidden="false" customHeight="false" outlineLevel="0" collapsed="false">
      <c r="A3" s="2" t="s">
        <v>218</v>
      </c>
      <c r="B3" s="2" t="s">
        <v>242</v>
      </c>
      <c r="C3" s="2" t="s">
        <v>243</v>
      </c>
      <c r="D3" s="2" t="s">
        <v>244</v>
      </c>
      <c r="E3" s="2" t="s">
        <v>245</v>
      </c>
      <c r="F3" s="2" t="s">
        <v>246</v>
      </c>
      <c r="G3" s="2" t="s">
        <v>247</v>
      </c>
    </row>
    <row r="4" customFormat="false" ht="15" hidden="false" customHeight="false" outlineLevel="0" collapsed="false">
      <c r="A4" s="3" t="s">
        <v>248</v>
      </c>
      <c r="B4" s="3" t="s">
        <v>249</v>
      </c>
      <c r="C4" s="3" t="s">
        <v>250</v>
      </c>
      <c r="D4" s="3" t="n">
        <v>0</v>
      </c>
      <c r="E4" s="3" t="n">
        <v>0</v>
      </c>
      <c r="F4" s="4" t="str">
        <f aca="false">IF(D4=0,"n/a",E4/D4)</f>
        <v>n/a</v>
      </c>
      <c r="G4" s="3" t="s">
        <v>251</v>
      </c>
    </row>
    <row r="5" customFormat="false" ht="15" hidden="false" customHeight="false" outlineLevel="0" collapsed="false">
      <c r="A5" s="3" t="s">
        <v>222</v>
      </c>
      <c r="B5" s="3" t="s">
        <v>252</v>
      </c>
      <c r="C5" s="3" t="s">
        <v>253</v>
      </c>
      <c r="D5" s="3" t="n">
        <v>10</v>
      </c>
      <c r="E5" s="3" t="n">
        <v>10</v>
      </c>
      <c r="F5" s="4" t="n">
        <f aca="false">IF(D5=0,"n/a",E5/D5)</f>
        <v>1</v>
      </c>
      <c r="G5" s="3" t="s">
        <v>254</v>
      </c>
    </row>
    <row r="6" customFormat="false" ht="15" hidden="false" customHeight="false" outlineLevel="0" collapsed="false">
      <c r="A6" s="3" t="s">
        <v>227</v>
      </c>
      <c r="B6" s="3" t="s">
        <v>255</v>
      </c>
      <c r="C6" s="3" t="s">
        <v>256</v>
      </c>
      <c r="D6" s="3" t="n">
        <v>16</v>
      </c>
      <c r="E6" s="3" t="n">
        <v>16</v>
      </c>
      <c r="F6" s="4" t="n">
        <f aca="false">IF(D6=0,"n/a",E6/D6)</f>
        <v>1</v>
      </c>
      <c r="G6" s="3" t="s">
        <v>257</v>
      </c>
    </row>
    <row r="7" customFormat="false" ht="15" hidden="false" customHeight="false" outlineLevel="0" collapsed="false">
      <c r="A7" s="3" t="s">
        <v>230</v>
      </c>
      <c r="B7" s="3" t="s">
        <v>258</v>
      </c>
      <c r="C7" s="3" t="s">
        <v>259</v>
      </c>
      <c r="D7" s="3" t="n">
        <v>15</v>
      </c>
      <c r="E7" s="3" t="n">
        <v>15</v>
      </c>
      <c r="F7" s="4" t="n">
        <f aca="false">IF(D7=0,"n/a",E7/D7)</f>
        <v>1</v>
      </c>
      <c r="G7" s="3" t="s">
        <v>260</v>
      </c>
    </row>
    <row r="8" customFormat="false" ht="15" hidden="false" customHeight="false" outlineLevel="0" collapsed="false">
      <c r="A8" s="3" t="s">
        <v>235</v>
      </c>
      <c r="B8" s="3" t="s">
        <v>261</v>
      </c>
      <c r="C8" s="3" t="s">
        <v>262</v>
      </c>
      <c r="D8" s="3" t="n">
        <v>16</v>
      </c>
      <c r="E8" s="3" t="n">
        <v>16</v>
      </c>
      <c r="F8" s="4" t="n">
        <f aca="false">IF(D8=0,"n/a",E8/D8)</f>
        <v>1</v>
      </c>
      <c r="G8" s="3" t="s">
        <v>263</v>
      </c>
    </row>
    <row r="9" customFormat="false" ht="15" hidden="false" customHeight="false" outlineLevel="0" collapsed="false">
      <c r="A9" s="3" t="s">
        <v>238</v>
      </c>
      <c r="B9" s="3" t="s">
        <v>264</v>
      </c>
      <c r="C9" s="3" t="s">
        <v>265</v>
      </c>
      <c r="D9" s="3" t="n">
        <v>13</v>
      </c>
      <c r="E9" s="3" t="n">
        <v>13</v>
      </c>
      <c r="F9" s="4" t="n">
        <f aca="false">IF(D9=0,"n/a",E9/D9)</f>
        <v>1</v>
      </c>
      <c r="G9" s="3" t="s">
        <v>266</v>
      </c>
    </row>
    <row r="11" customFormat="false" ht="15" hidden="false" customHeight="false" outlineLevel="0" collapsed="false">
      <c r="A11" s="5" t="s">
        <v>267</v>
      </c>
      <c r="E11" s="6" t="n">
        <f aca="false">AVERAGE(E5:E9)</f>
        <v>14</v>
      </c>
    </row>
    <row r="12" customFormat="false" ht="15" hidden="false" customHeight="false" outlineLevel="0" collapsed="false">
      <c r="A12" s="5" t="s">
        <v>268</v>
      </c>
      <c r="E12" s="6" t="n">
        <f aca="false">SUM(E4:E9)</f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60"/>
    <col collapsed="false" customWidth="true" hidden="false" outlineLevel="0" max="10" min="9" style="0" width="12"/>
  </cols>
  <sheetData>
    <row r="1" customFormat="false" ht="23.85" hidden="false" customHeight="false" outlineLevel="0" collapsed="false">
      <c r="A1" s="2" t="s">
        <v>27</v>
      </c>
      <c r="B1" s="2" t="s">
        <v>129</v>
      </c>
      <c r="C1" s="2" t="s">
        <v>269</v>
      </c>
      <c r="D1" s="2" t="s">
        <v>270</v>
      </c>
      <c r="E1" s="2" t="s">
        <v>271</v>
      </c>
      <c r="F1" s="2" t="s">
        <v>272</v>
      </c>
      <c r="G1" s="2" t="s">
        <v>273</v>
      </c>
      <c r="H1" s="2" t="s">
        <v>274</v>
      </c>
      <c r="I1" s="2" t="s">
        <v>219</v>
      </c>
      <c r="J1" s="2" t="s">
        <v>275</v>
      </c>
    </row>
    <row r="2" customFormat="false" ht="22.35" hidden="false" customHeight="false" outlineLevel="0" collapsed="false">
      <c r="A2" s="3" t="s">
        <v>276</v>
      </c>
      <c r="B2" s="3" t="s">
        <v>277</v>
      </c>
      <c r="C2" s="3" t="s">
        <v>278</v>
      </c>
      <c r="D2" s="3" t="n">
        <v>4</v>
      </c>
      <c r="E2" s="3" t="n">
        <v>3</v>
      </c>
      <c r="F2" s="3" t="n">
        <f aca="false">D4*E4</f>
        <v>12</v>
      </c>
      <c r="G2" s="3" t="s">
        <v>67</v>
      </c>
      <c r="H2" s="3" t="s">
        <v>279</v>
      </c>
      <c r="I2" s="3" t="s">
        <v>280</v>
      </c>
      <c r="J2" s="3" t="s">
        <v>281</v>
      </c>
    </row>
    <row r="3" customFormat="false" ht="22.35" hidden="false" customHeight="false" outlineLevel="0" collapsed="false">
      <c r="A3" s="3" t="s">
        <v>282</v>
      </c>
      <c r="B3" s="3" t="s">
        <v>277</v>
      </c>
      <c r="C3" s="3" t="s">
        <v>283</v>
      </c>
      <c r="D3" s="3" t="n">
        <v>4</v>
      </c>
      <c r="E3" s="3" t="n">
        <v>4</v>
      </c>
      <c r="F3" s="3" t="n">
        <f aca="false">D5*E5</f>
        <v>12</v>
      </c>
      <c r="G3" s="3" t="s">
        <v>93</v>
      </c>
      <c r="H3" s="3" t="s">
        <v>284</v>
      </c>
      <c r="I3" s="3" t="s">
        <v>280</v>
      </c>
      <c r="J3" s="3" t="s">
        <v>285</v>
      </c>
    </row>
    <row r="4" customFormat="false" ht="15" hidden="false" customHeight="false" outlineLevel="0" collapsed="false">
      <c r="A4" s="3" t="s">
        <v>286</v>
      </c>
      <c r="B4" s="3" t="s">
        <v>277</v>
      </c>
      <c r="C4" s="3" t="s">
        <v>287</v>
      </c>
      <c r="D4" s="3" t="n">
        <v>4</v>
      </c>
      <c r="E4" s="3" t="n">
        <v>3</v>
      </c>
      <c r="F4" s="3" t="n">
        <f aca="false">D6*E6</f>
        <v>12</v>
      </c>
      <c r="G4" s="3" t="s">
        <v>67</v>
      </c>
      <c r="H4" s="3" t="s">
        <v>288</v>
      </c>
      <c r="I4" s="3" t="s">
        <v>289</v>
      </c>
      <c r="J4" s="3" t="s">
        <v>290</v>
      </c>
    </row>
    <row r="5" customFormat="false" ht="22.35" hidden="false" customHeight="false" outlineLevel="0" collapsed="false">
      <c r="A5" s="3" t="s">
        <v>291</v>
      </c>
      <c r="B5" s="3" t="s">
        <v>277</v>
      </c>
      <c r="C5" s="3" t="s">
        <v>292</v>
      </c>
      <c r="D5" s="3" t="n">
        <v>3</v>
      </c>
      <c r="E5" s="3" t="n">
        <v>4</v>
      </c>
      <c r="F5" s="3" t="n">
        <f aca="false">D7*E7</f>
        <v>10</v>
      </c>
      <c r="G5" s="3" t="s">
        <v>93</v>
      </c>
      <c r="H5" s="3" t="s">
        <v>293</v>
      </c>
      <c r="I5" s="3" t="s">
        <v>289</v>
      </c>
      <c r="J5" s="3" t="s">
        <v>294</v>
      </c>
    </row>
    <row r="6" customFormat="false" ht="15" hidden="false" customHeight="false" outlineLevel="0" collapsed="false">
      <c r="A6" s="3" t="s">
        <v>295</v>
      </c>
      <c r="B6" s="3" t="s">
        <v>277</v>
      </c>
      <c r="C6" s="3" t="s">
        <v>296</v>
      </c>
      <c r="D6" s="3" t="n">
        <v>3</v>
      </c>
      <c r="E6" s="3" t="n">
        <v>4</v>
      </c>
      <c r="F6" s="3" t="n">
        <f aca="false">D8*E8</f>
        <v>20</v>
      </c>
      <c r="G6" s="3" t="s">
        <v>93</v>
      </c>
      <c r="H6" s="3" t="s">
        <v>297</v>
      </c>
      <c r="I6" s="3" t="s">
        <v>289</v>
      </c>
      <c r="J6" s="3" t="s">
        <v>298</v>
      </c>
    </row>
    <row r="7" customFormat="false" ht="15" hidden="false" customHeight="false" outlineLevel="0" collapsed="false">
      <c r="A7" s="3" t="s">
        <v>299</v>
      </c>
      <c r="B7" s="3" t="s">
        <v>277</v>
      </c>
      <c r="C7" s="3" t="s">
        <v>300</v>
      </c>
      <c r="D7" s="3" t="n">
        <v>2</v>
      </c>
      <c r="E7" s="3" t="n">
        <v>5</v>
      </c>
      <c r="F7" s="3" t="n">
        <f aca="false">D9*E9</f>
        <v>15</v>
      </c>
      <c r="G7" s="3" t="s">
        <v>88</v>
      </c>
      <c r="H7" s="3" t="s">
        <v>301</v>
      </c>
      <c r="I7" s="3" t="s">
        <v>289</v>
      </c>
      <c r="J7" s="3" t="s">
        <v>258</v>
      </c>
    </row>
    <row r="8" customFormat="false" ht="15" hidden="false" customHeight="false" outlineLevel="0" collapsed="false">
      <c r="A8" s="3" t="s">
        <v>302</v>
      </c>
      <c r="B8" s="3" t="s">
        <v>303</v>
      </c>
      <c r="C8" s="3" t="s">
        <v>304</v>
      </c>
      <c r="D8" s="3" t="n">
        <v>4</v>
      </c>
      <c r="E8" s="3" t="n">
        <v>5</v>
      </c>
      <c r="F8" s="3" t="n">
        <f aca="false">D10*E10</f>
        <v>10</v>
      </c>
      <c r="G8" s="3" t="s">
        <v>67</v>
      </c>
      <c r="H8" s="3" t="s">
        <v>305</v>
      </c>
      <c r="I8" s="3" t="s">
        <v>289</v>
      </c>
      <c r="J8" s="3" t="s">
        <v>306</v>
      </c>
    </row>
    <row r="9" customFormat="false" ht="22.35" hidden="false" customHeight="false" outlineLevel="0" collapsed="false">
      <c r="A9" s="3" t="s">
        <v>307</v>
      </c>
      <c r="B9" s="3" t="s">
        <v>303</v>
      </c>
      <c r="C9" s="3" t="s">
        <v>308</v>
      </c>
      <c r="D9" s="3" t="n">
        <v>3</v>
      </c>
      <c r="E9" s="3" t="n">
        <v>5</v>
      </c>
      <c r="F9" s="3" t="n">
        <f aca="false">D11*E11</f>
        <v>15</v>
      </c>
      <c r="G9" s="3" t="s">
        <v>93</v>
      </c>
      <c r="H9" s="3" t="s">
        <v>309</v>
      </c>
      <c r="I9" s="3" t="s">
        <v>289</v>
      </c>
      <c r="J9" s="3" t="s">
        <v>310</v>
      </c>
    </row>
    <row r="10" customFormat="false" ht="15" hidden="false" customHeight="false" outlineLevel="0" collapsed="false">
      <c r="A10" s="3" t="s">
        <v>311</v>
      </c>
      <c r="B10" s="3" t="s">
        <v>312</v>
      </c>
      <c r="C10" s="3" t="s">
        <v>313</v>
      </c>
      <c r="D10" s="3" t="n">
        <v>5</v>
      </c>
      <c r="E10" s="3" t="n">
        <v>2</v>
      </c>
      <c r="F10" s="3" t="n">
        <f aca="false">D12*E12</f>
        <v>12</v>
      </c>
      <c r="G10" s="3" t="s">
        <v>61</v>
      </c>
      <c r="H10" s="3" t="s">
        <v>314</v>
      </c>
      <c r="I10" s="3" t="s">
        <v>315</v>
      </c>
      <c r="J10" s="3" t="s">
        <v>281</v>
      </c>
    </row>
    <row r="11" customFormat="false" ht="15" hidden="false" customHeight="false" outlineLevel="0" collapsed="false">
      <c r="A11" s="3" t="s">
        <v>316</v>
      </c>
      <c r="B11" s="3" t="s">
        <v>312</v>
      </c>
      <c r="C11" s="3" t="s">
        <v>317</v>
      </c>
      <c r="D11" s="3" t="n">
        <v>5</v>
      </c>
      <c r="E11" s="3" t="n">
        <v>3</v>
      </c>
      <c r="F11" s="3" t="n">
        <f aca="false">D13*E13</f>
        <v>6</v>
      </c>
      <c r="G11" s="3" t="s">
        <v>61</v>
      </c>
      <c r="H11" s="3" t="s">
        <v>318</v>
      </c>
      <c r="I11" s="3" t="s">
        <v>315</v>
      </c>
      <c r="J11" s="3" t="s">
        <v>281</v>
      </c>
    </row>
    <row r="12" customFormat="false" ht="15" hidden="false" customHeight="false" outlineLevel="0" collapsed="false">
      <c r="A12" s="3" t="s">
        <v>319</v>
      </c>
      <c r="B12" s="3" t="s">
        <v>320</v>
      </c>
      <c r="C12" s="3" t="s">
        <v>321</v>
      </c>
      <c r="D12" s="3" t="n">
        <v>4</v>
      </c>
      <c r="E12" s="3" t="n">
        <v>3</v>
      </c>
      <c r="F12" s="3" t="n">
        <f aca="false">D14*E14</f>
        <v>0</v>
      </c>
      <c r="G12" s="3" t="s">
        <v>67</v>
      </c>
      <c r="H12" s="3" t="s">
        <v>322</v>
      </c>
      <c r="I12" s="3" t="s">
        <v>289</v>
      </c>
      <c r="J12" s="3" t="s">
        <v>290</v>
      </c>
    </row>
    <row r="13" customFormat="false" ht="15" hidden="false" customHeight="false" outlineLevel="0" collapsed="false">
      <c r="A13" s="3" t="s">
        <v>323</v>
      </c>
      <c r="B13" s="3" t="s">
        <v>320</v>
      </c>
      <c r="C13" s="3" t="s">
        <v>324</v>
      </c>
      <c r="D13" s="3" t="n">
        <v>3</v>
      </c>
      <c r="E13" s="3" t="n">
        <v>2</v>
      </c>
      <c r="F13" s="3" t="n">
        <f aca="false">D15*E15</f>
        <v>0</v>
      </c>
      <c r="G13" s="3" t="s">
        <v>48</v>
      </c>
      <c r="H13" s="3" t="s">
        <v>325</v>
      </c>
      <c r="I13" s="3" t="s">
        <v>289</v>
      </c>
      <c r="J13" s="3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52"/>
    <col collapsed="false" customWidth="true" hidden="false" outlineLevel="0" max="5" min="5" style="0" width="40"/>
    <col collapsed="false" customWidth="true" hidden="false" outlineLevel="0" max="6" min="6" style="0" width="32"/>
    <col collapsed="false" customWidth="true" hidden="false" outlineLevel="0" max="7" min="7" style="0" width="30"/>
    <col collapsed="false" customWidth="true" hidden="false" outlineLevel="0" max="8" min="8" style="0" width="20"/>
  </cols>
  <sheetData>
    <row r="1" customFormat="false" ht="15" hidden="false" customHeight="false" outlineLevel="0" collapsed="false">
      <c r="A1" s="2" t="s">
        <v>326</v>
      </c>
      <c r="B1" s="2" t="s">
        <v>327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219</v>
      </c>
    </row>
    <row r="2" customFormat="false" ht="22.35" hidden="false" customHeight="false" outlineLevel="0" collapsed="false">
      <c r="A2" s="3" t="s">
        <v>333</v>
      </c>
      <c r="B2" s="3" t="s">
        <v>298</v>
      </c>
      <c r="C2" s="3" t="s">
        <v>36</v>
      </c>
      <c r="D2" s="3" t="s">
        <v>334</v>
      </c>
      <c r="E2" s="3" t="s">
        <v>335</v>
      </c>
      <c r="F2" s="3" t="s">
        <v>336</v>
      </c>
      <c r="G2" s="3" t="s">
        <v>337</v>
      </c>
      <c r="H2" s="3" t="s">
        <v>289</v>
      </c>
    </row>
    <row r="3" customFormat="false" ht="22.35" hidden="false" customHeight="false" outlineLevel="0" collapsed="false">
      <c r="A3" s="3" t="s">
        <v>338</v>
      </c>
      <c r="B3" s="3" t="s">
        <v>339</v>
      </c>
      <c r="C3" s="3" t="s">
        <v>55</v>
      </c>
      <c r="D3" s="3" t="s">
        <v>340</v>
      </c>
      <c r="E3" s="3" t="s">
        <v>341</v>
      </c>
      <c r="F3" s="3" t="s">
        <v>342</v>
      </c>
      <c r="G3" s="3" t="s">
        <v>343</v>
      </c>
      <c r="H3" s="3" t="s">
        <v>344</v>
      </c>
    </row>
    <row r="4" customFormat="false" ht="15" hidden="false" customHeight="false" outlineLevel="0" collapsed="false">
      <c r="A4" s="3" t="s">
        <v>345</v>
      </c>
      <c r="B4" s="3" t="s">
        <v>346</v>
      </c>
      <c r="C4" s="3" t="s">
        <v>43</v>
      </c>
      <c r="D4" s="3" t="s">
        <v>347</v>
      </c>
      <c r="E4" s="3" t="s">
        <v>348</v>
      </c>
      <c r="F4" s="3" t="s">
        <v>342</v>
      </c>
      <c r="G4" s="3" t="s">
        <v>349</v>
      </c>
      <c r="H4" s="3" t="s">
        <v>350</v>
      </c>
    </row>
    <row r="5" customFormat="false" ht="15" hidden="false" customHeight="false" outlineLevel="0" collapsed="false">
      <c r="A5" s="3" t="s">
        <v>351</v>
      </c>
      <c r="B5" s="3" t="s">
        <v>352</v>
      </c>
      <c r="C5" s="3" t="s">
        <v>61</v>
      </c>
      <c r="D5" s="3" t="s">
        <v>353</v>
      </c>
      <c r="E5" s="3" t="s">
        <v>354</v>
      </c>
      <c r="F5" s="3" t="s">
        <v>342</v>
      </c>
      <c r="G5" s="3" t="s">
        <v>355</v>
      </c>
      <c r="H5" s="3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2" t="s">
        <v>357</v>
      </c>
      <c r="B1" s="2" t="s">
        <v>214</v>
      </c>
      <c r="C1" s="2" t="s">
        <v>358</v>
      </c>
      <c r="D1" s="2" t="s">
        <v>129</v>
      </c>
      <c r="E1" s="2" t="s">
        <v>359</v>
      </c>
      <c r="F1" s="2" t="s">
        <v>360</v>
      </c>
      <c r="G1" s="2" t="s">
        <v>327</v>
      </c>
    </row>
    <row r="2" customFormat="false" ht="15" hidden="false" customHeight="false" outlineLevel="0" collapsed="false">
      <c r="A2" s="3" t="s">
        <v>361</v>
      </c>
      <c r="B2" s="3" t="s">
        <v>156</v>
      </c>
      <c r="C2" s="3" t="s">
        <v>362</v>
      </c>
      <c r="D2" s="3" t="s">
        <v>154</v>
      </c>
      <c r="E2" s="3" t="s">
        <v>48</v>
      </c>
      <c r="F2" s="3" t="s">
        <v>363</v>
      </c>
      <c r="G2" s="3" t="s">
        <v>364</v>
      </c>
    </row>
    <row r="3" customFormat="false" ht="15" hidden="false" customHeight="false" outlineLevel="0" collapsed="false">
      <c r="A3" s="3" t="s">
        <v>365</v>
      </c>
      <c r="B3" s="3" t="s">
        <v>156</v>
      </c>
      <c r="C3" s="3" t="s">
        <v>366</v>
      </c>
      <c r="D3" s="3" t="s">
        <v>367</v>
      </c>
      <c r="E3" s="3" t="s">
        <v>72</v>
      </c>
      <c r="F3" s="3" t="s">
        <v>363</v>
      </c>
      <c r="G3" s="3" t="s">
        <v>364</v>
      </c>
    </row>
    <row r="4" customFormat="false" ht="15" hidden="false" customHeight="false" outlineLevel="0" collapsed="false">
      <c r="A4" s="3" t="s">
        <v>162</v>
      </c>
      <c r="B4" s="3" t="s">
        <v>161</v>
      </c>
      <c r="C4" s="3" t="s">
        <v>368</v>
      </c>
      <c r="D4" s="3" t="s">
        <v>154</v>
      </c>
      <c r="E4" s="3" t="s">
        <v>48</v>
      </c>
      <c r="F4" s="3" t="s">
        <v>363</v>
      </c>
      <c r="G4" s="3" t="s">
        <v>369</v>
      </c>
    </row>
    <row r="5" customFormat="false" ht="15" hidden="false" customHeight="false" outlineLevel="0" collapsed="false">
      <c r="A5" s="3" t="s">
        <v>166</v>
      </c>
      <c r="B5" s="3" t="s">
        <v>165</v>
      </c>
      <c r="C5" s="3" t="s">
        <v>370</v>
      </c>
      <c r="D5" s="3" t="s">
        <v>154</v>
      </c>
      <c r="E5" s="3" t="s">
        <v>48</v>
      </c>
      <c r="F5" s="3" t="s">
        <v>363</v>
      </c>
      <c r="G5" s="3" t="s">
        <v>369</v>
      </c>
    </row>
    <row r="6" customFormat="false" ht="15" hidden="false" customHeight="false" outlineLevel="0" collapsed="false">
      <c r="A6" s="3" t="s">
        <v>171</v>
      </c>
      <c r="B6" s="3" t="s">
        <v>170</v>
      </c>
      <c r="C6" s="3" t="s">
        <v>371</v>
      </c>
      <c r="D6" s="3" t="s">
        <v>154</v>
      </c>
      <c r="E6" s="3" t="s">
        <v>61</v>
      </c>
      <c r="F6" s="3" t="s">
        <v>363</v>
      </c>
      <c r="G6" s="3" t="s">
        <v>369</v>
      </c>
    </row>
    <row r="7" customFormat="false" ht="15" hidden="false" customHeight="false" outlineLevel="0" collapsed="false">
      <c r="A7" s="3" t="s">
        <v>175</v>
      </c>
      <c r="B7" s="3" t="s">
        <v>174</v>
      </c>
      <c r="C7" s="3" t="s">
        <v>372</v>
      </c>
      <c r="D7" s="3" t="s">
        <v>154</v>
      </c>
      <c r="E7" s="3" t="s">
        <v>55</v>
      </c>
      <c r="F7" s="3" t="s">
        <v>363</v>
      </c>
      <c r="G7" s="3" t="s">
        <v>373</v>
      </c>
    </row>
    <row r="8" customFormat="false" ht="15" hidden="false" customHeight="false" outlineLevel="0" collapsed="false">
      <c r="A8" s="3" t="s">
        <v>179</v>
      </c>
      <c r="B8" s="3" t="s">
        <v>178</v>
      </c>
      <c r="C8" s="3" t="s">
        <v>374</v>
      </c>
      <c r="D8" s="3" t="s">
        <v>375</v>
      </c>
      <c r="E8" s="3" t="s">
        <v>55</v>
      </c>
      <c r="F8" s="3" t="s">
        <v>363</v>
      </c>
      <c r="G8" s="3" t="s">
        <v>373</v>
      </c>
    </row>
    <row r="9" customFormat="false" ht="15" hidden="false" customHeight="false" outlineLevel="0" collapsed="false">
      <c r="A9" s="3" t="s">
        <v>183</v>
      </c>
      <c r="B9" s="3" t="s">
        <v>182</v>
      </c>
      <c r="C9" s="3" t="s">
        <v>376</v>
      </c>
      <c r="D9" s="3" t="s">
        <v>154</v>
      </c>
      <c r="E9" s="3" t="s">
        <v>48</v>
      </c>
      <c r="F9" s="3" t="s">
        <v>363</v>
      </c>
      <c r="G9" s="3" t="s">
        <v>377</v>
      </c>
    </row>
    <row r="10" customFormat="false" ht="15" hidden="false" customHeight="false" outlineLevel="0" collapsed="false">
      <c r="A10" s="3" t="s">
        <v>378</v>
      </c>
      <c r="B10" s="3" t="s">
        <v>186</v>
      </c>
      <c r="C10" s="3" t="s">
        <v>379</v>
      </c>
      <c r="D10" s="3" t="s">
        <v>154</v>
      </c>
      <c r="E10" s="3" t="s">
        <v>43</v>
      </c>
      <c r="F10" s="3" t="s">
        <v>363</v>
      </c>
      <c r="G10" s="3" t="s">
        <v>377</v>
      </c>
    </row>
    <row r="11" customFormat="false" ht="15" hidden="false" customHeight="false" outlineLevel="0" collapsed="false">
      <c r="A11" s="3" t="s">
        <v>380</v>
      </c>
      <c r="B11" s="3" t="s">
        <v>186</v>
      </c>
      <c r="C11" s="3" t="s">
        <v>381</v>
      </c>
      <c r="D11" s="3" t="s">
        <v>154</v>
      </c>
      <c r="E11" s="3" t="s">
        <v>43</v>
      </c>
      <c r="F11" s="3" t="s">
        <v>382</v>
      </c>
      <c r="G11" s="3" t="s">
        <v>377</v>
      </c>
    </row>
    <row r="12" customFormat="false" ht="15" hidden="false" customHeight="false" outlineLevel="0" collapsed="false">
      <c r="A12" s="3" t="s">
        <v>383</v>
      </c>
      <c r="B12" s="3" t="s">
        <v>186</v>
      </c>
      <c r="C12" s="3" t="s">
        <v>384</v>
      </c>
      <c r="D12" s="3" t="s">
        <v>385</v>
      </c>
      <c r="E12" s="3" t="s">
        <v>43</v>
      </c>
      <c r="F12" s="3" t="s">
        <v>363</v>
      </c>
      <c r="G12" s="3" t="s">
        <v>386</v>
      </c>
    </row>
    <row r="13" customFormat="false" ht="15" hidden="false" customHeight="false" outlineLevel="0" collapsed="false">
      <c r="A13" s="3" t="s">
        <v>387</v>
      </c>
      <c r="B13" s="3" t="s">
        <v>190</v>
      </c>
      <c r="C13" s="3" t="s">
        <v>388</v>
      </c>
      <c r="D13" s="3" t="s">
        <v>154</v>
      </c>
      <c r="E13" s="3" t="s">
        <v>72</v>
      </c>
      <c r="F13" s="3" t="s">
        <v>363</v>
      </c>
      <c r="G13" s="3" t="s">
        <v>389</v>
      </c>
    </row>
    <row r="14" customFormat="false" ht="15" hidden="false" customHeight="false" outlineLevel="0" collapsed="false">
      <c r="A14" s="3" t="s">
        <v>390</v>
      </c>
      <c r="B14" s="3" t="s">
        <v>190</v>
      </c>
      <c r="C14" s="3" t="s">
        <v>391</v>
      </c>
      <c r="D14" s="3" t="s">
        <v>392</v>
      </c>
      <c r="E14" s="3" t="s">
        <v>72</v>
      </c>
      <c r="F14" s="3" t="s">
        <v>363</v>
      </c>
      <c r="G14" s="3" t="s">
        <v>389</v>
      </c>
    </row>
    <row r="15" customFormat="false" ht="15" hidden="false" customHeight="false" outlineLevel="0" collapsed="false">
      <c r="A15" s="3" t="s">
        <v>195</v>
      </c>
      <c r="B15" s="3" t="s">
        <v>194</v>
      </c>
      <c r="C15" s="3" t="s">
        <v>393</v>
      </c>
      <c r="D15" s="3" t="s">
        <v>154</v>
      </c>
      <c r="E15" s="3" t="s">
        <v>36</v>
      </c>
      <c r="F15" s="3" t="s">
        <v>363</v>
      </c>
      <c r="G15" s="3" t="s">
        <v>386</v>
      </c>
    </row>
    <row r="16" customFormat="false" ht="15" hidden="false" customHeight="false" outlineLevel="0" collapsed="false">
      <c r="A16" s="3" t="s">
        <v>199</v>
      </c>
      <c r="B16" s="3" t="s">
        <v>198</v>
      </c>
      <c r="C16" s="3" t="s">
        <v>394</v>
      </c>
      <c r="D16" s="3" t="s">
        <v>154</v>
      </c>
      <c r="E16" s="3" t="s">
        <v>83</v>
      </c>
      <c r="F16" s="3" t="s">
        <v>363</v>
      </c>
      <c r="G16" s="3" t="s">
        <v>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6"/>
    <col collapsed="false" customWidth="true" hidden="false" outlineLevel="0" max="5" min="3" style="0" width="9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9" min="8" style="0" width="12"/>
    <col collapsed="false" customWidth="true" hidden="false" outlineLevel="0" max="10" min="10" style="0" width="40"/>
  </cols>
  <sheetData>
    <row r="1" customFormat="false" ht="15" hidden="false" customHeight="false" outlineLevel="0" collapsed="false">
      <c r="A1" s="2" t="s">
        <v>27</v>
      </c>
      <c r="B1" s="2" t="s">
        <v>396</v>
      </c>
      <c r="C1" s="2" t="s">
        <v>397</v>
      </c>
      <c r="D1" s="2" t="s">
        <v>131</v>
      </c>
      <c r="E1" s="2" t="s">
        <v>398</v>
      </c>
      <c r="F1" s="2" t="s">
        <v>214</v>
      </c>
      <c r="G1" s="2" t="s">
        <v>219</v>
      </c>
      <c r="H1" s="2" t="s">
        <v>399</v>
      </c>
      <c r="I1" s="2" t="s">
        <v>400</v>
      </c>
      <c r="J1" s="2" t="s">
        <v>401</v>
      </c>
    </row>
    <row r="2" customFormat="false" ht="15" hidden="false" customHeight="false" outlineLevel="0" collapsed="false">
      <c r="A2" s="3" t="s">
        <v>402</v>
      </c>
      <c r="B2" s="3" t="s">
        <v>403</v>
      </c>
      <c r="C2" s="3" t="s">
        <v>404</v>
      </c>
      <c r="D2" s="3" t="s">
        <v>405</v>
      </c>
      <c r="E2" s="3" t="s">
        <v>406</v>
      </c>
      <c r="F2" s="3" t="s">
        <v>161</v>
      </c>
      <c r="G2" s="3" t="s">
        <v>289</v>
      </c>
      <c r="H2" s="3" t="s">
        <v>407</v>
      </c>
      <c r="I2" s="3" t="s">
        <v>408</v>
      </c>
      <c r="J2" s="3" t="s">
        <v>409</v>
      </c>
    </row>
    <row r="3" customFormat="false" ht="15" hidden="false" customHeight="false" outlineLevel="0" collapsed="false">
      <c r="A3" s="3" t="s">
        <v>410</v>
      </c>
      <c r="B3" s="3" t="s">
        <v>411</v>
      </c>
      <c r="C3" s="3" t="s">
        <v>412</v>
      </c>
      <c r="D3" s="3" t="s">
        <v>413</v>
      </c>
      <c r="E3" s="3" t="s">
        <v>406</v>
      </c>
      <c r="F3" s="3" t="s">
        <v>165</v>
      </c>
      <c r="G3" s="3" t="s">
        <v>289</v>
      </c>
      <c r="H3" s="3" t="s">
        <v>414</v>
      </c>
      <c r="I3" s="3" t="s">
        <v>352</v>
      </c>
      <c r="J3" s="3" t="s">
        <v>415</v>
      </c>
    </row>
    <row r="4" customFormat="false" ht="15" hidden="false" customHeight="false" outlineLevel="0" collapsed="false">
      <c r="A4" s="3" t="s">
        <v>416</v>
      </c>
      <c r="B4" s="3" t="s">
        <v>417</v>
      </c>
      <c r="C4" s="3" t="s">
        <v>404</v>
      </c>
      <c r="D4" s="3" t="s">
        <v>413</v>
      </c>
      <c r="E4" s="3" t="s">
        <v>406</v>
      </c>
      <c r="F4" s="3" t="s">
        <v>165</v>
      </c>
      <c r="G4" s="3" t="s">
        <v>289</v>
      </c>
      <c r="H4" s="3" t="s">
        <v>310</v>
      </c>
      <c r="I4" s="3" t="s">
        <v>418</v>
      </c>
      <c r="J4" s="3" t="s">
        <v>419</v>
      </c>
    </row>
    <row r="5" customFormat="false" ht="15" hidden="false" customHeight="false" outlineLevel="0" collapsed="false">
      <c r="A5" s="3" t="s">
        <v>420</v>
      </c>
      <c r="B5" s="3" t="s">
        <v>421</v>
      </c>
      <c r="C5" s="3" t="s">
        <v>422</v>
      </c>
      <c r="D5" s="3" t="s">
        <v>423</v>
      </c>
      <c r="E5" s="3" t="s">
        <v>406</v>
      </c>
      <c r="F5" s="3" t="s">
        <v>170</v>
      </c>
      <c r="G5" s="3" t="s">
        <v>289</v>
      </c>
      <c r="H5" s="3" t="s">
        <v>256</v>
      </c>
      <c r="I5" s="3" t="s">
        <v>258</v>
      </c>
      <c r="J5" s="3" t="s">
        <v>424</v>
      </c>
    </row>
    <row r="6" customFormat="false" ht="15" hidden="false" customHeight="false" outlineLevel="0" collapsed="false">
      <c r="A6" s="3" t="s">
        <v>425</v>
      </c>
      <c r="B6" s="3" t="s">
        <v>426</v>
      </c>
      <c r="C6" s="3" t="s">
        <v>404</v>
      </c>
      <c r="D6" s="3" t="s">
        <v>405</v>
      </c>
      <c r="E6" s="3" t="s">
        <v>406</v>
      </c>
      <c r="F6" s="3" t="s">
        <v>170</v>
      </c>
      <c r="G6" s="3" t="s">
        <v>289</v>
      </c>
      <c r="H6" s="3" t="s">
        <v>346</v>
      </c>
      <c r="I6" s="3" t="s">
        <v>427</v>
      </c>
      <c r="J6" s="3" t="s">
        <v>428</v>
      </c>
    </row>
    <row r="7" customFormat="false" ht="15" hidden="false" customHeight="false" outlineLevel="0" collapsed="false">
      <c r="A7" s="3" t="s">
        <v>429</v>
      </c>
      <c r="B7" s="3" t="s">
        <v>430</v>
      </c>
      <c r="C7" s="3" t="s">
        <v>404</v>
      </c>
      <c r="D7" s="3" t="s">
        <v>413</v>
      </c>
      <c r="E7" s="3" t="s">
        <v>406</v>
      </c>
      <c r="F7" s="3" t="s">
        <v>174</v>
      </c>
      <c r="G7" s="3" t="s">
        <v>289</v>
      </c>
      <c r="H7" s="3" t="s">
        <v>261</v>
      </c>
      <c r="I7" s="3" t="s">
        <v>431</v>
      </c>
      <c r="J7" s="3" t="s">
        <v>432</v>
      </c>
    </row>
    <row r="8" customFormat="false" ht="15" hidden="false" customHeight="false" outlineLevel="0" collapsed="false">
      <c r="A8" s="3" t="s">
        <v>433</v>
      </c>
      <c r="B8" s="3" t="s">
        <v>434</v>
      </c>
      <c r="C8" s="3" t="s">
        <v>435</v>
      </c>
      <c r="D8" s="3" t="s">
        <v>436</v>
      </c>
      <c r="E8" s="3" t="s">
        <v>406</v>
      </c>
      <c r="F8" s="3" t="s">
        <v>156</v>
      </c>
      <c r="G8" s="3" t="s">
        <v>289</v>
      </c>
      <c r="H8" s="3" t="s">
        <v>437</v>
      </c>
      <c r="I8" s="3" t="s">
        <v>298</v>
      </c>
      <c r="J8" s="3" t="s">
        <v>438</v>
      </c>
    </row>
    <row r="9" customFormat="false" ht="15" hidden="false" customHeight="false" outlineLevel="0" collapsed="false">
      <c r="A9" s="3" t="s">
        <v>439</v>
      </c>
      <c r="B9" s="3" t="s">
        <v>440</v>
      </c>
      <c r="C9" s="3" t="s">
        <v>422</v>
      </c>
      <c r="D9" s="3" t="s">
        <v>405</v>
      </c>
      <c r="E9" s="3" t="s">
        <v>406</v>
      </c>
      <c r="F9" s="3" t="s">
        <v>182</v>
      </c>
      <c r="G9" s="3" t="s">
        <v>289</v>
      </c>
      <c r="H9" s="3" t="s">
        <v>441</v>
      </c>
      <c r="I9" s="3" t="s">
        <v>306</v>
      </c>
      <c r="J9" s="3" t="s">
        <v>442</v>
      </c>
    </row>
    <row r="10" customFormat="false" ht="15" hidden="false" customHeight="false" outlineLevel="0" collapsed="false">
      <c r="A10" s="3" t="s">
        <v>443</v>
      </c>
      <c r="B10" s="3" t="s">
        <v>444</v>
      </c>
      <c r="C10" s="3" t="s">
        <v>404</v>
      </c>
      <c r="D10" s="3" t="s">
        <v>413</v>
      </c>
      <c r="E10" s="3" t="s">
        <v>406</v>
      </c>
      <c r="F10" s="3" t="s">
        <v>178</v>
      </c>
      <c r="G10" s="3" t="s">
        <v>289</v>
      </c>
      <c r="H10" s="3" t="s">
        <v>339</v>
      </c>
      <c r="I10" s="3" t="s">
        <v>445</v>
      </c>
      <c r="J10" s="3" t="s">
        <v>446</v>
      </c>
    </row>
    <row r="11" customFormat="false" ht="15" hidden="false" customHeight="false" outlineLevel="0" collapsed="false">
      <c r="A11" s="3" t="s">
        <v>447</v>
      </c>
      <c r="B11" s="3" t="s">
        <v>448</v>
      </c>
      <c r="C11" s="3" t="s">
        <v>412</v>
      </c>
      <c r="D11" s="3" t="s">
        <v>413</v>
      </c>
      <c r="E11" s="3" t="s">
        <v>406</v>
      </c>
      <c r="F11" s="3" t="s">
        <v>186</v>
      </c>
      <c r="G11" s="3" t="s">
        <v>289</v>
      </c>
      <c r="H11" s="3" t="s">
        <v>449</v>
      </c>
      <c r="I11" s="3" t="s">
        <v>262</v>
      </c>
      <c r="J11" s="3" t="s">
        <v>450</v>
      </c>
    </row>
    <row r="12" customFormat="false" ht="15" hidden="false" customHeight="false" outlineLevel="0" collapsed="false">
      <c r="A12" s="3" t="s">
        <v>451</v>
      </c>
      <c r="B12" s="3" t="s">
        <v>452</v>
      </c>
      <c r="C12" s="3" t="s">
        <v>412</v>
      </c>
      <c r="D12" s="3" t="s">
        <v>413</v>
      </c>
      <c r="E12" s="3" t="s">
        <v>406</v>
      </c>
      <c r="F12" s="3" t="s">
        <v>190</v>
      </c>
      <c r="G12" s="3" t="s">
        <v>289</v>
      </c>
      <c r="H12" s="3" t="s">
        <v>264</v>
      </c>
      <c r="I12" s="3" t="s">
        <v>453</v>
      </c>
      <c r="J12" s="3" t="s">
        <v>454</v>
      </c>
    </row>
    <row r="13" customFormat="false" ht="15" hidden="false" customHeight="false" outlineLevel="0" collapsed="false">
      <c r="A13" s="3" t="s">
        <v>455</v>
      </c>
      <c r="B13" s="3" t="s">
        <v>456</v>
      </c>
      <c r="C13" s="3" t="s">
        <v>435</v>
      </c>
      <c r="D13" s="3" t="s">
        <v>436</v>
      </c>
      <c r="E13" s="3" t="s">
        <v>406</v>
      </c>
      <c r="F13" s="3" t="s">
        <v>194</v>
      </c>
      <c r="G13" s="3" t="s">
        <v>289</v>
      </c>
      <c r="H13" s="3" t="s">
        <v>457</v>
      </c>
      <c r="I13" s="3" t="s">
        <v>458</v>
      </c>
      <c r="J13" s="3" t="s">
        <v>459</v>
      </c>
    </row>
    <row r="14" customFormat="false" ht="15" hidden="false" customHeight="false" outlineLevel="0" collapsed="false">
      <c r="A14" s="3" t="s">
        <v>460</v>
      </c>
      <c r="B14" s="3" t="s">
        <v>461</v>
      </c>
      <c r="C14" s="3" t="s">
        <v>404</v>
      </c>
      <c r="D14" s="3" t="s">
        <v>405</v>
      </c>
      <c r="E14" s="3" t="s">
        <v>17</v>
      </c>
      <c r="F14" s="3" t="s">
        <v>186</v>
      </c>
      <c r="G14" s="3" t="s">
        <v>289</v>
      </c>
      <c r="H14" s="3" t="s">
        <v>377</v>
      </c>
      <c r="I14" s="3" t="s">
        <v>389</v>
      </c>
      <c r="J14" s="3" t="s">
        <v>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0"/>
    <col collapsed="false" customWidth="true" hidden="false" outlineLevel="0" max="3" min="3" style="0" width="40"/>
    <col collapsed="false" customWidth="true" hidden="false" outlineLevel="0" max="5" min="4" style="0" width="16"/>
  </cols>
  <sheetData>
    <row r="1" customFormat="false" ht="15" hidden="false" customHeight="false" outlineLevel="0" collapsed="false">
      <c r="A1" s="2" t="s">
        <v>397</v>
      </c>
      <c r="B1" s="2" t="s">
        <v>463</v>
      </c>
      <c r="C1" s="2" t="s">
        <v>464</v>
      </c>
      <c r="D1" s="2" t="s">
        <v>465</v>
      </c>
      <c r="E1" s="2" t="s">
        <v>466</v>
      </c>
    </row>
    <row r="2" customFormat="false" ht="15" hidden="false" customHeight="false" outlineLevel="0" collapsed="false">
      <c r="A2" s="3" t="s">
        <v>467</v>
      </c>
      <c r="B2" s="3" t="s">
        <v>468</v>
      </c>
      <c r="C2" s="3" t="s">
        <v>469</v>
      </c>
      <c r="D2" s="3" t="s">
        <v>470</v>
      </c>
      <c r="E2" s="3" t="s">
        <v>471</v>
      </c>
    </row>
    <row r="3" customFormat="false" ht="15" hidden="false" customHeight="false" outlineLevel="0" collapsed="false">
      <c r="A3" s="3" t="s">
        <v>472</v>
      </c>
      <c r="B3" s="3" t="s">
        <v>473</v>
      </c>
      <c r="C3" s="3" t="s">
        <v>474</v>
      </c>
      <c r="D3" s="3" t="s">
        <v>475</v>
      </c>
      <c r="E3" s="3" t="s">
        <v>476</v>
      </c>
    </row>
    <row r="4" customFormat="false" ht="15" hidden="false" customHeight="false" outlineLevel="0" collapsed="false">
      <c r="A4" s="3" t="s">
        <v>477</v>
      </c>
      <c r="B4" s="3" t="s">
        <v>478</v>
      </c>
      <c r="C4" s="3" t="s">
        <v>479</v>
      </c>
      <c r="D4" s="3" t="s">
        <v>476</v>
      </c>
      <c r="E4" s="3" t="s">
        <v>480</v>
      </c>
    </row>
    <row r="5" customFormat="false" ht="15" hidden="false" customHeight="false" outlineLevel="0" collapsed="false">
      <c r="A5" s="3" t="s">
        <v>481</v>
      </c>
      <c r="B5" s="3" t="s">
        <v>482</v>
      </c>
      <c r="C5" s="3" t="s">
        <v>483</v>
      </c>
      <c r="D5" s="3" t="s">
        <v>484</v>
      </c>
      <c r="E5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1" t="s">
        <v>485</v>
      </c>
    </row>
    <row r="3" customFormat="false" ht="23.85" hidden="false" customHeight="false" outlineLevel="0" collapsed="false">
      <c r="A3" s="2" t="s">
        <v>486</v>
      </c>
      <c r="B3" s="2" t="s">
        <v>487</v>
      </c>
      <c r="C3" s="2" t="s">
        <v>488</v>
      </c>
      <c r="D3" s="2" t="s">
        <v>489</v>
      </c>
      <c r="E3" s="2" t="s">
        <v>273</v>
      </c>
      <c r="F3" s="2" t="s">
        <v>490</v>
      </c>
      <c r="G3" s="2" t="s">
        <v>491</v>
      </c>
      <c r="H3" s="2" t="s">
        <v>492</v>
      </c>
      <c r="I3" s="2" t="s">
        <v>219</v>
      </c>
      <c r="J3" s="2" t="s">
        <v>493</v>
      </c>
      <c r="K3" s="2" t="s">
        <v>494</v>
      </c>
    </row>
    <row r="4" customFormat="false" ht="15" hidden="false" customHeight="false" outlineLevel="0" collapsed="false">
      <c r="A4" s="3" t="s">
        <v>495</v>
      </c>
      <c r="B4" s="3" t="s">
        <v>496</v>
      </c>
      <c r="C4" s="3" t="s">
        <v>497</v>
      </c>
      <c r="D4" s="7" t="n">
        <v>-2.03</v>
      </c>
      <c r="E4" s="3" t="s">
        <v>498</v>
      </c>
      <c r="F4" s="8" t="n">
        <v>45628</v>
      </c>
      <c r="G4" s="9" t="n">
        <v>45632.4275053174</v>
      </c>
      <c r="H4" s="3" t="n">
        <v>96.26</v>
      </c>
      <c r="I4" s="3" t="str">
        <f aca="false">IF(G4="","OPEN","RESOLVED")</f>
        <v>RESOLVED</v>
      </c>
      <c r="J4" s="3" t="n">
        <f aca="false">IF(C4="TIMING_MISMATCH_TIMEZONE",1,IF(ABS(D4)&gt;5000,4,IF(C4="FEE_VARIANCE_BREACH",120,IF(LEFT(C4,8)="ORPHANED",48,24))))</f>
        <v>120</v>
      </c>
      <c r="K4" s="3" t="str">
        <f aca="false">IF(H4="","",IF(H4&gt;J4,"BREACH","OK"))</f>
        <v>OK</v>
      </c>
    </row>
    <row r="5" customFormat="false" ht="15" hidden="false" customHeight="false" outlineLevel="0" collapsed="false">
      <c r="A5" s="3" t="s">
        <v>499</v>
      </c>
      <c r="B5" s="3" t="s">
        <v>500</v>
      </c>
      <c r="C5" s="3" t="s">
        <v>497</v>
      </c>
      <c r="D5" s="7" t="n">
        <v>-0.87</v>
      </c>
      <c r="E5" s="3" t="s">
        <v>498</v>
      </c>
      <c r="F5" s="8" t="n">
        <v>45628</v>
      </c>
      <c r="G5" s="9" t="n">
        <v>45630.9274909487</v>
      </c>
      <c r="H5" s="3" t="n">
        <v>60.26</v>
      </c>
      <c r="I5" s="3" t="str">
        <f aca="false">IF(G5="","OPEN","RESOLVED")</f>
        <v>RESOLVED</v>
      </c>
      <c r="J5" s="3" t="n">
        <f aca="false">IF(C5="TIMING_MISMATCH_TIMEZONE",1,IF(ABS(D5)&gt;5000,4,IF(C5="FEE_VARIANCE_BREACH",120,IF(LEFT(C5,8)="ORPHANED",48,24))))</f>
        <v>120</v>
      </c>
      <c r="K5" s="3" t="str">
        <f aca="false">IF(H5="","",IF(H5&gt;J5,"BREACH","OK"))</f>
        <v>OK</v>
      </c>
    </row>
    <row r="6" customFormat="false" ht="15" hidden="false" customHeight="false" outlineLevel="0" collapsed="false">
      <c r="A6" s="3" t="s">
        <v>501</v>
      </c>
      <c r="B6" s="3" t="s">
        <v>502</v>
      </c>
      <c r="C6" s="3" t="s">
        <v>503</v>
      </c>
      <c r="D6" s="7" t="n">
        <v>-137.11</v>
      </c>
      <c r="E6" s="3" t="s">
        <v>504</v>
      </c>
      <c r="F6" s="8" t="n">
        <v>45628</v>
      </c>
      <c r="G6" s="9" t="n">
        <v>45631.2621199312</v>
      </c>
      <c r="H6" s="3" t="n">
        <v>68.29</v>
      </c>
      <c r="I6" s="3" t="str">
        <f aca="false">IF(G6="","OPEN","RESOLVED")</f>
        <v>RESOLVED</v>
      </c>
      <c r="J6" s="3" t="n">
        <f aca="false">IF(C6="TIMING_MISMATCH_TIMEZONE",1,IF(ABS(D6)&gt;5000,4,IF(C6="FEE_VARIANCE_BREACH",120,IF(LEFT(C6,8)="ORPHANED",48,24))))</f>
        <v>48</v>
      </c>
      <c r="K6" s="3" t="str">
        <f aca="false">IF(H6="","",IF(H6&gt;J6,"BREACH","OK"))</f>
        <v>BREACH</v>
      </c>
    </row>
    <row r="7" customFormat="false" ht="15" hidden="false" customHeight="false" outlineLevel="0" collapsed="false">
      <c r="A7" s="3" t="s">
        <v>505</v>
      </c>
      <c r="B7" s="3" t="s">
        <v>506</v>
      </c>
      <c r="C7" s="3" t="s">
        <v>497</v>
      </c>
      <c r="D7" s="7" t="n">
        <v>-1.45</v>
      </c>
      <c r="E7" s="3" t="s">
        <v>498</v>
      </c>
      <c r="F7" s="8" t="n">
        <v>45628</v>
      </c>
      <c r="G7" s="9" t="n">
        <v>45631.2225014323</v>
      </c>
      <c r="H7" s="3" t="n">
        <v>67.34</v>
      </c>
      <c r="I7" s="3" t="str">
        <f aca="false">IF(G7="","OPEN","RESOLVED")</f>
        <v>RESOLVED</v>
      </c>
      <c r="J7" s="3" t="n">
        <f aca="false">IF(C7="TIMING_MISMATCH_TIMEZONE",1,IF(ABS(D7)&gt;5000,4,IF(C7="FEE_VARIANCE_BREACH",120,IF(LEFT(C7,8)="ORPHANED",48,24))))</f>
        <v>120</v>
      </c>
      <c r="K7" s="3" t="str">
        <f aca="false">IF(H7="","",IF(H7&gt;J7,"BREACH","OK"))</f>
        <v>OK</v>
      </c>
    </row>
    <row r="8" customFormat="false" ht="15" hidden="false" customHeight="false" outlineLevel="0" collapsed="false">
      <c r="A8" s="3" t="s">
        <v>507</v>
      </c>
      <c r="B8" s="3" t="s">
        <v>508</v>
      </c>
      <c r="C8" s="3" t="s">
        <v>497</v>
      </c>
      <c r="D8" s="7" t="n">
        <v>-4.3</v>
      </c>
      <c r="E8" s="3" t="s">
        <v>498</v>
      </c>
      <c r="F8" s="8" t="n">
        <v>45628</v>
      </c>
      <c r="G8" s="9" t="n">
        <v>45631.9909834065</v>
      </c>
      <c r="H8" s="3" t="n">
        <v>85.78</v>
      </c>
      <c r="I8" s="3" t="str">
        <f aca="false">IF(G8="","OPEN","RESOLVED")</f>
        <v>RESOLVED</v>
      </c>
      <c r="J8" s="3" t="n">
        <f aca="false">IF(C8="TIMING_MISMATCH_TIMEZONE",1,IF(ABS(D8)&gt;5000,4,IF(C8="FEE_VARIANCE_BREACH",120,IF(LEFT(C8,8)="ORPHANED",48,24))))</f>
        <v>120</v>
      </c>
      <c r="K8" s="3" t="str">
        <f aca="false">IF(H8="","",IF(H8&gt;J8,"BREACH","OK"))</f>
        <v>OK</v>
      </c>
    </row>
    <row r="9" customFormat="false" ht="15" hidden="false" customHeight="false" outlineLevel="0" collapsed="false">
      <c r="A9" s="3" t="s">
        <v>509</v>
      </c>
      <c r="B9" s="3" t="s">
        <v>510</v>
      </c>
      <c r="C9" s="3" t="s">
        <v>511</v>
      </c>
      <c r="D9" s="7" t="n">
        <v>62.04</v>
      </c>
      <c r="E9" s="3" t="s">
        <v>512</v>
      </c>
      <c r="F9" s="8" t="n">
        <v>45628</v>
      </c>
      <c r="G9" s="9" t="n">
        <v>45628.5728993767</v>
      </c>
      <c r="H9" s="3" t="n">
        <v>3.75</v>
      </c>
      <c r="I9" s="3" t="str">
        <f aca="false">IF(G9="","OPEN","RESOLVED")</f>
        <v>RESOLVED</v>
      </c>
      <c r="J9" s="3" t="n">
        <f aca="false">IF(C9="TIMING_MISMATCH_TIMEZONE",1,IF(ABS(D9)&gt;5000,4,IF(C9="FEE_VARIANCE_BREACH",120,IF(LEFT(C9,8)="ORPHANED",48,24))))</f>
        <v>48</v>
      </c>
      <c r="K9" s="3" t="str">
        <f aca="false">IF(H9="","",IF(H9&gt;J9,"BREACH","OK"))</f>
        <v>OK</v>
      </c>
    </row>
    <row r="10" customFormat="false" ht="15" hidden="false" customHeight="false" outlineLevel="0" collapsed="false">
      <c r="A10" s="3" t="s">
        <v>513</v>
      </c>
      <c r="B10" s="3" t="s">
        <v>514</v>
      </c>
      <c r="C10" s="3" t="s">
        <v>497</v>
      </c>
      <c r="D10" s="7" t="n">
        <v>-0.9</v>
      </c>
      <c r="E10" s="3" t="s">
        <v>498</v>
      </c>
      <c r="F10" s="8" t="n">
        <v>45628</v>
      </c>
      <c r="G10" s="9" t="n">
        <v>45632.4127970799</v>
      </c>
      <c r="H10" s="3" t="n">
        <v>95.91</v>
      </c>
      <c r="I10" s="3" t="str">
        <f aca="false">IF(G10="","OPEN","RESOLVED")</f>
        <v>RESOLVED</v>
      </c>
      <c r="J10" s="3" t="n">
        <f aca="false">IF(C10="TIMING_MISMATCH_TIMEZONE",1,IF(ABS(D10)&gt;5000,4,IF(C10="FEE_VARIANCE_BREACH",120,IF(LEFT(C10,8)="ORPHANED",48,24))))</f>
        <v>120</v>
      </c>
      <c r="K10" s="3" t="str">
        <f aca="false">IF(H10="","",IF(H10&gt;J10,"BREACH","OK"))</f>
        <v>OK</v>
      </c>
    </row>
    <row r="11" customFormat="false" ht="15" hidden="false" customHeight="false" outlineLevel="0" collapsed="false">
      <c r="A11" s="3" t="s">
        <v>515</v>
      </c>
      <c r="B11" s="3" t="s">
        <v>516</v>
      </c>
      <c r="C11" s="3" t="s">
        <v>517</v>
      </c>
      <c r="D11" s="7" t="n">
        <v>-7.5</v>
      </c>
      <c r="E11" s="3" t="s">
        <v>518</v>
      </c>
      <c r="F11" s="8" t="n">
        <v>45628</v>
      </c>
      <c r="G11" s="9" t="n">
        <v>45630.5051060849</v>
      </c>
      <c r="H11" s="3" t="n">
        <v>50.12</v>
      </c>
      <c r="I11" s="3" t="str">
        <f aca="false">IF(G11="","OPEN","RESOLVED")</f>
        <v>RESOLVED</v>
      </c>
      <c r="J11" s="3" t="n">
        <f aca="false">IF(C11="TIMING_MISMATCH_TIMEZONE",1,IF(ABS(D11)&gt;5000,4,IF(C11="FEE_VARIANCE_BREACH",120,IF(LEFT(C11,8)="ORPHANED",48,24))))</f>
        <v>24</v>
      </c>
      <c r="K11" s="3" t="str">
        <f aca="false">IF(H11="","",IF(H11&gt;J11,"BREACH","OK"))</f>
        <v>BREACH</v>
      </c>
    </row>
    <row r="12" customFormat="false" ht="15" hidden="false" customHeight="false" outlineLevel="0" collapsed="false">
      <c r="A12" s="3" t="s">
        <v>519</v>
      </c>
      <c r="B12" s="3" t="s">
        <v>520</v>
      </c>
      <c r="C12" s="3" t="s">
        <v>511</v>
      </c>
      <c r="D12" s="7" t="n">
        <v>386.39</v>
      </c>
      <c r="E12" s="3" t="s">
        <v>512</v>
      </c>
      <c r="F12" s="8" t="n">
        <v>45628</v>
      </c>
      <c r="G12" s="9" t="n">
        <v>45629.3425352148</v>
      </c>
      <c r="H12" s="3" t="n">
        <v>22.22</v>
      </c>
      <c r="I12" s="3" t="str">
        <f aca="false">IF(G12="","OPEN","RESOLVED")</f>
        <v>RESOLVED</v>
      </c>
      <c r="J12" s="3" t="n">
        <f aca="false">IF(C12="TIMING_MISMATCH_TIMEZONE",1,IF(ABS(D12)&gt;5000,4,IF(C12="FEE_VARIANCE_BREACH",120,IF(LEFT(C12,8)="ORPHANED",48,24))))</f>
        <v>48</v>
      </c>
      <c r="K12" s="3" t="str">
        <f aca="false">IF(H12="","",IF(H12&gt;J12,"BREACH","OK"))</f>
        <v>OK</v>
      </c>
    </row>
    <row r="13" customFormat="false" ht="15" hidden="false" customHeight="false" outlineLevel="0" collapsed="false">
      <c r="A13" s="3" t="s">
        <v>521</v>
      </c>
      <c r="B13" s="3" t="s">
        <v>522</v>
      </c>
      <c r="C13" s="3" t="s">
        <v>497</v>
      </c>
      <c r="D13" s="7" t="n">
        <v>-2.05</v>
      </c>
      <c r="E13" s="3" t="s">
        <v>498</v>
      </c>
      <c r="F13" s="8" t="n">
        <v>45629</v>
      </c>
      <c r="G13" s="9" t="n">
        <v>45632.3315690584</v>
      </c>
      <c r="H13" s="3" t="n">
        <v>69.96</v>
      </c>
      <c r="I13" s="3" t="str">
        <f aca="false">IF(G13="","OPEN","RESOLVED")</f>
        <v>RESOLVED</v>
      </c>
      <c r="J13" s="3" t="n">
        <f aca="false">IF(C13="TIMING_MISMATCH_TIMEZONE",1,IF(ABS(D13)&gt;5000,4,IF(C13="FEE_VARIANCE_BREACH",120,IF(LEFT(C13,8)="ORPHANED",48,24))))</f>
        <v>120</v>
      </c>
      <c r="K13" s="3" t="str">
        <f aca="false">IF(H13="","",IF(H13&gt;J13,"BREACH","OK"))</f>
        <v>OK</v>
      </c>
    </row>
    <row r="14" customFormat="false" ht="15" hidden="false" customHeight="false" outlineLevel="0" collapsed="false">
      <c r="A14" s="3" t="s">
        <v>523</v>
      </c>
      <c r="B14" s="3" t="s">
        <v>524</v>
      </c>
      <c r="C14" s="3" t="s">
        <v>497</v>
      </c>
      <c r="D14" s="7" t="n">
        <v>-0.9</v>
      </c>
      <c r="E14" s="3" t="s">
        <v>498</v>
      </c>
      <c r="F14" s="8" t="n">
        <v>45629</v>
      </c>
      <c r="G14" s="9" t="n">
        <v>45635.7979870529</v>
      </c>
      <c r="H14" s="3" t="n">
        <v>105.15</v>
      </c>
      <c r="I14" s="3" t="str">
        <f aca="false">IF(G14="","OPEN","RESOLVED")</f>
        <v>RESOLVED</v>
      </c>
      <c r="J14" s="3" t="n">
        <f aca="false">IF(C14="TIMING_MISMATCH_TIMEZONE",1,IF(ABS(D14)&gt;5000,4,IF(C14="FEE_VARIANCE_BREACH",120,IF(LEFT(C14,8)="ORPHANED",48,24))))</f>
        <v>120</v>
      </c>
      <c r="K14" s="3" t="str">
        <f aca="false">IF(H14="","",IF(H14&gt;J14,"BREACH","OK"))</f>
        <v>OK</v>
      </c>
    </row>
    <row r="15" customFormat="false" ht="15" hidden="false" customHeight="false" outlineLevel="0" collapsed="false">
      <c r="A15" s="3" t="s">
        <v>525</v>
      </c>
      <c r="B15" s="3" t="s">
        <v>526</v>
      </c>
      <c r="C15" s="3" t="s">
        <v>497</v>
      </c>
      <c r="D15" s="7" t="n">
        <v>-2.78</v>
      </c>
      <c r="E15" s="3" t="s">
        <v>498</v>
      </c>
      <c r="F15" s="8" t="n">
        <v>45629</v>
      </c>
      <c r="G15" s="9" t="n">
        <v>45636.2082754902</v>
      </c>
      <c r="H15" s="3" t="n">
        <v>115</v>
      </c>
      <c r="I15" s="3" t="str">
        <f aca="false">IF(G15="","OPEN","RESOLVED")</f>
        <v>RESOLVED</v>
      </c>
      <c r="J15" s="3" t="n">
        <f aca="false">IF(C15="TIMING_MISMATCH_TIMEZONE",1,IF(ABS(D15)&gt;5000,4,IF(C15="FEE_VARIANCE_BREACH",120,IF(LEFT(C15,8)="ORPHANED",48,24))))</f>
        <v>120</v>
      </c>
      <c r="K15" s="3" t="str">
        <f aca="false">IF(H15="","",IF(H15&gt;J15,"BREACH","OK"))</f>
        <v>OK</v>
      </c>
    </row>
    <row r="16" customFormat="false" ht="15" hidden="false" customHeight="false" outlineLevel="0" collapsed="false">
      <c r="A16" s="3" t="s">
        <v>527</v>
      </c>
      <c r="B16" s="3" t="s">
        <v>528</v>
      </c>
      <c r="C16" s="3" t="s">
        <v>497</v>
      </c>
      <c r="D16" s="7" t="n">
        <v>-1.96</v>
      </c>
      <c r="E16" s="3" t="s">
        <v>498</v>
      </c>
      <c r="F16" s="8" t="n">
        <v>45629</v>
      </c>
      <c r="G16" s="9" t="n">
        <v>45632.7610872267</v>
      </c>
      <c r="H16" s="3" t="n">
        <v>80.27</v>
      </c>
      <c r="I16" s="3" t="str">
        <f aca="false">IF(G16="","OPEN","RESOLVED")</f>
        <v>RESOLVED</v>
      </c>
      <c r="J16" s="3" t="n">
        <f aca="false">IF(C16="TIMING_MISMATCH_TIMEZONE",1,IF(ABS(D16)&gt;5000,4,IF(C16="FEE_VARIANCE_BREACH",120,IF(LEFT(C16,8)="ORPHANED",48,24))))</f>
        <v>120</v>
      </c>
      <c r="K16" s="3" t="str">
        <f aca="false">IF(H16="","",IF(H16&gt;J16,"BREACH","OK"))</f>
        <v>OK</v>
      </c>
    </row>
    <row r="17" customFormat="false" ht="15" hidden="false" customHeight="false" outlineLevel="0" collapsed="false">
      <c r="A17" s="3" t="s">
        <v>529</v>
      </c>
      <c r="B17" s="3" t="s">
        <v>530</v>
      </c>
      <c r="C17" s="3" t="s">
        <v>531</v>
      </c>
      <c r="D17" s="7" t="n">
        <v>0</v>
      </c>
      <c r="E17" s="3" t="s">
        <v>512</v>
      </c>
      <c r="F17" s="8" t="n">
        <v>45629</v>
      </c>
      <c r="G17" s="9" t="n">
        <v>45629.4234611506</v>
      </c>
      <c r="H17" s="3" t="n">
        <v>0.16</v>
      </c>
      <c r="I17" s="3" t="str">
        <f aca="false">IF(G17="","OPEN","RESOLVED")</f>
        <v>RESOLVED</v>
      </c>
      <c r="J17" s="3" t="n">
        <f aca="false">IF(C17="TIMING_MISMATCH_TIMEZONE",1,IF(ABS(D17)&gt;5000,4,IF(C17="FEE_VARIANCE_BREACH",120,IF(LEFT(C17,8)="ORPHANED",48,24))))</f>
        <v>1</v>
      </c>
      <c r="K17" s="3" t="str">
        <f aca="false">IF(H17="","",IF(H17&gt;J17,"BREACH","OK"))</f>
        <v>OK</v>
      </c>
    </row>
    <row r="18" customFormat="false" ht="15" hidden="false" customHeight="false" outlineLevel="0" collapsed="false">
      <c r="A18" s="3" t="s">
        <v>532</v>
      </c>
      <c r="B18" s="3" t="s">
        <v>533</v>
      </c>
      <c r="C18" s="3" t="s">
        <v>531</v>
      </c>
      <c r="D18" s="7" t="n">
        <v>0</v>
      </c>
      <c r="E18" s="3" t="s">
        <v>512</v>
      </c>
      <c r="F18" s="8" t="n">
        <v>45629</v>
      </c>
      <c r="G18" s="9" t="n">
        <v>45629.4188633948</v>
      </c>
      <c r="H18" s="3" t="n">
        <v>0.05</v>
      </c>
      <c r="I18" s="3" t="str">
        <f aca="false">IF(G18="","OPEN","RESOLVED")</f>
        <v>RESOLVED</v>
      </c>
      <c r="J18" s="3" t="n">
        <f aca="false">IF(C18="TIMING_MISMATCH_TIMEZONE",1,IF(ABS(D18)&gt;5000,4,IF(C18="FEE_VARIANCE_BREACH",120,IF(LEFT(C18,8)="ORPHANED",48,24))))</f>
        <v>1</v>
      </c>
      <c r="K18" s="3" t="str">
        <f aca="false">IF(H18="","",IF(H18&gt;J18,"BREACH","OK"))</f>
        <v>OK</v>
      </c>
    </row>
    <row r="19" customFormat="false" ht="15" hidden="false" customHeight="false" outlineLevel="0" collapsed="false">
      <c r="A19" s="3" t="s">
        <v>534</v>
      </c>
      <c r="B19" s="3" t="s">
        <v>535</v>
      </c>
      <c r="C19" s="3" t="s">
        <v>531</v>
      </c>
      <c r="D19" s="7" t="n">
        <v>0</v>
      </c>
      <c r="E19" s="3" t="s">
        <v>512</v>
      </c>
      <c r="F19" s="8" t="n">
        <v>45629</v>
      </c>
      <c r="G19" s="9" t="n">
        <v>45629.4197228321</v>
      </c>
      <c r="H19" s="3" t="n">
        <v>0.07</v>
      </c>
      <c r="I19" s="3" t="str">
        <f aca="false">IF(G19="","OPEN","RESOLVED")</f>
        <v>RESOLVED</v>
      </c>
      <c r="J19" s="3" t="n">
        <f aca="false">IF(C19="TIMING_MISMATCH_TIMEZONE",1,IF(ABS(D19)&gt;5000,4,IF(C19="FEE_VARIANCE_BREACH",120,IF(LEFT(C19,8)="ORPHANED",48,24))))</f>
        <v>1</v>
      </c>
      <c r="K19" s="3" t="str">
        <f aca="false">IF(H19="","",IF(H19&gt;J19,"BREACH","OK"))</f>
        <v>OK</v>
      </c>
    </row>
    <row r="20" customFormat="false" ht="15" hidden="false" customHeight="false" outlineLevel="0" collapsed="false">
      <c r="A20" s="3" t="s">
        <v>536</v>
      </c>
      <c r="B20" s="3" t="s">
        <v>537</v>
      </c>
      <c r="C20" s="3" t="s">
        <v>531</v>
      </c>
      <c r="D20" s="7" t="n">
        <v>0</v>
      </c>
      <c r="E20" s="3" t="s">
        <v>512</v>
      </c>
      <c r="F20" s="8" t="n">
        <v>45629</v>
      </c>
      <c r="G20" s="9" t="n">
        <v>45629.4287915161</v>
      </c>
      <c r="H20" s="3" t="n">
        <v>0.29</v>
      </c>
      <c r="I20" s="3" t="str">
        <f aca="false">IF(G20="","OPEN","RESOLVED")</f>
        <v>RESOLVED</v>
      </c>
      <c r="J20" s="3" t="n">
        <f aca="false">IF(C20="TIMING_MISMATCH_TIMEZONE",1,IF(ABS(D20)&gt;5000,4,IF(C20="FEE_VARIANCE_BREACH",120,IF(LEFT(C20,8)="ORPHANED",48,24))))</f>
        <v>1</v>
      </c>
      <c r="K20" s="3" t="str">
        <f aca="false">IF(H20="","",IF(H20&gt;J20,"BREACH","OK"))</f>
        <v>OK</v>
      </c>
    </row>
    <row r="21" customFormat="false" ht="15" hidden="false" customHeight="false" outlineLevel="0" collapsed="false">
      <c r="A21" s="3" t="s">
        <v>538</v>
      </c>
      <c r="B21" s="3" t="s">
        <v>539</v>
      </c>
      <c r="C21" s="3" t="s">
        <v>531</v>
      </c>
      <c r="D21" s="7" t="n">
        <v>0</v>
      </c>
      <c r="E21" s="3" t="s">
        <v>512</v>
      </c>
      <c r="F21" s="8" t="n">
        <v>45629</v>
      </c>
      <c r="G21" s="9" t="n">
        <v>45629.4251578411</v>
      </c>
      <c r="H21" s="3" t="n">
        <v>0.2</v>
      </c>
      <c r="I21" s="3" t="str">
        <f aca="false">IF(G21="","OPEN","RESOLVED")</f>
        <v>RESOLVED</v>
      </c>
      <c r="J21" s="3" t="n">
        <f aca="false">IF(C21="TIMING_MISMATCH_TIMEZONE",1,IF(ABS(D21)&gt;5000,4,IF(C21="FEE_VARIANCE_BREACH",120,IF(LEFT(C21,8)="ORPHANED",48,24))))</f>
        <v>1</v>
      </c>
      <c r="K21" s="3" t="str">
        <f aca="false">IF(H21="","",IF(H21&gt;J21,"BREACH","OK"))</f>
        <v>OK</v>
      </c>
    </row>
    <row r="22" customFormat="false" ht="15" hidden="false" customHeight="false" outlineLevel="0" collapsed="false">
      <c r="A22" s="3" t="s">
        <v>540</v>
      </c>
      <c r="B22" s="3" t="s">
        <v>541</v>
      </c>
      <c r="C22" s="3" t="s">
        <v>511</v>
      </c>
      <c r="D22" s="7" t="n">
        <v>80.35</v>
      </c>
      <c r="E22" s="3" t="s">
        <v>512</v>
      </c>
      <c r="F22" s="8" t="n">
        <v>45629</v>
      </c>
      <c r="G22" s="9" t="n">
        <v>45630.9261007312</v>
      </c>
      <c r="H22" s="3" t="n">
        <v>36.23</v>
      </c>
      <c r="I22" s="3" t="str">
        <f aca="false">IF(G22="","OPEN","RESOLVED")</f>
        <v>RESOLVED</v>
      </c>
      <c r="J22" s="3" t="n">
        <f aca="false">IF(C22="TIMING_MISMATCH_TIMEZONE",1,IF(ABS(D22)&gt;5000,4,IF(C22="FEE_VARIANCE_BREACH",120,IF(LEFT(C22,8)="ORPHANED",48,24))))</f>
        <v>48</v>
      </c>
      <c r="K22" s="3" t="str">
        <f aca="false">IF(H22="","",IF(H22&gt;J22,"BREACH","OK"))</f>
        <v>OK</v>
      </c>
    </row>
    <row r="23" customFormat="false" ht="15" hidden="false" customHeight="false" outlineLevel="0" collapsed="false">
      <c r="A23" s="3" t="s">
        <v>542</v>
      </c>
      <c r="B23" s="3" t="s">
        <v>543</v>
      </c>
      <c r="C23" s="3" t="s">
        <v>511</v>
      </c>
      <c r="D23" s="7" t="n">
        <v>200.61</v>
      </c>
      <c r="E23" s="3" t="s">
        <v>512</v>
      </c>
      <c r="F23" s="8" t="n">
        <v>45629</v>
      </c>
      <c r="G23" s="9" t="n">
        <v>45630.9886628344</v>
      </c>
      <c r="H23" s="3" t="n">
        <v>37.73</v>
      </c>
      <c r="I23" s="3" t="str">
        <f aca="false">IF(G23="","OPEN","RESOLVED")</f>
        <v>RESOLVED</v>
      </c>
      <c r="J23" s="3" t="n">
        <f aca="false">IF(C23="TIMING_MISMATCH_TIMEZONE",1,IF(ABS(D23)&gt;5000,4,IF(C23="FEE_VARIANCE_BREACH",120,IF(LEFT(C23,8)="ORPHANED",48,24))))</f>
        <v>48</v>
      </c>
      <c r="K23" s="3" t="str">
        <f aca="false">IF(H23="","",IF(H23&gt;J23,"BREACH","OK"))</f>
        <v>OK</v>
      </c>
    </row>
    <row r="24" customFormat="false" ht="15" hidden="false" customHeight="false" outlineLevel="0" collapsed="false">
      <c r="A24" s="3" t="s">
        <v>544</v>
      </c>
      <c r="B24" s="3" t="s">
        <v>545</v>
      </c>
      <c r="C24" s="3" t="s">
        <v>531</v>
      </c>
      <c r="D24" s="7" t="n">
        <v>0</v>
      </c>
      <c r="E24" s="3" t="s">
        <v>512</v>
      </c>
      <c r="F24" s="8" t="n">
        <v>45629</v>
      </c>
      <c r="G24" s="9" t="n">
        <v>45629.4322768622</v>
      </c>
      <c r="H24" s="3" t="n">
        <v>0.37</v>
      </c>
      <c r="I24" s="3" t="str">
        <f aca="false">IF(G24="","OPEN","RESOLVED")</f>
        <v>RESOLVED</v>
      </c>
      <c r="J24" s="3" t="n">
        <f aca="false">IF(C24="TIMING_MISMATCH_TIMEZONE",1,IF(ABS(D24)&gt;5000,4,IF(C24="FEE_VARIANCE_BREACH",120,IF(LEFT(C24,8)="ORPHANED",48,24))))</f>
        <v>1</v>
      </c>
      <c r="K24" s="3" t="str">
        <f aca="false">IF(H24="","",IF(H24&gt;J24,"BREACH","OK"))</f>
        <v>OK</v>
      </c>
    </row>
    <row r="25" customFormat="false" ht="15" hidden="false" customHeight="false" outlineLevel="0" collapsed="false">
      <c r="A25" s="3" t="s">
        <v>546</v>
      </c>
      <c r="B25" s="3" t="s">
        <v>547</v>
      </c>
      <c r="C25" s="3" t="s">
        <v>531</v>
      </c>
      <c r="D25" s="7" t="n">
        <v>0</v>
      </c>
      <c r="E25" s="3" t="s">
        <v>512</v>
      </c>
      <c r="F25" s="8" t="n">
        <v>45629</v>
      </c>
      <c r="G25" s="9" t="n">
        <v>45629.4237620868</v>
      </c>
      <c r="H25" s="3" t="n">
        <v>0.17</v>
      </c>
      <c r="I25" s="3" t="str">
        <f aca="false">IF(G25="","OPEN","RESOLVED")</f>
        <v>RESOLVED</v>
      </c>
      <c r="J25" s="3" t="n">
        <f aca="false">IF(C25="TIMING_MISMATCH_TIMEZONE",1,IF(ABS(D25)&gt;5000,4,IF(C25="FEE_VARIANCE_BREACH",120,IF(LEFT(C25,8)="ORPHANED",48,24))))</f>
        <v>1</v>
      </c>
      <c r="K25" s="3" t="str">
        <f aca="false">IF(H25="","",IF(H25&gt;J25,"BREACH","OK"))</f>
        <v>OK</v>
      </c>
    </row>
    <row r="26" customFormat="false" ht="15" hidden="false" customHeight="false" outlineLevel="0" collapsed="false">
      <c r="A26" s="3" t="s">
        <v>548</v>
      </c>
      <c r="B26" s="3" t="s">
        <v>549</v>
      </c>
      <c r="C26" s="3" t="s">
        <v>531</v>
      </c>
      <c r="D26" s="7" t="n">
        <v>0</v>
      </c>
      <c r="E26" s="3" t="s">
        <v>512</v>
      </c>
      <c r="F26" s="8" t="n">
        <v>45629</v>
      </c>
      <c r="G26" s="9" t="n">
        <v>45629.4223461009</v>
      </c>
      <c r="H26" s="3" t="n">
        <v>0.14</v>
      </c>
      <c r="I26" s="3" t="str">
        <f aca="false">IF(G26="","OPEN","RESOLVED")</f>
        <v>RESOLVED</v>
      </c>
      <c r="J26" s="3" t="n">
        <f aca="false">IF(C26="TIMING_MISMATCH_TIMEZONE",1,IF(ABS(D26)&gt;5000,4,IF(C26="FEE_VARIANCE_BREACH",120,IF(LEFT(C26,8)="ORPHANED",48,24))))</f>
        <v>1</v>
      </c>
      <c r="K26" s="3" t="str">
        <f aca="false">IF(H26="","",IF(H26&gt;J26,"BREACH","OK"))</f>
        <v>OK</v>
      </c>
    </row>
    <row r="27" customFormat="false" ht="15" hidden="false" customHeight="false" outlineLevel="0" collapsed="false">
      <c r="A27" s="3" t="s">
        <v>550</v>
      </c>
      <c r="B27" s="3" t="s">
        <v>551</v>
      </c>
      <c r="C27" s="3" t="s">
        <v>503</v>
      </c>
      <c r="D27" s="7" t="n">
        <v>-190.84</v>
      </c>
      <c r="E27" s="3" t="s">
        <v>504</v>
      </c>
      <c r="F27" s="8" t="n">
        <v>45629</v>
      </c>
      <c r="G27" s="9" t="n">
        <v>45630.2321685835</v>
      </c>
      <c r="H27" s="3" t="n">
        <v>19.57</v>
      </c>
      <c r="I27" s="3" t="str">
        <f aca="false">IF(G27="","OPEN","RESOLVED")</f>
        <v>RESOLVED</v>
      </c>
      <c r="J27" s="3" t="n">
        <f aca="false">IF(C27="TIMING_MISMATCH_TIMEZONE",1,IF(ABS(D27)&gt;5000,4,IF(C27="FEE_VARIANCE_BREACH",120,IF(LEFT(C27,8)="ORPHANED",48,24))))</f>
        <v>48</v>
      </c>
      <c r="K27" s="3" t="str">
        <f aca="false">IF(H27="","",IF(H27&gt;J27,"BREACH","OK"))</f>
        <v>OK</v>
      </c>
    </row>
    <row r="28" customFormat="false" ht="15" hidden="false" customHeight="false" outlineLevel="0" collapsed="false">
      <c r="A28" s="3" t="s">
        <v>552</v>
      </c>
      <c r="B28" s="3" t="s">
        <v>553</v>
      </c>
      <c r="C28" s="3" t="s">
        <v>531</v>
      </c>
      <c r="D28" s="7" t="n">
        <v>0</v>
      </c>
      <c r="E28" s="3" t="s">
        <v>512</v>
      </c>
      <c r="F28" s="8" t="n">
        <v>45629</v>
      </c>
      <c r="G28" s="9" t="n">
        <v>45629.4253131168</v>
      </c>
      <c r="H28" s="3" t="n">
        <v>0.21</v>
      </c>
      <c r="I28" s="3" t="str">
        <f aca="false">IF(G28="","OPEN","RESOLVED")</f>
        <v>RESOLVED</v>
      </c>
      <c r="J28" s="3" t="n">
        <f aca="false">IF(C28="TIMING_MISMATCH_TIMEZONE",1,IF(ABS(D28)&gt;5000,4,IF(C28="FEE_VARIANCE_BREACH",120,IF(LEFT(C28,8)="ORPHANED",48,24))))</f>
        <v>1</v>
      </c>
      <c r="K28" s="3" t="str">
        <f aca="false">IF(H28="","",IF(H28&gt;J28,"BREACH","OK"))</f>
        <v>OK</v>
      </c>
    </row>
    <row r="29" customFormat="false" ht="15" hidden="false" customHeight="false" outlineLevel="0" collapsed="false">
      <c r="A29" s="3" t="s">
        <v>554</v>
      </c>
      <c r="B29" s="3" t="s">
        <v>555</v>
      </c>
      <c r="C29" s="3" t="s">
        <v>497</v>
      </c>
      <c r="D29" s="7" t="n">
        <v>-1.08</v>
      </c>
      <c r="E29" s="3" t="s">
        <v>498</v>
      </c>
      <c r="F29" s="8" t="n">
        <v>45630</v>
      </c>
      <c r="G29" s="9" t="n">
        <v>45637.438337098</v>
      </c>
      <c r="H29" s="3" t="n">
        <v>120.52</v>
      </c>
      <c r="I29" s="3" t="str">
        <f aca="false">IF(G29="","OPEN","RESOLVED")</f>
        <v>RESOLVED</v>
      </c>
      <c r="J29" s="3" t="n">
        <f aca="false">IF(C29="TIMING_MISMATCH_TIMEZONE",1,IF(ABS(D29)&gt;5000,4,IF(C29="FEE_VARIANCE_BREACH",120,IF(LEFT(C29,8)="ORPHANED",48,24))))</f>
        <v>120</v>
      </c>
      <c r="K29" s="3" t="str">
        <f aca="false">IF(H29="","",IF(H29&gt;J29,"BREACH","OK"))</f>
        <v>BREACH</v>
      </c>
    </row>
    <row r="30" customFormat="false" ht="15" hidden="false" customHeight="false" outlineLevel="0" collapsed="false">
      <c r="A30" s="3" t="s">
        <v>556</v>
      </c>
      <c r="B30" s="3" t="s">
        <v>557</v>
      </c>
      <c r="C30" s="3" t="s">
        <v>497</v>
      </c>
      <c r="D30" s="7" t="n">
        <v>-1.79</v>
      </c>
      <c r="E30" s="3" t="s">
        <v>498</v>
      </c>
      <c r="F30" s="8" t="n">
        <v>45630</v>
      </c>
      <c r="G30" s="9" t="n">
        <v>45636.2163616854</v>
      </c>
      <c r="H30" s="3" t="n">
        <v>91.19</v>
      </c>
      <c r="I30" s="3" t="str">
        <f aca="false">IF(G30="","OPEN","RESOLVED")</f>
        <v>RESOLVED</v>
      </c>
      <c r="J30" s="3" t="n">
        <f aca="false">IF(C30="TIMING_MISMATCH_TIMEZONE",1,IF(ABS(D30)&gt;5000,4,IF(C30="FEE_VARIANCE_BREACH",120,IF(LEFT(C30,8)="ORPHANED",48,24))))</f>
        <v>120</v>
      </c>
      <c r="K30" s="3" t="str">
        <f aca="false">IF(H30="","",IF(H30&gt;J30,"BREACH","OK"))</f>
        <v>OK</v>
      </c>
    </row>
    <row r="31" customFormat="false" ht="15" hidden="false" customHeight="false" outlineLevel="0" collapsed="false">
      <c r="A31" s="3" t="s">
        <v>558</v>
      </c>
      <c r="B31" s="3" t="s">
        <v>559</v>
      </c>
      <c r="C31" s="3" t="s">
        <v>531</v>
      </c>
      <c r="D31" s="7" t="n">
        <v>0</v>
      </c>
      <c r="E31" s="3" t="s">
        <v>512</v>
      </c>
      <c r="F31" s="8" t="n">
        <v>45630</v>
      </c>
      <c r="G31" s="9" t="n">
        <v>45630.4325355819</v>
      </c>
      <c r="H31" s="3" t="n">
        <v>0.38</v>
      </c>
      <c r="I31" s="3" t="str">
        <f aca="false">IF(G31="","OPEN","RESOLVED")</f>
        <v>RESOLVED</v>
      </c>
      <c r="J31" s="3" t="n">
        <f aca="false">IF(C31="TIMING_MISMATCH_TIMEZONE",1,IF(ABS(D31)&gt;5000,4,IF(C31="FEE_VARIANCE_BREACH",120,IF(LEFT(C31,8)="ORPHANED",48,24))))</f>
        <v>1</v>
      </c>
      <c r="K31" s="3" t="str">
        <f aca="false">IF(H31="","",IF(H31&gt;J31,"BREACH","OK"))</f>
        <v>OK</v>
      </c>
    </row>
    <row r="32" customFormat="false" ht="15" hidden="false" customHeight="false" outlineLevel="0" collapsed="false">
      <c r="A32" s="3" t="s">
        <v>560</v>
      </c>
      <c r="B32" s="3" t="s">
        <v>561</v>
      </c>
      <c r="C32" s="3" t="s">
        <v>497</v>
      </c>
      <c r="D32" s="7" t="n">
        <v>-8.4</v>
      </c>
      <c r="E32" s="3" t="s">
        <v>498</v>
      </c>
      <c r="F32" s="8" t="n">
        <v>45630</v>
      </c>
      <c r="G32" s="9" t="n">
        <v>45635.2611558196</v>
      </c>
      <c r="H32" s="3" t="n">
        <v>68.27</v>
      </c>
      <c r="I32" s="3" t="str">
        <f aca="false">IF(G32="","OPEN","RESOLVED")</f>
        <v>RESOLVED</v>
      </c>
      <c r="J32" s="3" t="n">
        <f aca="false">IF(C32="TIMING_MISMATCH_TIMEZONE",1,IF(ABS(D32)&gt;5000,4,IF(C32="FEE_VARIANCE_BREACH",120,IF(LEFT(C32,8)="ORPHANED",48,24))))</f>
        <v>120</v>
      </c>
      <c r="K32" s="3" t="str">
        <f aca="false">IF(H32="","",IF(H32&gt;J32,"BREACH","OK"))</f>
        <v>OK</v>
      </c>
    </row>
    <row r="33" customFormat="false" ht="15" hidden="false" customHeight="false" outlineLevel="0" collapsed="false">
      <c r="A33" s="3" t="s">
        <v>562</v>
      </c>
      <c r="B33" s="3" t="s">
        <v>563</v>
      </c>
      <c r="C33" s="3" t="s">
        <v>531</v>
      </c>
      <c r="D33" s="7" t="n">
        <v>0</v>
      </c>
      <c r="E33" s="3" t="s">
        <v>512</v>
      </c>
      <c r="F33" s="8" t="n">
        <v>45630</v>
      </c>
      <c r="G33" s="9" t="n">
        <v>45630.4280564473</v>
      </c>
      <c r="H33" s="3" t="n">
        <v>0.27</v>
      </c>
      <c r="I33" s="3" t="str">
        <f aca="false">IF(G33="","OPEN","RESOLVED")</f>
        <v>RESOLVED</v>
      </c>
      <c r="J33" s="3" t="n">
        <f aca="false">IF(C33="TIMING_MISMATCH_TIMEZONE",1,IF(ABS(D33)&gt;5000,4,IF(C33="FEE_VARIANCE_BREACH",120,IF(LEFT(C33,8)="ORPHANED",48,24))))</f>
        <v>1</v>
      </c>
      <c r="K33" s="3" t="str">
        <f aca="false">IF(H33="","",IF(H33&gt;J33,"BREACH","OK"))</f>
        <v>OK</v>
      </c>
    </row>
    <row r="34" customFormat="false" ht="15" hidden="false" customHeight="false" outlineLevel="0" collapsed="false">
      <c r="A34" s="3" t="s">
        <v>564</v>
      </c>
      <c r="B34" s="3" t="s">
        <v>565</v>
      </c>
      <c r="C34" s="3" t="s">
        <v>497</v>
      </c>
      <c r="D34" s="7" t="n">
        <v>-1.19</v>
      </c>
      <c r="E34" s="3" t="s">
        <v>498</v>
      </c>
      <c r="F34" s="8" t="n">
        <v>45630</v>
      </c>
      <c r="G34" s="9" t="n">
        <v>45637.2215002466</v>
      </c>
      <c r="H34" s="3" t="n">
        <v>115.32</v>
      </c>
      <c r="I34" s="3" t="str">
        <f aca="false">IF(G34="","OPEN","RESOLVED")</f>
        <v>RESOLVED</v>
      </c>
      <c r="J34" s="3" t="n">
        <f aca="false">IF(C34="TIMING_MISMATCH_TIMEZONE",1,IF(ABS(D34)&gt;5000,4,IF(C34="FEE_VARIANCE_BREACH",120,IF(LEFT(C34,8)="ORPHANED",48,24))))</f>
        <v>120</v>
      </c>
      <c r="K34" s="3" t="str">
        <f aca="false">IF(H34="","",IF(H34&gt;J34,"BREACH","OK"))</f>
        <v>OK</v>
      </c>
    </row>
    <row r="35" customFormat="false" ht="15" hidden="false" customHeight="false" outlineLevel="0" collapsed="false">
      <c r="A35" s="3" t="s">
        <v>566</v>
      </c>
      <c r="B35" s="3" t="s">
        <v>567</v>
      </c>
      <c r="C35" s="3" t="s">
        <v>497</v>
      </c>
      <c r="D35" s="7" t="n">
        <v>-3.5</v>
      </c>
      <c r="E35" s="3" t="s">
        <v>498</v>
      </c>
      <c r="F35" s="8" t="n">
        <v>45630</v>
      </c>
      <c r="G35" s="9" t="n">
        <v>45636.9363750677</v>
      </c>
      <c r="H35" s="3" t="n">
        <v>108.47</v>
      </c>
      <c r="I35" s="3" t="str">
        <f aca="false">IF(G35="","OPEN","RESOLVED")</f>
        <v>RESOLVED</v>
      </c>
      <c r="J35" s="3" t="n">
        <f aca="false">IF(C35="TIMING_MISMATCH_TIMEZONE",1,IF(ABS(D35)&gt;5000,4,IF(C35="FEE_VARIANCE_BREACH",120,IF(LEFT(C35,8)="ORPHANED",48,24))))</f>
        <v>120</v>
      </c>
      <c r="K35" s="3" t="str">
        <f aca="false">IF(H35="","",IF(H35&gt;J35,"BREACH","OK"))</f>
        <v>OK</v>
      </c>
    </row>
    <row r="36" customFormat="false" ht="15" hidden="false" customHeight="false" outlineLevel="0" collapsed="false">
      <c r="A36" s="3" t="s">
        <v>568</v>
      </c>
      <c r="B36" s="3" t="s">
        <v>569</v>
      </c>
      <c r="C36" s="3" t="s">
        <v>531</v>
      </c>
      <c r="D36" s="7" t="n">
        <v>0</v>
      </c>
      <c r="E36" s="3" t="s">
        <v>512</v>
      </c>
      <c r="F36" s="8" t="n">
        <v>45630</v>
      </c>
      <c r="G36" s="9" t="n">
        <v>45630.4247223652</v>
      </c>
      <c r="H36" s="3" t="n">
        <v>0.19</v>
      </c>
      <c r="I36" s="3" t="str">
        <f aca="false">IF(G36="","OPEN","RESOLVED")</f>
        <v>RESOLVED</v>
      </c>
      <c r="J36" s="3" t="n">
        <f aca="false">IF(C36="TIMING_MISMATCH_TIMEZONE",1,IF(ABS(D36)&gt;5000,4,IF(C36="FEE_VARIANCE_BREACH",120,IF(LEFT(C36,8)="ORPHANED",48,24))))</f>
        <v>1</v>
      </c>
      <c r="K36" s="3" t="str">
        <f aca="false">IF(H36="","",IF(H36&gt;J36,"BREACH","OK"))</f>
        <v>OK</v>
      </c>
    </row>
    <row r="37" customFormat="false" ht="15" hidden="false" customHeight="false" outlineLevel="0" collapsed="false">
      <c r="A37" s="3" t="s">
        <v>570</v>
      </c>
      <c r="B37" s="3" t="s">
        <v>571</v>
      </c>
      <c r="C37" s="3" t="s">
        <v>531</v>
      </c>
      <c r="D37" s="7" t="n">
        <v>0</v>
      </c>
      <c r="E37" s="3" t="s">
        <v>512</v>
      </c>
      <c r="F37" s="8" t="n">
        <v>45630</v>
      </c>
      <c r="G37" s="9" t="n">
        <v>45630.4373958281</v>
      </c>
      <c r="H37" s="3" t="n">
        <v>0.5</v>
      </c>
      <c r="I37" s="3" t="str">
        <f aca="false">IF(G37="","OPEN","RESOLVED")</f>
        <v>RESOLVED</v>
      </c>
      <c r="J37" s="3" t="n">
        <f aca="false">IF(C37="TIMING_MISMATCH_TIMEZONE",1,IF(ABS(D37)&gt;5000,4,IF(C37="FEE_VARIANCE_BREACH",120,IF(LEFT(C37,8)="ORPHANED",48,24))))</f>
        <v>1</v>
      </c>
      <c r="K37" s="3" t="str">
        <f aca="false">IF(H37="","",IF(H37&gt;J37,"BREACH","OK"))</f>
        <v>OK</v>
      </c>
    </row>
    <row r="38" customFormat="false" ht="15" hidden="false" customHeight="false" outlineLevel="0" collapsed="false">
      <c r="A38" s="3" t="s">
        <v>572</v>
      </c>
      <c r="B38" s="3" t="s">
        <v>573</v>
      </c>
      <c r="C38" s="3" t="s">
        <v>531</v>
      </c>
      <c r="D38" s="7" t="n">
        <v>0</v>
      </c>
      <c r="E38" s="3" t="s">
        <v>512</v>
      </c>
      <c r="F38" s="8" t="n">
        <v>45630</v>
      </c>
      <c r="G38" s="9" t="n">
        <v>45630.4232943209</v>
      </c>
      <c r="H38" s="3" t="n">
        <v>0.16</v>
      </c>
      <c r="I38" s="3" t="str">
        <f aca="false">IF(G38="","OPEN","RESOLVED")</f>
        <v>RESOLVED</v>
      </c>
      <c r="J38" s="3" t="n">
        <f aca="false">IF(C38="TIMING_MISMATCH_TIMEZONE",1,IF(ABS(D38)&gt;5000,4,IF(C38="FEE_VARIANCE_BREACH",120,IF(LEFT(C38,8)="ORPHANED",48,24))))</f>
        <v>1</v>
      </c>
      <c r="K38" s="3" t="str">
        <f aca="false">IF(H38="","",IF(H38&gt;J38,"BREACH","OK"))</f>
        <v>OK</v>
      </c>
    </row>
    <row r="39" customFormat="false" ht="15" hidden="false" customHeight="false" outlineLevel="0" collapsed="false">
      <c r="A39" s="3" t="s">
        <v>574</v>
      </c>
      <c r="B39" s="3" t="s">
        <v>575</v>
      </c>
      <c r="C39" s="3" t="s">
        <v>531</v>
      </c>
      <c r="D39" s="7" t="n">
        <v>0</v>
      </c>
      <c r="E39" s="3" t="s">
        <v>512</v>
      </c>
      <c r="F39" s="8" t="n">
        <v>45630</v>
      </c>
      <c r="G39" s="9" t="n">
        <v>45630.4192618361</v>
      </c>
      <c r="H39" s="3" t="n">
        <v>0.06</v>
      </c>
      <c r="I39" s="3" t="str">
        <f aca="false">IF(G39="","OPEN","RESOLVED")</f>
        <v>RESOLVED</v>
      </c>
      <c r="J39" s="3" t="n">
        <f aca="false">IF(C39="TIMING_MISMATCH_TIMEZONE",1,IF(ABS(D39)&gt;5000,4,IF(C39="FEE_VARIANCE_BREACH",120,IF(LEFT(C39,8)="ORPHANED",48,24))))</f>
        <v>1</v>
      </c>
      <c r="K39" s="3" t="str">
        <f aca="false">IF(H39="","",IF(H39&gt;J39,"BREACH","OK"))</f>
        <v>OK</v>
      </c>
    </row>
    <row r="40" customFormat="false" ht="15" hidden="false" customHeight="false" outlineLevel="0" collapsed="false">
      <c r="A40" s="3" t="s">
        <v>576</v>
      </c>
      <c r="B40" s="3" t="s">
        <v>577</v>
      </c>
      <c r="C40" s="3" t="s">
        <v>497</v>
      </c>
      <c r="D40" s="7" t="n">
        <v>-1.39</v>
      </c>
      <c r="E40" s="3" t="s">
        <v>498</v>
      </c>
      <c r="F40" s="8" t="n">
        <v>45630</v>
      </c>
      <c r="G40" s="9" t="n">
        <v>45635.4043806005</v>
      </c>
      <c r="H40" s="3" t="n">
        <v>71.71</v>
      </c>
      <c r="I40" s="3" t="str">
        <f aca="false">IF(G40="","OPEN","RESOLVED")</f>
        <v>RESOLVED</v>
      </c>
      <c r="J40" s="3" t="n">
        <f aca="false">IF(C40="TIMING_MISMATCH_TIMEZONE",1,IF(ABS(D40)&gt;5000,4,IF(C40="FEE_VARIANCE_BREACH",120,IF(LEFT(C40,8)="ORPHANED",48,24))))</f>
        <v>120</v>
      </c>
      <c r="K40" s="3" t="str">
        <f aca="false">IF(H40="","",IF(H40&gt;J40,"BREACH","OK"))</f>
        <v>OK</v>
      </c>
    </row>
    <row r="41" customFormat="false" ht="15" hidden="false" customHeight="false" outlineLevel="0" collapsed="false">
      <c r="A41" s="3" t="s">
        <v>578</v>
      </c>
      <c r="B41" s="3" t="s">
        <v>579</v>
      </c>
      <c r="C41" s="3" t="s">
        <v>531</v>
      </c>
      <c r="D41" s="7" t="n">
        <v>0</v>
      </c>
      <c r="E41" s="3" t="s">
        <v>512</v>
      </c>
      <c r="F41" s="8" t="n">
        <v>45630</v>
      </c>
      <c r="G41" s="9" t="n">
        <v>45630.4321292383</v>
      </c>
      <c r="H41" s="3" t="n">
        <v>0.37</v>
      </c>
      <c r="I41" s="3" t="str">
        <f aca="false">IF(G41="","OPEN","RESOLVED")</f>
        <v>RESOLVED</v>
      </c>
      <c r="J41" s="3" t="n">
        <f aca="false">IF(C41="TIMING_MISMATCH_TIMEZONE",1,IF(ABS(D41)&gt;5000,4,IF(C41="FEE_VARIANCE_BREACH",120,IF(LEFT(C41,8)="ORPHANED",48,24))))</f>
        <v>1</v>
      </c>
      <c r="K41" s="3" t="str">
        <f aca="false">IF(H41="","",IF(H41&gt;J41,"BREACH","OK"))</f>
        <v>OK</v>
      </c>
    </row>
    <row r="42" customFormat="false" ht="15" hidden="false" customHeight="false" outlineLevel="0" collapsed="false">
      <c r="A42" s="3" t="s">
        <v>580</v>
      </c>
      <c r="B42" s="3" t="s">
        <v>581</v>
      </c>
      <c r="C42" s="3" t="s">
        <v>531</v>
      </c>
      <c r="D42" s="7" t="n">
        <v>0</v>
      </c>
      <c r="E42" s="3" t="s">
        <v>512</v>
      </c>
      <c r="F42" s="8" t="n">
        <v>45630</v>
      </c>
      <c r="G42" s="9" t="n">
        <v>45630.4213791949</v>
      </c>
      <c r="H42" s="3" t="n">
        <v>0.11</v>
      </c>
      <c r="I42" s="3" t="str">
        <f aca="false">IF(G42="","OPEN","RESOLVED")</f>
        <v>RESOLVED</v>
      </c>
      <c r="J42" s="3" t="n">
        <f aca="false">IF(C42="TIMING_MISMATCH_TIMEZONE",1,IF(ABS(D42)&gt;5000,4,IF(C42="FEE_VARIANCE_BREACH",120,IF(LEFT(C42,8)="ORPHANED",48,24))))</f>
        <v>1</v>
      </c>
      <c r="K42" s="3" t="str">
        <f aca="false">IF(H42="","",IF(H42&gt;J42,"BREACH","OK"))</f>
        <v>OK</v>
      </c>
    </row>
    <row r="43" customFormat="false" ht="15" hidden="false" customHeight="false" outlineLevel="0" collapsed="false">
      <c r="A43" s="3" t="s">
        <v>582</v>
      </c>
      <c r="B43" s="3" t="s">
        <v>583</v>
      </c>
      <c r="C43" s="3" t="s">
        <v>511</v>
      </c>
      <c r="D43" s="7" t="n">
        <v>952.48</v>
      </c>
      <c r="E43" s="3" t="s">
        <v>512</v>
      </c>
      <c r="F43" s="8" t="n">
        <v>45630</v>
      </c>
      <c r="G43" s="9" t="n">
        <v>45630.8889047046</v>
      </c>
      <c r="H43" s="3" t="n">
        <v>11.33</v>
      </c>
      <c r="I43" s="3" t="str">
        <f aca="false">IF(G43="","OPEN","RESOLVED")</f>
        <v>RESOLVED</v>
      </c>
      <c r="J43" s="3" t="n">
        <f aca="false">IF(C43="TIMING_MISMATCH_TIMEZONE",1,IF(ABS(D43)&gt;5000,4,IF(C43="FEE_VARIANCE_BREACH",120,IF(LEFT(C43,8)="ORPHANED",48,24))))</f>
        <v>48</v>
      </c>
      <c r="K43" s="3" t="str">
        <f aca="false">IF(H43="","",IF(H43&gt;J43,"BREACH","OK"))</f>
        <v>OK</v>
      </c>
    </row>
    <row r="44" customFormat="false" ht="15" hidden="false" customHeight="false" outlineLevel="0" collapsed="false">
      <c r="A44" s="3" t="s">
        <v>584</v>
      </c>
      <c r="B44" s="3" t="s">
        <v>585</v>
      </c>
      <c r="C44" s="3" t="s">
        <v>531</v>
      </c>
      <c r="D44" s="7" t="n">
        <v>0</v>
      </c>
      <c r="E44" s="3" t="s">
        <v>512</v>
      </c>
      <c r="F44" s="8" t="n">
        <v>45630</v>
      </c>
      <c r="G44" s="9" t="n">
        <v>45630.4301981424</v>
      </c>
      <c r="H44" s="3" t="n">
        <v>0.32</v>
      </c>
      <c r="I44" s="3" t="str">
        <f aca="false">IF(G44="","OPEN","RESOLVED")</f>
        <v>RESOLVED</v>
      </c>
      <c r="J44" s="3" t="n">
        <f aca="false">IF(C44="TIMING_MISMATCH_TIMEZONE",1,IF(ABS(D44)&gt;5000,4,IF(C44="FEE_VARIANCE_BREACH",120,IF(LEFT(C44,8)="ORPHANED",48,24))))</f>
        <v>1</v>
      </c>
      <c r="K44" s="3" t="str">
        <f aca="false">IF(H44="","",IF(H44&gt;J44,"BREACH","OK"))</f>
        <v>OK</v>
      </c>
    </row>
    <row r="45" customFormat="false" ht="15" hidden="false" customHeight="false" outlineLevel="0" collapsed="false">
      <c r="A45" s="3" t="s">
        <v>586</v>
      </c>
      <c r="B45" s="3" t="s">
        <v>587</v>
      </c>
      <c r="C45" s="3" t="s">
        <v>497</v>
      </c>
      <c r="D45" s="7" t="n">
        <v>-0.59</v>
      </c>
      <c r="E45" s="3" t="s">
        <v>498</v>
      </c>
      <c r="F45" s="8" t="n">
        <v>45630</v>
      </c>
      <c r="G45" s="9" t="n">
        <v>45637.1651359084</v>
      </c>
      <c r="H45" s="3" t="n">
        <v>113.96</v>
      </c>
      <c r="I45" s="3" t="str">
        <f aca="false">IF(G45="","OPEN","RESOLVED")</f>
        <v>RESOLVED</v>
      </c>
      <c r="J45" s="3" t="n">
        <f aca="false">IF(C45="TIMING_MISMATCH_TIMEZONE",1,IF(ABS(D45)&gt;5000,4,IF(C45="FEE_VARIANCE_BREACH",120,IF(LEFT(C45,8)="ORPHANED",48,24))))</f>
        <v>120</v>
      </c>
      <c r="K45" s="3" t="str">
        <f aca="false">IF(H45="","",IF(H45&gt;J45,"BREACH","OK"))</f>
        <v>OK</v>
      </c>
    </row>
    <row r="46" customFormat="false" ht="15" hidden="false" customHeight="false" outlineLevel="0" collapsed="false">
      <c r="A46" s="3" t="s">
        <v>588</v>
      </c>
      <c r="B46" s="3" t="s">
        <v>589</v>
      </c>
      <c r="C46" s="3" t="s">
        <v>511</v>
      </c>
      <c r="D46" s="7" t="n">
        <v>32.38</v>
      </c>
      <c r="E46" s="3" t="s">
        <v>512</v>
      </c>
      <c r="F46" s="8" t="n">
        <v>45630</v>
      </c>
      <c r="G46" s="9" t="n">
        <v>45631.4265685332</v>
      </c>
      <c r="H46" s="3" t="n">
        <v>24.24</v>
      </c>
      <c r="I46" s="3" t="str">
        <f aca="false">IF(G46="","OPEN","RESOLVED")</f>
        <v>RESOLVED</v>
      </c>
      <c r="J46" s="3" t="n">
        <f aca="false">IF(C46="TIMING_MISMATCH_TIMEZONE",1,IF(ABS(D46)&gt;5000,4,IF(C46="FEE_VARIANCE_BREACH",120,IF(LEFT(C46,8)="ORPHANED",48,24))))</f>
        <v>48</v>
      </c>
      <c r="K46" s="3" t="str">
        <f aca="false">IF(H46="","",IF(H46&gt;J46,"BREACH","OK"))</f>
        <v>OK</v>
      </c>
    </row>
    <row r="47" customFormat="false" ht="15" hidden="false" customHeight="false" outlineLevel="0" collapsed="false">
      <c r="A47" s="3" t="s">
        <v>590</v>
      </c>
      <c r="B47" s="3" t="s">
        <v>591</v>
      </c>
      <c r="C47" s="3" t="s">
        <v>503</v>
      </c>
      <c r="D47" s="7" t="n">
        <v>-789.23</v>
      </c>
      <c r="E47" s="3" t="s">
        <v>504</v>
      </c>
      <c r="F47" s="8" t="n">
        <v>45630</v>
      </c>
      <c r="G47" s="9" t="n">
        <v>45632.7351721707</v>
      </c>
      <c r="H47" s="3" t="n">
        <v>55.64</v>
      </c>
      <c r="I47" s="3" t="str">
        <f aca="false">IF(G47="","OPEN","RESOLVED")</f>
        <v>RESOLVED</v>
      </c>
      <c r="J47" s="3" t="n">
        <f aca="false">IF(C47="TIMING_MISMATCH_TIMEZONE",1,IF(ABS(D47)&gt;5000,4,IF(C47="FEE_VARIANCE_BREACH",120,IF(LEFT(C47,8)="ORPHANED",48,24))))</f>
        <v>48</v>
      </c>
      <c r="K47" s="3" t="str">
        <f aca="false">IF(H47="","",IF(H47&gt;J47,"BREACH","OK"))</f>
        <v>BREACH</v>
      </c>
    </row>
    <row r="48" customFormat="false" ht="15" hidden="false" customHeight="false" outlineLevel="0" collapsed="false">
      <c r="A48" s="3" t="s">
        <v>592</v>
      </c>
      <c r="B48" s="3" t="s">
        <v>593</v>
      </c>
      <c r="C48" s="3" t="s">
        <v>531</v>
      </c>
      <c r="D48" s="7" t="n">
        <v>0</v>
      </c>
      <c r="E48" s="3" t="s">
        <v>512</v>
      </c>
      <c r="F48" s="8" t="n">
        <v>45630</v>
      </c>
      <c r="G48" s="9" t="n">
        <v>45630.4282860244</v>
      </c>
      <c r="H48" s="3" t="n">
        <v>0.28</v>
      </c>
      <c r="I48" s="3" t="str">
        <f aca="false">IF(G48="","OPEN","RESOLVED")</f>
        <v>RESOLVED</v>
      </c>
      <c r="J48" s="3" t="n">
        <f aca="false">IF(C48="TIMING_MISMATCH_TIMEZONE",1,IF(ABS(D48)&gt;5000,4,IF(C48="FEE_VARIANCE_BREACH",120,IF(LEFT(C48,8)="ORPHANED",48,24))))</f>
        <v>1</v>
      </c>
      <c r="K48" s="3" t="str">
        <f aca="false">IF(H48="","",IF(H48&gt;J48,"BREACH","OK"))</f>
        <v>OK</v>
      </c>
    </row>
    <row r="49" customFormat="false" ht="15" hidden="false" customHeight="false" outlineLevel="0" collapsed="false">
      <c r="A49" s="3" t="s">
        <v>594</v>
      </c>
      <c r="B49" s="3" t="s">
        <v>595</v>
      </c>
      <c r="C49" s="3" t="s">
        <v>531</v>
      </c>
      <c r="D49" s="7" t="n">
        <v>0</v>
      </c>
      <c r="E49" s="3" t="s">
        <v>512</v>
      </c>
      <c r="F49" s="8" t="n">
        <v>45630</v>
      </c>
      <c r="G49" s="9" t="n">
        <v>45630.4211908641</v>
      </c>
      <c r="H49" s="3" t="n">
        <v>0.11</v>
      </c>
      <c r="I49" s="3" t="str">
        <f aca="false">IF(G49="","OPEN","RESOLVED")</f>
        <v>RESOLVED</v>
      </c>
      <c r="J49" s="3" t="n">
        <f aca="false">IF(C49="TIMING_MISMATCH_TIMEZONE",1,IF(ABS(D49)&gt;5000,4,IF(C49="FEE_VARIANCE_BREACH",120,IF(LEFT(C49,8)="ORPHANED",48,24))))</f>
        <v>1</v>
      </c>
      <c r="K49" s="3" t="str">
        <f aca="false">IF(H49="","",IF(H49&gt;J49,"BREACH","OK"))</f>
        <v>OK</v>
      </c>
    </row>
    <row r="50" customFormat="false" ht="15" hidden="false" customHeight="false" outlineLevel="0" collapsed="false">
      <c r="A50" s="3" t="s">
        <v>596</v>
      </c>
      <c r="B50" s="3" t="s">
        <v>597</v>
      </c>
      <c r="C50" s="3" t="s">
        <v>497</v>
      </c>
      <c r="D50" s="7" t="n">
        <v>-0.81</v>
      </c>
      <c r="E50" s="3" t="s">
        <v>498</v>
      </c>
      <c r="F50" s="8" t="n">
        <v>45630</v>
      </c>
      <c r="G50" s="9" t="n">
        <v>45636.0600233468</v>
      </c>
      <c r="H50" s="3" t="n">
        <v>87.44</v>
      </c>
      <c r="I50" s="3" t="str">
        <f aca="false">IF(G50="","OPEN","RESOLVED")</f>
        <v>RESOLVED</v>
      </c>
      <c r="J50" s="3" t="n">
        <f aca="false">IF(C50="TIMING_MISMATCH_TIMEZONE",1,IF(ABS(D50)&gt;5000,4,IF(C50="FEE_VARIANCE_BREACH",120,IF(LEFT(C50,8)="ORPHANED",48,24))))</f>
        <v>120</v>
      </c>
      <c r="K50" s="3" t="str">
        <f aca="false">IF(H50="","",IF(H50&gt;J50,"BREACH","OK"))</f>
        <v>OK</v>
      </c>
    </row>
    <row r="51" customFormat="false" ht="15" hidden="false" customHeight="false" outlineLevel="0" collapsed="false">
      <c r="A51" s="3" t="s">
        <v>598</v>
      </c>
      <c r="B51" s="3" t="s">
        <v>599</v>
      </c>
      <c r="C51" s="3" t="s">
        <v>531</v>
      </c>
      <c r="D51" s="7" t="n">
        <v>0</v>
      </c>
      <c r="E51" s="3" t="s">
        <v>512</v>
      </c>
      <c r="F51" s="8" t="n">
        <v>45630</v>
      </c>
      <c r="G51" s="9" t="n">
        <v>45630.4242313452</v>
      </c>
      <c r="H51" s="3" t="n">
        <v>0.18</v>
      </c>
      <c r="I51" s="3" t="str">
        <f aca="false">IF(G51="","OPEN","RESOLVED")</f>
        <v>RESOLVED</v>
      </c>
      <c r="J51" s="3" t="n">
        <f aca="false">IF(C51="TIMING_MISMATCH_TIMEZONE",1,IF(ABS(D51)&gt;5000,4,IF(C51="FEE_VARIANCE_BREACH",120,IF(LEFT(C51,8)="ORPHANED",48,24))))</f>
        <v>1</v>
      </c>
      <c r="K51" s="3" t="str">
        <f aca="false">IF(H51="","",IF(H51&gt;J51,"BREACH","OK"))</f>
        <v>OK</v>
      </c>
    </row>
    <row r="52" customFormat="false" ht="15" hidden="false" customHeight="false" outlineLevel="0" collapsed="false">
      <c r="A52" s="3" t="s">
        <v>600</v>
      </c>
      <c r="B52" s="3" t="s">
        <v>601</v>
      </c>
      <c r="C52" s="3" t="s">
        <v>531</v>
      </c>
      <c r="D52" s="7" t="n">
        <v>0</v>
      </c>
      <c r="E52" s="3" t="s">
        <v>512</v>
      </c>
      <c r="F52" s="8" t="n">
        <v>45630</v>
      </c>
      <c r="G52" s="9" t="n">
        <v>45630.4258206381</v>
      </c>
      <c r="H52" s="3" t="n">
        <v>0.22</v>
      </c>
      <c r="I52" s="3" t="str">
        <f aca="false">IF(G52="","OPEN","RESOLVED")</f>
        <v>RESOLVED</v>
      </c>
      <c r="J52" s="3" t="n">
        <f aca="false">IF(C52="TIMING_MISMATCH_TIMEZONE",1,IF(ABS(D52)&gt;5000,4,IF(C52="FEE_VARIANCE_BREACH",120,IF(LEFT(C52,8)="ORPHANED",48,24))))</f>
        <v>1</v>
      </c>
      <c r="K52" s="3" t="str">
        <f aca="false">IF(H52="","",IF(H52&gt;J52,"BREACH","OK"))</f>
        <v>OK</v>
      </c>
    </row>
    <row r="53" customFormat="false" ht="15" hidden="false" customHeight="false" outlineLevel="0" collapsed="false">
      <c r="A53" s="3" t="s">
        <v>602</v>
      </c>
      <c r="B53" s="3" t="s">
        <v>603</v>
      </c>
      <c r="C53" s="3" t="s">
        <v>531</v>
      </c>
      <c r="D53" s="7" t="n">
        <v>0</v>
      </c>
      <c r="E53" s="3" t="s">
        <v>512</v>
      </c>
      <c r="F53" s="8" t="n">
        <v>45630</v>
      </c>
      <c r="G53" s="9" t="n">
        <v>45630.4237920723</v>
      </c>
      <c r="H53" s="3" t="n">
        <v>0.17</v>
      </c>
      <c r="I53" s="3" t="str">
        <f aca="false">IF(G53="","OPEN","RESOLVED")</f>
        <v>RESOLVED</v>
      </c>
      <c r="J53" s="3" t="n">
        <f aca="false">IF(C53="TIMING_MISMATCH_TIMEZONE",1,IF(ABS(D53)&gt;5000,4,IF(C53="FEE_VARIANCE_BREACH",120,IF(LEFT(C53,8)="ORPHANED",48,24))))</f>
        <v>1</v>
      </c>
      <c r="K53" s="3" t="str">
        <f aca="false">IF(H53="","",IF(H53&gt;J53,"BREACH","OK"))</f>
        <v>OK</v>
      </c>
    </row>
    <row r="54" customFormat="false" ht="15" hidden="false" customHeight="false" outlineLevel="0" collapsed="false">
      <c r="A54" s="3" t="s">
        <v>604</v>
      </c>
      <c r="B54" s="3" t="s">
        <v>605</v>
      </c>
      <c r="C54" s="3" t="s">
        <v>531</v>
      </c>
      <c r="D54" s="7" t="n">
        <v>0</v>
      </c>
      <c r="E54" s="3" t="s">
        <v>512</v>
      </c>
      <c r="F54" s="8" t="n">
        <v>45630</v>
      </c>
      <c r="G54" s="9" t="n">
        <v>45630.4224040059</v>
      </c>
      <c r="H54" s="3" t="n">
        <v>0.14</v>
      </c>
      <c r="I54" s="3" t="str">
        <f aca="false">IF(G54="","OPEN","RESOLVED")</f>
        <v>RESOLVED</v>
      </c>
      <c r="J54" s="3" t="n">
        <f aca="false">IF(C54="TIMING_MISMATCH_TIMEZONE",1,IF(ABS(D54)&gt;5000,4,IF(C54="FEE_VARIANCE_BREACH",120,IF(LEFT(C54,8)="ORPHANED",48,24))))</f>
        <v>1</v>
      </c>
      <c r="K54" s="3" t="str">
        <f aca="false">IF(H54="","",IF(H54&gt;J54,"BREACH","OK"))</f>
        <v>OK</v>
      </c>
    </row>
    <row r="55" customFormat="false" ht="15" hidden="false" customHeight="false" outlineLevel="0" collapsed="false">
      <c r="A55" s="3" t="s">
        <v>606</v>
      </c>
      <c r="B55" s="3" t="s">
        <v>607</v>
      </c>
      <c r="C55" s="3" t="s">
        <v>531</v>
      </c>
      <c r="D55" s="7" t="n">
        <v>0</v>
      </c>
      <c r="E55" s="3" t="s">
        <v>512</v>
      </c>
      <c r="F55" s="8" t="n">
        <v>45630</v>
      </c>
      <c r="G55" s="9" t="n">
        <v>45630.4223412718</v>
      </c>
      <c r="H55" s="3" t="n">
        <v>0.14</v>
      </c>
      <c r="I55" s="3" t="str">
        <f aca="false">IF(G55="","OPEN","RESOLVED")</f>
        <v>RESOLVED</v>
      </c>
      <c r="J55" s="3" t="n">
        <f aca="false">IF(C55="TIMING_MISMATCH_TIMEZONE",1,IF(ABS(D55)&gt;5000,4,IF(C55="FEE_VARIANCE_BREACH",120,IF(LEFT(C55,8)="ORPHANED",48,24))))</f>
        <v>1</v>
      </c>
      <c r="K55" s="3" t="str">
        <f aca="false">IF(H55="","",IF(H55&gt;J55,"BREACH","OK"))</f>
        <v>OK</v>
      </c>
    </row>
    <row r="56" customFormat="false" ht="15" hidden="false" customHeight="false" outlineLevel="0" collapsed="false">
      <c r="A56" s="3" t="s">
        <v>608</v>
      </c>
      <c r="B56" s="3" t="s">
        <v>609</v>
      </c>
      <c r="C56" s="3" t="s">
        <v>497</v>
      </c>
      <c r="D56" s="7" t="n">
        <v>-4.22</v>
      </c>
      <c r="E56" s="3" t="s">
        <v>498</v>
      </c>
      <c r="F56" s="8" t="n">
        <v>45631</v>
      </c>
      <c r="G56" s="9" t="n">
        <v>45635.4260747829</v>
      </c>
      <c r="H56" s="3" t="n">
        <v>48.23</v>
      </c>
      <c r="I56" s="3" t="str">
        <f aca="false">IF(G56="","OPEN","RESOLVED")</f>
        <v>RESOLVED</v>
      </c>
      <c r="J56" s="3" t="n">
        <f aca="false">IF(C56="TIMING_MISMATCH_TIMEZONE",1,IF(ABS(D56)&gt;5000,4,IF(C56="FEE_VARIANCE_BREACH",120,IF(LEFT(C56,8)="ORPHANED",48,24))))</f>
        <v>120</v>
      </c>
      <c r="K56" s="3" t="str">
        <f aca="false">IF(H56="","",IF(H56&gt;J56,"BREACH","OK"))</f>
        <v>OK</v>
      </c>
    </row>
    <row r="57" customFormat="false" ht="15" hidden="false" customHeight="false" outlineLevel="0" collapsed="false">
      <c r="A57" s="3" t="s">
        <v>610</v>
      </c>
      <c r="B57" s="3" t="s">
        <v>611</v>
      </c>
      <c r="C57" s="3" t="s">
        <v>531</v>
      </c>
      <c r="D57" s="7" t="n">
        <v>0</v>
      </c>
      <c r="E57" s="3" t="s">
        <v>512</v>
      </c>
      <c r="F57" s="8" t="n">
        <v>45631</v>
      </c>
      <c r="G57" s="9" t="n">
        <v>45631.4245957821</v>
      </c>
      <c r="H57" s="3" t="n">
        <v>0.19</v>
      </c>
      <c r="I57" s="3" t="str">
        <f aca="false">IF(G57="","OPEN","RESOLVED")</f>
        <v>RESOLVED</v>
      </c>
      <c r="J57" s="3" t="n">
        <f aca="false">IF(C57="TIMING_MISMATCH_TIMEZONE",1,IF(ABS(D57)&gt;5000,4,IF(C57="FEE_VARIANCE_BREACH",120,IF(LEFT(C57,8)="ORPHANED",48,24))))</f>
        <v>1</v>
      </c>
      <c r="K57" s="3" t="str">
        <f aca="false">IF(H57="","",IF(H57&gt;J57,"BREACH","OK"))</f>
        <v>OK</v>
      </c>
    </row>
    <row r="58" customFormat="false" ht="15" hidden="false" customHeight="false" outlineLevel="0" collapsed="false">
      <c r="A58" s="3" t="s">
        <v>612</v>
      </c>
      <c r="B58" s="3" t="s">
        <v>613</v>
      </c>
      <c r="C58" s="3" t="s">
        <v>531</v>
      </c>
      <c r="D58" s="7" t="n">
        <v>0</v>
      </c>
      <c r="E58" s="3" t="s">
        <v>512</v>
      </c>
      <c r="F58" s="8" t="n">
        <v>45631</v>
      </c>
      <c r="G58" s="9" t="n">
        <v>45631.4293106591</v>
      </c>
      <c r="H58" s="3" t="n">
        <v>0.3</v>
      </c>
      <c r="I58" s="3" t="str">
        <f aca="false">IF(G58="","OPEN","RESOLVED")</f>
        <v>RESOLVED</v>
      </c>
      <c r="J58" s="3" t="n">
        <f aca="false">IF(C58="TIMING_MISMATCH_TIMEZONE",1,IF(ABS(D58)&gt;5000,4,IF(C58="FEE_VARIANCE_BREACH",120,IF(LEFT(C58,8)="ORPHANED",48,24))))</f>
        <v>1</v>
      </c>
      <c r="K58" s="3" t="str">
        <f aca="false">IF(H58="","",IF(H58&gt;J58,"BREACH","OK"))</f>
        <v>OK</v>
      </c>
    </row>
    <row r="59" customFormat="false" ht="15" hidden="false" customHeight="false" outlineLevel="0" collapsed="false">
      <c r="A59" s="3" t="s">
        <v>614</v>
      </c>
      <c r="B59" s="3" t="s">
        <v>615</v>
      </c>
      <c r="C59" s="3" t="s">
        <v>531</v>
      </c>
      <c r="D59" s="7" t="n">
        <v>0</v>
      </c>
      <c r="E59" s="3" t="s">
        <v>512</v>
      </c>
      <c r="F59" s="8" t="n">
        <v>45631</v>
      </c>
      <c r="G59" s="9" t="n">
        <v>45631.4224135031</v>
      </c>
      <c r="H59" s="3" t="n">
        <v>0.14</v>
      </c>
      <c r="I59" s="3" t="str">
        <f aca="false">IF(G59="","OPEN","RESOLVED")</f>
        <v>RESOLVED</v>
      </c>
      <c r="J59" s="3" t="n">
        <f aca="false">IF(C59="TIMING_MISMATCH_TIMEZONE",1,IF(ABS(D59)&gt;5000,4,IF(C59="FEE_VARIANCE_BREACH",120,IF(LEFT(C59,8)="ORPHANED",48,24))))</f>
        <v>1</v>
      </c>
      <c r="K59" s="3" t="str">
        <f aca="false">IF(H59="","",IF(H59&gt;J59,"BREACH","OK"))</f>
        <v>OK</v>
      </c>
    </row>
    <row r="60" customFormat="false" ht="15" hidden="false" customHeight="false" outlineLevel="0" collapsed="false">
      <c r="A60" s="3" t="s">
        <v>616</v>
      </c>
      <c r="B60" s="3" t="s">
        <v>617</v>
      </c>
      <c r="C60" s="3" t="s">
        <v>531</v>
      </c>
      <c r="D60" s="7" t="n">
        <v>0</v>
      </c>
      <c r="E60" s="3" t="s">
        <v>512</v>
      </c>
      <c r="F60" s="8" t="n">
        <v>45631</v>
      </c>
      <c r="G60" s="9" t="n">
        <v>45631.4329042085</v>
      </c>
      <c r="H60" s="3" t="n">
        <v>0.39</v>
      </c>
      <c r="I60" s="3" t="str">
        <f aca="false">IF(G60="","OPEN","RESOLVED")</f>
        <v>RESOLVED</v>
      </c>
      <c r="J60" s="3" t="n">
        <f aca="false">IF(C60="TIMING_MISMATCH_TIMEZONE",1,IF(ABS(D60)&gt;5000,4,IF(C60="FEE_VARIANCE_BREACH",120,IF(LEFT(C60,8)="ORPHANED",48,24))))</f>
        <v>1</v>
      </c>
      <c r="K60" s="3" t="str">
        <f aca="false">IF(H60="","",IF(H60&gt;J60,"BREACH","OK"))</f>
        <v>OK</v>
      </c>
    </row>
    <row r="61" customFormat="false" ht="15" hidden="false" customHeight="false" outlineLevel="0" collapsed="false">
      <c r="A61" s="3" t="s">
        <v>618</v>
      </c>
      <c r="B61" s="3" t="s">
        <v>619</v>
      </c>
      <c r="C61" s="3" t="s">
        <v>517</v>
      </c>
      <c r="D61" s="7" t="n">
        <v>-45</v>
      </c>
      <c r="E61" s="3" t="s">
        <v>518</v>
      </c>
      <c r="F61" s="8" t="n">
        <v>45631</v>
      </c>
      <c r="G61" s="9" t="n">
        <v>45632.151998603</v>
      </c>
      <c r="H61" s="3" t="n">
        <v>17.65</v>
      </c>
      <c r="I61" s="3" t="str">
        <f aca="false">IF(G61="","OPEN","RESOLVED")</f>
        <v>RESOLVED</v>
      </c>
      <c r="J61" s="3" t="n">
        <f aca="false">IF(C61="TIMING_MISMATCH_TIMEZONE",1,IF(ABS(D61)&gt;5000,4,IF(C61="FEE_VARIANCE_BREACH",120,IF(LEFT(C61,8)="ORPHANED",48,24))))</f>
        <v>24</v>
      </c>
      <c r="K61" s="3" t="str">
        <f aca="false">IF(H61="","",IF(H61&gt;J61,"BREACH","OK"))</f>
        <v>OK</v>
      </c>
    </row>
    <row r="62" customFormat="false" ht="15" hidden="false" customHeight="false" outlineLevel="0" collapsed="false">
      <c r="A62" s="3" t="s">
        <v>620</v>
      </c>
      <c r="B62" s="3" t="s">
        <v>621</v>
      </c>
      <c r="C62" s="3" t="s">
        <v>531</v>
      </c>
      <c r="D62" s="7" t="n">
        <v>0</v>
      </c>
      <c r="E62" s="3" t="s">
        <v>512</v>
      </c>
      <c r="F62" s="8" t="n">
        <v>45631</v>
      </c>
      <c r="G62" s="9" t="n">
        <v>45631.4303257775</v>
      </c>
      <c r="H62" s="3" t="n">
        <v>0.33</v>
      </c>
      <c r="I62" s="3" t="str">
        <f aca="false">IF(G62="","OPEN","RESOLVED")</f>
        <v>RESOLVED</v>
      </c>
      <c r="J62" s="3" t="n">
        <f aca="false">IF(C62="TIMING_MISMATCH_TIMEZONE",1,IF(ABS(D62)&gt;5000,4,IF(C62="FEE_VARIANCE_BREACH",120,IF(LEFT(C62,8)="ORPHANED",48,24))))</f>
        <v>1</v>
      </c>
      <c r="K62" s="3" t="str">
        <f aca="false">IF(H62="","",IF(H62&gt;J62,"BREACH","OK"))</f>
        <v>OK</v>
      </c>
    </row>
    <row r="63" customFormat="false" ht="15" hidden="false" customHeight="false" outlineLevel="0" collapsed="false">
      <c r="A63" s="3" t="s">
        <v>622</v>
      </c>
      <c r="B63" s="3" t="s">
        <v>623</v>
      </c>
      <c r="C63" s="3" t="s">
        <v>531</v>
      </c>
      <c r="D63" s="7" t="n">
        <v>0</v>
      </c>
      <c r="E63" s="3" t="s">
        <v>512</v>
      </c>
      <c r="F63" s="8" t="n">
        <v>45631</v>
      </c>
      <c r="G63" s="9" t="n">
        <v>45631.423903122</v>
      </c>
      <c r="H63" s="3" t="n">
        <v>0.17</v>
      </c>
      <c r="I63" s="3" t="str">
        <f aca="false">IF(G63="","OPEN","RESOLVED")</f>
        <v>RESOLVED</v>
      </c>
      <c r="J63" s="3" t="n">
        <f aca="false">IF(C63="TIMING_MISMATCH_TIMEZONE",1,IF(ABS(D63)&gt;5000,4,IF(C63="FEE_VARIANCE_BREACH",120,IF(LEFT(C63,8)="ORPHANED",48,24))))</f>
        <v>1</v>
      </c>
      <c r="K63" s="3" t="str">
        <f aca="false">IF(H63="","",IF(H63&gt;J63,"BREACH","OK"))</f>
        <v>OK</v>
      </c>
    </row>
    <row r="64" customFormat="false" ht="15" hidden="false" customHeight="false" outlineLevel="0" collapsed="false">
      <c r="A64" s="3" t="s">
        <v>624</v>
      </c>
      <c r="B64" s="3" t="s">
        <v>625</v>
      </c>
      <c r="C64" s="3" t="s">
        <v>531</v>
      </c>
      <c r="D64" s="7" t="n">
        <v>0</v>
      </c>
      <c r="E64" s="3" t="s">
        <v>512</v>
      </c>
      <c r="F64" s="8" t="n">
        <v>45631</v>
      </c>
      <c r="G64" s="9" t="n">
        <v>45631.41875</v>
      </c>
      <c r="H64" s="3" t="n">
        <v>0.05</v>
      </c>
      <c r="I64" s="3" t="str">
        <f aca="false">IF(G64="","OPEN","RESOLVED")</f>
        <v>RESOLVED</v>
      </c>
      <c r="J64" s="3" t="n">
        <f aca="false">IF(C64="TIMING_MISMATCH_TIMEZONE",1,IF(ABS(D64)&gt;5000,4,IF(C64="FEE_VARIANCE_BREACH",120,IF(LEFT(C64,8)="ORPHANED",48,24))))</f>
        <v>1</v>
      </c>
      <c r="K64" s="3" t="str">
        <f aca="false">IF(H64="","",IF(H64&gt;J64,"BREACH","OK"))</f>
        <v>OK</v>
      </c>
    </row>
    <row r="65" customFormat="false" ht="15" hidden="false" customHeight="false" outlineLevel="0" collapsed="false">
      <c r="A65" s="3" t="s">
        <v>626</v>
      </c>
      <c r="B65" s="3" t="s">
        <v>627</v>
      </c>
      <c r="C65" s="3" t="s">
        <v>531</v>
      </c>
      <c r="D65" s="7" t="n">
        <v>0</v>
      </c>
      <c r="E65" s="3" t="s">
        <v>512</v>
      </c>
      <c r="F65" s="8" t="n">
        <v>45631</v>
      </c>
      <c r="G65" s="9" t="n">
        <v>45631.4277256222</v>
      </c>
      <c r="H65" s="3" t="n">
        <v>0.27</v>
      </c>
      <c r="I65" s="3" t="str">
        <f aca="false">IF(G65="","OPEN","RESOLVED")</f>
        <v>RESOLVED</v>
      </c>
      <c r="J65" s="3" t="n">
        <f aca="false">IF(C65="TIMING_MISMATCH_TIMEZONE",1,IF(ABS(D65)&gt;5000,4,IF(C65="FEE_VARIANCE_BREACH",120,IF(LEFT(C65,8)="ORPHANED",48,24))))</f>
        <v>1</v>
      </c>
      <c r="K65" s="3" t="str">
        <f aca="false">IF(H65="","",IF(H65&gt;J65,"BREACH","OK"))</f>
        <v>OK</v>
      </c>
    </row>
    <row r="66" customFormat="false" ht="15" hidden="false" customHeight="false" outlineLevel="0" collapsed="false">
      <c r="A66" s="3" t="s">
        <v>628</v>
      </c>
      <c r="B66" s="3" t="s">
        <v>629</v>
      </c>
      <c r="C66" s="3" t="s">
        <v>531</v>
      </c>
      <c r="D66" s="7" t="n">
        <v>0</v>
      </c>
      <c r="E66" s="3" t="s">
        <v>512</v>
      </c>
      <c r="F66" s="8" t="n">
        <v>45631</v>
      </c>
      <c r="G66" s="9" t="n">
        <v>45631.4305936237</v>
      </c>
      <c r="H66" s="3" t="n">
        <v>0.33</v>
      </c>
      <c r="I66" s="3" t="str">
        <f aca="false">IF(G66="","OPEN","RESOLVED")</f>
        <v>RESOLVED</v>
      </c>
      <c r="J66" s="3" t="n">
        <f aca="false">IF(C66="TIMING_MISMATCH_TIMEZONE",1,IF(ABS(D66)&gt;5000,4,IF(C66="FEE_VARIANCE_BREACH",120,IF(LEFT(C66,8)="ORPHANED",48,24))))</f>
        <v>1</v>
      </c>
      <c r="K66" s="3" t="str">
        <f aca="false">IF(H66="","",IF(H66&gt;J66,"BREACH","OK"))</f>
        <v>OK</v>
      </c>
    </row>
    <row r="67" customFormat="false" ht="15" hidden="false" customHeight="false" outlineLevel="0" collapsed="false">
      <c r="A67" s="3" t="s">
        <v>630</v>
      </c>
      <c r="B67" s="3" t="s">
        <v>631</v>
      </c>
      <c r="C67" s="3" t="s">
        <v>531</v>
      </c>
      <c r="D67" s="7" t="n">
        <v>0</v>
      </c>
      <c r="E67" s="3" t="s">
        <v>512</v>
      </c>
      <c r="F67" s="8" t="n">
        <v>45631</v>
      </c>
      <c r="G67" s="9" t="n">
        <v>45631.4264909669</v>
      </c>
      <c r="H67" s="3" t="n">
        <v>0.24</v>
      </c>
      <c r="I67" s="3" t="str">
        <f aca="false">IF(G67="","OPEN","RESOLVED")</f>
        <v>RESOLVED</v>
      </c>
      <c r="J67" s="3" t="n">
        <f aca="false">IF(C67="TIMING_MISMATCH_TIMEZONE",1,IF(ABS(D67)&gt;5000,4,IF(C67="FEE_VARIANCE_BREACH",120,IF(LEFT(C67,8)="ORPHANED",48,24))))</f>
        <v>1</v>
      </c>
      <c r="K67" s="3" t="str">
        <f aca="false">IF(H67="","",IF(H67&gt;J67,"BREACH","OK"))</f>
        <v>OK</v>
      </c>
    </row>
    <row r="68" customFormat="false" ht="15" hidden="false" customHeight="false" outlineLevel="0" collapsed="false">
      <c r="A68" s="3" t="s">
        <v>632</v>
      </c>
      <c r="B68" s="3" t="s">
        <v>633</v>
      </c>
      <c r="C68" s="3" t="s">
        <v>517</v>
      </c>
      <c r="D68" s="7" t="n">
        <v>-12</v>
      </c>
      <c r="E68" s="3" t="s">
        <v>518</v>
      </c>
      <c r="F68" s="8" t="n">
        <v>45631</v>
      </c>
      <c r="G68" s="9" t="n">
        <v>45632.328312485</v>
      </c>
      <c r="H68" s="3" t="n">
        <v>21.88</v>
      </c>
      <c r="I68" s="3" t="str">
        <f aca="false">IF(G68="","OPEN","RESOLVED")</f>
        <v>RESOLVED</v>
      </c>
      <c r="J68" s="3" t="n">
        <f aca="false">IF(C68="TIMING_MISMATCH_TIMEZONE",1,IF(ABS(D68)&gt;5000,4,IF(C68="FEE_VARIANCE_BREACH",120,IF(LEFT(C68,8)="ORPHANED",48,24))))</f>
        <v>24</v>
      </c>
      <c r="K68" s="3" t="str">
        <f aca="false">IF(H68="","",IF(H68&gt;J68,"BREACH","OK"))</f>
        <v>OK</v>
      </c>
    </row>
    <row r="69" customFormat="false" ht="15" hidden="false" customHeight="false" outlineLevel="0" collapsed="false">
      <c r="A69" s="3" t="s">
        <v>634</v>
      </c>
      <c r="B69" s="3" t="s">
        <v>635</v>
      </c>
      <c r="C69" s="3" t="s">
        <v>531</v>
      </c>
      <c r="D69" s="7" t="n">
        <v>0</v>
      </c>
      <c r="E69" s="3" t="s">
        <v>512</v>
      </c>
      <c r="F69" s="8" t="n">
        <v>45631</v>
      </c>
      <c r="G69" s="9" t="n">
        <v>45631.4285577261</v>
      </c>
      <c r="H69" s="3" t="n">
        <v>0.29</v>
      </c>
      <c r="I69" s="3" t="str">
        <f aca="false">IF(G69="","OPEN","RESOLVED")</f>
        <v>RESOLVED</v>
      </c>
      <c r="J69" s="3" t="n">
        <f aca="false">IF(C69="TIMING_MISMATCH_TIMEZONE",1,IF(ABS(D69)&gt;5000,4,IF(C69="FEE_VARIANCE_BREACH",120,IF(LEFT(C69,8)="ORPHANED",48,24))))</f>
        <v>1</v>
      </c>
      <c r="K69" s="3" t="str">
        <f aca="false">IF(H69="","",IF(H69&gt;J69,"BREACH","OK"))</f>
        <v>OK</v>
      </c>
    </row>
    <row r="70" customFormat="false" ht="15" hidden="false" customHeight="false" outlineLevel="0" collapsed="false">
      <c r="A70" s="3" t="s">
        <v>636</v>
      </c>
      <c r="B70" s="3" t="s">
        <v>637</v>
      </c>
      <c r="C70" s="3" t="s">
        <v>517</v>
      </c>
      <c r="D70" s="7" t="n">
        <v>-12</v>
      </c>
      <c r="E70" s="3" t="s">
        <v>518</v>
      </c>
      <c r="F70" s="8" t="n">
        <v>45631</v>
      </c>
      <c r="G70" s="9" t="n">
        <v>45635.3343942005</v>
      </c>
      <c r="H70" s="3" t="n">
        <v>46.03</v>
      </c>
      <c r="I70" s="3" t="str">
        <f aca="false">IF(G70="","OPEN","RESOLVED")</f>
        <v>RESOLVED</v>
      </c>
      <c r="J70" s="3" t="n">
        <f aca="false">IF(C70="TIMING_MISMATCH_TIMEZONE",1,IF(ABS(D70)&gt;5000,4,IF(C70="FEE_VARIANCE_BREACH",120,IF(LEFT(C70,8)="ORPHANED",48,24))))</f>
        <v>24</v>
      </c>
      <c r="K70" s="3" t="str">
        <f aca="false">IF(H70="","",IF(H70&gt;J70,"BREACH","OK"))</f>
        <v>BREACH</v>
      </c>
    </row>
    <row r="71" customFormat="false" ht="15" hidden="false" customHeight="false" outlineLevel="0" collapsed="false">
      <c r="A71" s="3" t="s">
        <v>638</v>
      </c>
      <c r="B71" s="3" t="s">
        <v>639</v>
      </c>
      <c r="C71" s="3" t="s">
        <v>497</v>
      </c>
      <c r="D71" s="7" t="n">
        <v>-2.27</v>
      </c>
      <c r="E71" s="3" t="s">
        <v>498</v>
      </c>
      <c r="F71" s="8" t="n">
        <v>45631</v>
      </c>
      <c r="G71" s="9" t="n">
        <v>45637.1564293465</v>
      </c>
      <c r="H71" s="3" t="n">
        <v>89.75</v>
      </c>
      <c r="I71" s="3" t="str">
        <f aca="false">IF(G71="","OPEN","RESOLVED")</f>
        <v>RESOLVED</v>
      </c>
      <c r="J71" s="3" t="n">
        <f aca="false">IF(C71="TIMING_MISMATCH_TIMEZONE",1,IF(ABS(D71)&gt;5000,4,IF(C71="FEE_VARIANCE_BREACH",120,IF(LEFT(C71,8)="ORPHANED",48,24))))</f>
        <v>120</v>
      </c>
      <c r="K71" s="3" t="str">
        <f aca="false">IF(H71="","",IF(H71&gt;J71,"BREACH","OK"))</f>
        <v>OK</v>
      </c>
    </row>
    <row r="72" customFormat="false" ht="15" hidden="false" customHeight="false" outlineLevel="0" collapsed="false">
      <c r="A72" s="3" t="s">
        <v>640</v>
      </c>
      <c r="B72" s="3" t="s">
        <v>641</v>
      </c>
      <c r="C72" s="3" t="s">
        <v>497</v>
      </c>
      <c r="D72" s="7" t="n">
        <v>-3.8</v>
      </c>
      <c r="E72" s="3" t="s">
        <v>498</v>
      </c>
      <c r="F72" s="8" t="n">
        <v>45631</v>
      </c>
      <c r="G72" s="9" t="n">
        <v>45635.892930287</v>
      </c>
      <c r="H72" s="3" t="n">
        <v>59.43</v>
      </c>
      <c r="I72" s="3" t="str">
        <f aca="false">IF(G72="","OPEN","RESOLVED")</f>
        <v>RESOLVED</v>
      </c>
      <c r="J72" s="3" t="n">
        <f aca="false">IF(C72="TIMING_MISMATCH_TIMEZONE",1,IF(ABS(D72)&gt;5000,4,IF(C72="FEE_VARIANCE_BREACH",120,IF(LEFT(C72,8)="ORPHANED",48,24))))</f>
        <v>120</v>
      </c>
      <c r="K72" s="3" t="str">
        <f aca="false">IF(H72="","",IF(H72&gt;J72,"BREACH","OK"))</f>
        <v>OK</v>
      </c>
    </row>
    <row r="73" customFormat="false" ht="15" hidden="false" customHeight="false" outlineLevel="0" collapsed="false">
      <c r="A73" s="3" t="s">
        <v>642</v>
      </c>
      <c r="B73" s="3" t="s">
        <v>643</v>
      </c>
      <c r="C73" s="3" t="s">
        <v>497</v>
      </c>
      <c r="D73" s="7" t="n">
        <v>-1.41</v>
      </c>
      <c r="E73" s="3" t="s">
        <v>498</v>
      </c>
      <c r="F73" s="8" t="n">
        <v>45631</v>
      </c>
      <c r="G73" s="9" t="n">
        <v>45635.0806731332</v>
      </c>
      <c r="H73" s="3" t="n">
        <v>39.94</v>
      </c>
      <c r="I73" s="3" t="str">
        <f aca="false">IF(G73="","OPEN","RESOLVED")</f>
        <v>RESOLVED</v>
      </c>
      <c r="J73" s="3" t="n">
        <f aca="false">IF(C73="TIMING_MISMATCH_TIMEZONE",1,IF(ABS(D73)&gt;5000,4,IF(C73="FEE_VARIANCE_BREACH",120,IF(LEFT(C73,8)="ORPHANED",48,24))))</f>
        <v>120</v>
      </c>
      <c r="K73" s="3" t="str">
        <f aca="false">IF(H73="","",IF(H73&gt;J73,"BREACH","OK"))</f>
        <v>OK</v>
      </c>
    </row>
    <row r="74" customFormat="false" ht="15" hidden="false" customHeight="false" outlineLevel="0" collapsed="false">
      <c r="A74" s="3" t="s">
        <v>644</v>
      </c>
      <c r="B74" s="3" t="s">
        <v>645</v>
      </c>
      <c r="C74" s="3" t="s">
        <v>531</v>
      </c>
      <c r="D74" s="7" t="n">
        <v>0</v>
      </c>
      <c r="E74" s="3" t="s">
        <v>512</v>
      </c>
      <c r="F74" s="8" t="n">
        <v>45631</v>
      </c>
      <c r="G74" s="9" t="n">
        <v>45631.4226280576</v>
      </c>
      <c r="H74" s="3" t="n">
        <v>0.14</v>
      </c>
      <c r="I74" s="3" t="str">
        <f aca="false">IF(G74="","OPEN","RESOLVED")</f>
        <v>RESOLVED</v>
      </c>
      <c r="J74" s="3" t="n">
        <f aca="false">IF(C74="TIMING_MISMATCH_TIMEZONE",1,IF(ABS(D74)&gt;5000,4,IF(C74="FEE_VARIANCE_BREACH",120,IF(LEFT(C74,8)="ORPHANED",48,24))))</f>
        <v>1</v>
      </c>
      <c r="K74" s="3" t="str">
        <f aca="false">IF(H74="","",IF(H74&gt;J74,"BREACH","OK"))</f>
        <v>OK</v>
      </c>
    </row>
    <row r="75" customFormat="false" ht="15" hidden="false" customHeight="false" outlineLevel="0" collapsed="false">
      <c r="A75" s="3" t="s">
        <v>646</v>
      </c>
      <c r="B75" s="3" t="s">
        <v>647</v>
      </c>
      <c r="C75" s="3" t="s">
        <v>497</v>
      </c>
      <c r="D75" s="7" t="n">
        <v>-1.15</v>
      </c>
      <c r="E75" s="3" t="s">
        <v>498</v>
      </c>
      <c r="F75" s="8" t="n">
        <v>45631</v>
      </c>
      <c r="G75" s="9" t="n">
        <v>45638.9051228104</v>
      </c>
      <c r="H75" s="3" t="n">
        <v>131.72</v>
      </c>
      <c r="I75" s="3" t="str">
        <f aca="false">IF(G75="","OPEN","RESOLVED")</f>
        <v>RESOLVED</v>
      </c>
      <c r="J75" s="3" t="n">
        <f aca="false">IF(C75="TIMING_MISMATCH_TIMEZONE",1,IF(ABS(D75)&gt;5000,4,IF(C75="FEE_VARIANCE_BREACH",120,IF(LEFT(C75,8)="ORPHANED",48,24))))</f>
        <v>120</v>
      </c>
      <c r="K75" s="3" t="str">
        <f aca="false">IF(H75="","",IF(H75&gt;J75,"BREACH","OK"))</f>
        <v>BREACH</v>
      </c>
    </row>
    <row r="76" customFormat="false" ht="15" hidden="false" customHeight="false" outlineLevel="0" collapsed="false">
      <c r="A76" s="3" t="s">
        <v>648</v>
      </c>
      <c r="B76" s="3" t="s">
        <v>649</v>
      </c>
      <c r="C76" s="3" t="s">
        <v>531</v>
      </c>
      <c r="D76" s="7" t="n">
        <v>0</v>
      </c>
      <c r="E76" s="3" t="s">
        <v>512</v>
      </c>
      <c r="F76" s="8" t="n">
        <v>45631</v>
      </c>
      <c r="G76" s="9" t="n">
        <v>45631.4203936473</v>
      </c>
      <c r="H76" s="3" t="n">
        <v>0.09</v>
      </c>
      <c r="I76" s="3" t="str">
        <f aca="false">IF(G76="","OPEN","RESOLVED")</f>
        <v>RESOLVED</v>
      </c>
      <c r="J76" s="3" t="n">
        <f aca="false">IF(C76="TIMING_MISMATCH_TIMEZONE",1,IF(ABS(D76)&gt;5000,4,IF(C76="FEE_VARIANCE_BREACH",120,IF(LEFT(C76,8)="ORPHANED",48,24))))</f>
        <v>1</v>
      </c>
      <c r="K76" s="3" t="str">
        <f aca="false">IF(H76="","",IF(H76&gt;J76,"BREACH","OK"))</f>
        <v>OK</v>
      </c>
    </row>
    <row r="77" customFormat="false" ht="15" hidden="false" customHeight="false" outlineLevel="0" collapsed="false">
      <c r="A77" s="3" t="s">
        <v>650</v>
      </c>
      <c r="B77" s="3" t="s">
        <v>651</v>
      </c>
      <c r="C77" s="3" t="s">
        <v>531</v>
      </c>
      <c r="D77" s="7" t="n">
        <v>0</v>
      </c>
      <c r="E77" s="3" t="s">
        <v>512</v>
      </c>
      <c r="F77" s="8" t="n">
        <v>45631</v>
      </c>
      <c r="G77" s="9" t="n">
        <v>45631.4271015171</v>
      </c>
      <c r="H77" s="3" t="n">
        <v>0.25</v>
      </c>
      <c r="I77" s="3" t="str">
        <f aca="false">IF(G77="","OPEN","RESOLVED")</f>
        <v>RESOLVED</v>
      </c>
      <c r="J77" s="3" t="n">
        <f aca="false">IF(C77="TIMING_MISMATCH_TIMEZONE",1,IF(ABS(D77)&gt;5000,4,IF(C77="FEE_VARIANCE_BREACH",120,IF(LEFT(C77,8)="ORPHANED",48,24))))</f>
        <v>1</v>
      </c>
      <c r="K77" s="3" t="str">
        <f aca="false">IF(H77="","",IF(H77&gt;J77,"BREACH","OK"))</f>
        <v>OK</v>
      </c>
    </row>
    <row r="78" customFormat="false" ht="15" hidden="false" customHeight="false" outlineLevel="0" collapsed="false">
      <c r="A78" s="3" t="s">
        <v>652</v>
      </c>
      <c r="B78" s="3" t="s">
        <v>653</v>
      </c>
      <c r="C78" s="3" t="s">
        <v>517</v>
      </c>
      <c r="D78" s="7" t="n">
        <v>-3</v>
      </c>
      <c r="E78" s="3" t="s">
        <v>518</v>
      </c>
      <c r="F78" s="8" t="n">
        <v>45631</v>
      </c>
      <c r="G78" s="9" t="n">
        <v>45632.6163161984</v>
      </c>
      <c r="H78" s="3" t="n">
        <v>28.79</v>
      </c>
      <c r="I78" s="3" t="str">
        <f aca="false">IF(G78="","OPEN","RESOLVED")</f>
        <v>RESOLVED</v>
      </c>
      <c r="J78" s="3" t="n">
        <f aca="false">IF(C78="TIMING_MISMATCH_TIMEZONE",1,IF(ABS(D78)&gt;5000,4,IF(C78="FEE_VARIANCE_BREACH",120,IF(LEFT(C78,8)="ORPHANED",48,24))))</f>
        <v>24</v>
      </c>
      <c r="K78" s="3" t="str">
        <f aca="false">IF(H78="","",IF(H78&gt;J78,"BREACH","OK"))</f>
        <v>BREACH</v>
      </c>
    </row>
    <row r="79" customFormat="false" ht="15" hidden="false" customHeight="false" outlineLevel="0" collapsed="false">
      <c r="A79" s="3" t="s">
        <v>654</v>
      </c>
      <c r="B79" s="3" t="s">
        <v>655</v>
      </c>
      <c r="C79" s="3" t="s">
        <v>497</v>
      </c>
      <c r="D79" s="7" t="n">
        <v>-1.6</v>
      </c>
      <c r="E79" s="3" t="s">
        <v>498</v>
      </c>
      <c r="F79" s="8" t="n">
        <v>45631</v>
      </c>
      <c r="G79" s="9" t="n">
        <v>45637.4106014101</v>
      </c>
      <c r="H79" s="3" t="n">
        <v>95.85</v>
      </c>
      <c r="I79" s="3" t="str">
        <f aca="false">IF(G79="","OPEN","RESOLVED")</f>
        <v>RESOLVED</v>
      </c>
      <c r="J79" s="3" t="n">
        <f aca="false">IF(C79="TIMING_MISMATCH_TIMEZONE",1,IF(ABS(D79)&gt;5000,4,IF(C79="FEE_VARIANCE_BREACH",120,IF(LEFT(C79,8)="ORPHANED",48,24))))</f>
        <v>120</v>
      </c>
      <c r="K79" s="3" t="str">
        <f aca="false">IF(H79="","",IF(H79&gt;J79,"BREACH","OK"))</f>
        <v>OK</v>
      </c>
    </row>
    <row r="80" customFormat="false" ht="15" hidden="false" customHeight="false" outlineLevel="0" collapsed="false">
      <c r="A80" s="3" t="s">
        <v>656</v>
      </c>
      <c r="B80" s="3" t="s">
        <v>657</v>
      </c>
      <c r="C80" s="3" t="s">
        <v>531</v>
      </c>
      <c r="D80" s="7" t="n">
        <v>0</v>
      </c>
      <c r="E80" s="3" t="s">
        <v>512</v>
      </c>
      <c r="F80" s="8" t="n">
        <v>45631</v>
      </c>
      <c r="G80" s="9" t="n">
        <v>45631.4225166717</v>
      </c>
      <c r="H80" s="3" t="n">
        <v>0.14</v>
      </c>
      <c r="I80" s="3" t="str">
        <f aca="false">IF(G80="","OPEN","RESOLVED")</f>
        <v>RESOLVED</v>
      </c>
      <c r="J80" s="3" t="n">
        <f aca="false">IF(C80="TIMING_MISMATCH_TIMEZONE",1,IF(ABS(D80)&gt;5000,4,IF(C80="FEE_VARIANCE_BREACH",120,IF(LEFT(C80,8)="ORPHANED",48,24))))</f>
        <v>1</v>
      </c>
      <c r="K80" s="3" t="str">
        <f aca="false">IF(H80="","",IF(H80&gt;J80,"BREACH","OK"))</f>
        <v>OK</v>
      </c>
    </row>
    <row r="81" customFormat="false" ht="15" hidden="false" customHeight="false" outlineLevel="0" collapsed="false">
      <c r="A81" s="3" t="s">
        <v>658</v>
      </c>
      <c r="B81" s="3" t="s">
        <v>659</v>
      </c>
      <c r="C81" s="3" t="s">
        <v>531</v>
      </c>
      <c r="D81" s="7" t="n">
        <v>0</v>
      </c>
      <c r="E81" s="3" t="s">
        <v>512</v>
      </c>
      <c r="F81" s="8" t="n">
        <v>45631</v>
      </c>
      <c r="G81" s="9" t="n">
        <v>45631.4228207321</v>
      </c>
      <c r="H81" s="3" t="n">
        <v>0.15</v>
      </c>
      <c r="I81" s="3" t="str">
        <f aca="false">IF(G81="","OPEN","RESOLVED")</f>
        <v>RESOLVED</v>
      </c>
      <c r="J81" s="3" t="n">
        <f aca="false">IF(C81="TIMING_MISMATCH_TIMEZONE",1,IF(ABS(D81)&gt;5000,4,IF(C81="FEE_VARIANCE_BREACH",120,IF(LEFT(C81,8)="ORPHANED",48,24))))</f>
        <v>1</v>
      </c>
      <c r="K81" s="3" t="str">
        <f aca="false">IF(H81="","",IF(H81&gt;J81,"BREACH","OK"))</f>
        <v>OK</v>
      </c>
    </row>
    <row r="82" customFormat="false" ht="15" hidden="false" customHeight="false" outlineLevel="0" collapsed="false">
      <c r="A82" s="3" t="s">
        <v>660</v>
      </c>
      <c r="B82" s="3" t="s">
        <v>661</v>
      </c>
      <c r="C82" s="3" t="s">
        <v>511</v>
      </c>
      <c r="D82" s="7" t="n">
        <v>627.11</v>
      </c>
      <c r="E82" s="3" t="s">
        <v>512</v>
      </c>
      <c r="F82" s="8" t="n">
        <v>45632</v>
      </c>
      <c r="G82" s="9" t="n">
        <v>45635.752937713</v>
      </c>
      <c r="H82" s="3" t="n">
        <v>32.07</v>
      </c>
      <c r="I82" s="3" t="str">
        <f aca="false">IF(G82="","OPEN","RESOLVED")</f>
        <v>RESOLVED</v>
      </c>
      <c r="J82" s="3" t="n">
        <f aca="false">IF(C82="TIMING_MISMATCH_TIMEZONE",1,IF(ABS(D82)&gt;5000,4,IF(C82="FEE_VARIANCE_BREACH",120,IF(LEFT(C82,8)="ORPHANED",48,24))))</f>
        <v>48</v>
      </c>
      <c r="K82" s="3" t="str">
        <f aca="false">IF(H82="","",IF(H82&gt;J82,"BREACH","OK"))</f>
        <v>OK</v>
      </c>
    </row>
    <row r="83" customFormat="false" ht="15" hidden="false" customHeight="false" outlineLevel="0" collapsed="false">
      <c r="A83" s="3" t="s">
        <v>662</v>
      </c>
      <c r="B83" s="3" t="s">
        <v>663</v>
      </c>
      <c r="C83" s="3" t="s">
        <v>531</v>
      </c>
      <c r="D83" s="7" t="n">
        <v>0</v>
      </c>
      <c r="E83" s="3" t="s">
        <v>512</v>
      </c>
      <c r="F83" s="8" t="n">
        <v>45632</v>
      </c>
      <c r="G83" s="9" t="n">
        <v>45632.4196705808</v>
      </c>
      <c r="H83" s="3" t="n">
        <v>0.07</v>
      </c>
      <c r="I83" s="3" t="str">
        <f aca="false">IF(G83="","OPEN","RESOLVED")</f>
        <v>RESOLVED</v>
      </c>
      <c r="J83" s="3" t="n">
        <f aca="false">IF(C83="TIMING_MISMATCH_TIMEZONE",1,IF(ABS(D83)&gt;5000,4,IF(C83="FEE_VARIANCE_BREACH",120,IF(LEFT(C83,8)="ORPHANED",48,24))))</f>
        <v>1</v>
      </c>
      <c r="K83" s="3" t="str">
        <f aca="false">IF(H83="","",IF(H83&gt;J83,"BREACH","OK"))</f>
        <v>OK</v>
      </c>
    </row>
    <row r="84" customFormat="false" ht="15" hidden="false" customHeight="false" outlineLevel="0" collapsed="false">
      <c r="A84" s="3" t="s">
        <v>664</v>
      </c>
      <c r="B84" s="3" t="s">
        <v>665</v>
      </c>
      <c r="C84" s="3" t="s">
        <v>531</v>
      </c>
      <c r="D84" s="7" t="n">
        <v>0</v>
      </c>
      <c r="E84" s="3" t="s">
        <v>512</v>
      </c>
      <c r="F84" s="8" t="n">
        <v>45632</v>
      </c>
      <c r="G84" s="9" t="n">
        <v>45632.4199695894</v>
      </c>
      <c r="H84" s="3" t="n">
        <v>0.08</v>
      </c>
      <c r="I84" s="3" t="str">
        <f aca="false">IF(G84="","OPEN","RESOLVED")</f>
        <v>RESOLVED</v>
      </c>
      <c r="J84" s="3" t="n">
        <f aca="false">IF(C84="TIMING_MISMATCH_TIMEZONE",1,IF(ABS(D84)&gt;5000,4,IF(C84="FEE_VARIANCE_BREACH",120,IF(LEFT(C84,8)="ORPHANED",48,24))))</f>
        <v>1</v>
      </c>
      <c r="K84" s="3" t="str">
        <f aca="false">IF(H84="","",IF(H84&gt;J84,"BREACH","OK"))</f>
        <v>OK</v>
      </c>
    </row>
    <row r="85" customFormat="false" ht="15" hidden="false" customHeight="false" outlineLevel="0" collapsed="false">
      <c r="A85" s="3" t="s">
        <v>666</v>
      </c>
      <c r="B85" s="3" t="s">
        <v>667</v>
      </c>
      <c r="C85" s="3" t="s">
        <v>497</v>
      </c>
      <c r="D85" s="7" t="n">
        <v>-1.29</v>
      </c>
      <c r="E85" s="3" t="s">
        <v>498</v>
      </c>
      <c r="F85" s="8" t="n">
        <v>45632</v>
      </c>
      <c r="G85" s="9" t="n">
        <v>45636.7824379308</v>
      </c>
      <c r="H85" s="3" t="n">
        <v>56.78</v>
      </c>
      <c r="I85" s="3" t="str">
        <f aca="false">IF(G85="","OPEN","RESOLVED")</f>
        <v>RESOLVED</v>
      </c>
      <c r="J85" s="3" t="n">
        <f aca="false">IF(C85="TIMING_MISMATCH_TIMEZONE",1,IF(ABS(D85)&gt;5000,4,IF(C85="FEE_VARIANCE_BREACH",120,IF(LEFT(C85,8)="ORPHANED",48,24))))</f>
        <v>120</v>
      </c>
      <c r="K85" s="3" t="str">
        <f aca="false">IF(H85="","",IF(H85&gt;J85,"BREACH","OK"))</f>
        <v>OK</v>
      </c>
    </row>
    <row r="86" customFormat="false" ht="15" hidden="false" customHeight="false" outlineLevel="0" collapsed="false">
      <c r="A86" s="3" t="s">
        <v>668</v>
      </c>
      <c r="B86" s="3" t="s">
        <v>669</v>
      </c>
      <c r="C86" s="3" t="s">
        <v>497</v>
      </c>
      <c r="D86" s="7" t="n">
        <v>-1.58</v>
      </c>
      <c r="E86" s="3" t="s">
        <v>498</v>
      </c>
      <c r="F86" s="8" t="n">
        <v>45632</v>
      </c>
      <c r="G86" s="9" t="n">
        <v>45638.5445829371</v>
      </c>
      <c r="H86" s="3" t="n">
        <v>99.07</v>
      </c>
      <c r="I86" s="3" t="str">
        <f aca="false">IF(G86="","OPEN","RESOLVED")</f>
        <v>RESOLVED</v>
      </c>
      <c r="J86" s="3" t="n">
        <f aca="false">IF(C86="TIMING_MISMATCH_TIMEZONE",1,IF(ABS(D86)&gt;5000,4,IF(C86="FEE_VARIANCE_BREACH",120,IF(LEFT(C86,8)="ORPHANED",48,24))))</f>
        <v>120</v>
      </c>
      <c r="K86" s="3" t="str">
        <f aca="false">IF(H86="","",IF(H86&gt;J86,"BREACH","OK"))</f>
        <v>OK</v>
      </c>
    </row>
    <row r="87" customFormat="false" ht="15" hidden="false" customHeight="false" outlineLevel="0" collapsed="false">
      <c r="A87" s="3" t="s">
        <v>670</v>
      </c>
      <c r="B87" s="3" t="s">
        <v>671</v>
      </c>
      <c r="C87" s="3" t="s">
        <v>531</v>
      </c>
      <c r="D87" s="7" t="n">
        <v>0</v>
      </c>
      <c r="E87" s="3" t="s">
        <v>512</v>
      </c>
      <c r="F87" s="8" t="n">
        <v>45632</v>
      </c>
      <c r="G87" s="9" t="n">
        <v>45632.4206985742</v>
      </c>
      <c r="H87" s="3" t="n">
        <v>0.1</v>
      </c>
      <c r="I87" s="3" t="str">
        <f aca="false">IF(G87="","OPEN","RESOLVED")</f>
        <v>RESOLVED</v>
      </c>
      <c r="J87" s="3" t="n">
        <f aca="false">IF(C87="TIMING_MISMATCH_TIMEZONE",1,IF(ABS(D87)&gt;5000,4,IF(C87="FEE_VARIANCE_BREACH",120,IF(LEFT(C87,8)="ORPHANED",48,24))))</f>
        <v>1</v>
      </c>
      <c r="K87" s="3" t="str">
        <f aca="false">IF(H87="","",IF(H87&gt;J87,"BREACH","OK"))</f>
        <v>OK</v>
      </c>
    </row>
    <row r="88" customFormat="false" ht="15" hidden="false" customHeight="false" outlineLevel="0" collapsed="false">
      <c r="A88" s="3" t="s">
        <v>672</v>
      </c>
      <c r="B88" s="3" t="s">
        <v>673</v>
      </c>
      <c r="C88" s="3" t="s">
        <v>511</v>
      </c>
      <c r="D88" s="7" t="n">
        <v>1074.17</v>
      </c>
      <c r="E88" s="3" t="s">
        <v>512</v>
      </c>
      <c r="F88" s="8" t="n">
        <v>45632</v>
      </c>
      <c r="G88" s="9" t="n">
        <v>45635.9529354003</v>
      </c>
      <c r="H88" s="3" t="n">
        <v>36.87</v>
      </c>
      <c r="I88" s="3" t="str">
        <f aca="false">IF(G88="","OPEN","RESOLVED")</f>
        <v>RESOLVED</v>
      </c>
      <c r="J88" s="3" t="n">
        <f aca="false">IF(C88="TIMING_MISMATCH_TIMEZONE",1,IF(ABS(D88)&gt;5000,4,IF(C88="FEE_VARIANCE_BREACH",120,IF(LEFT(C88,8)="ORPHANED",48,24))))</f>
        <v>48</v>
      </c>
      <c r="K88" s="3" t="str">
        <f aca="false">IF(H88="","",IF(H88&gt;J88,"BREACH","OK"))</f>
        <v>OK</v>
      </c>
    </row>
    <row r="89" customFormat="false" ht="15" hidden="false" customHeight="false" outlineLevel="0" collapsed="false">
      <c r="A89" s="3" t="s">
        <v>674</v>
      </c>
      <c r="B89" s="3" t="s">
        <v>675</v>
      </c>
      <c r="C89" s="3" t="s">
        <v>531</v>
      </c>
      <c r="D89" s="7" t="n">
        <v>0</v>
      </c>
      <c r="E89" s="3" t="s">
        <v>512</v>
      </c>
      <c r="F89" s="8" t="n">
        <v>45632</v>
      </c>
      <c r="G89" s="9" t="n">
        <v>45632.4289312801</v>
      </c>
      <c r="H89" s="3" t="n">
        <v>0.29</v>
      </c>
      <c r="I89" s="3" t="str">
        <f aca="false">IF(G89="","OPEN","RESOLVED")</f>
        <v>RESOLVED</v>
      </c>
      <c r="J89" s="3" t="n">
        <f aca="false">IF(C89="TIMING_MISMATCH_TIMEZONE",1,IF(ABS(D89)&gt;5000,4,IF(C89="FEE_VARIANCE_BREACH",120,IF(LEFT(C89,8)="ORPHANED",48,24))))</f>
        <v>1</v>
      </c>
      <c r="K89" s="3" t="str">
        <f aca="false">IF(H89="","",IF(H89&gt;J89,"BREACH","OK"))</f>
        <v>OK</v>
      </c>
    </row>
    <row r="90" customFormat="false" ht="15" hidden="false" customHeight="false" outlineLevel="0" collapsed="false">
      <c r="A90" s="3" t="s">
        <v>676</v>
      </c>
      <c r="B90" s="3" t="s">
        <v>677</v>
      </c>
      <c r="C90" s="3" t="s">
        <v>503</v>
      </c>
      <c r="D90" s="7" t="n">
        <v>-1104.3</v>
      </c>
      <c r="E90" s="3" t="s">
        <v>504</v>
      </c>
      <c r="F90" s="8" t="n">
        <v>45632</v>
      </c>
      <c r="G90" s="9" t="n">
        <v>45637.2776740842</v>
      </c>
      <c r="H90" s="3" t="n">
        <v>68.66</v>
      </c>
      <c r="I90" s="3" t="str">
        <f aca="false">IF(G90="","OPEN","RESOLVED")</f>
        <v>RESOLVED</v>
      </c>
      <c r="J90" s="3" t="n">
        <f aca="false">IF(C90="TIMING_MISMATCH_TIMEZONE",1,IF(ABS(D90)&gt;5000,4,IF(C90="FEE_VARIANCE_BREACH",120,IF(LEFT(C90,8)="ORPHANED",48,24))))</f>
        <v>48</v>
      </c>
      <c r="K90" s="3" t="str">
        <f aca="false">IF(H90="","",IF(H90&gt;J90,"BREACH","OK"))</f>
        <v>BREACH</v>
      </c>
    </row>
    <row r="91" customFormat="false" ht="15" hidden="false" customHeight="false" outlineLevel="0" collapsed="false">
      <c r="A91" s="3" t="s">
        <v>678</v>
      </c>
      <c r="B91" s="3" t="s">
        <v>679</v>
      </c>
      <c r="C91" s="3" t="s">
        <v>531</v>
      </c>
      <c r="D91" s="7" t="n">
        <v>0</v>
      </c>
      <c r="E91" s="3" t="s">
        <v>512</v>
      </c>
      <c r="F91" s="8" t="n">
        <v>45632</v>
      </c>
      <c r="G91" s="9" t="n">
        <v>45632.4189473583</v>
      </c>
      <c r="H91" s="3" t="n">
        <v>0.05</v>
      </c>
      <c r="I91" s="3" t="str">
        <f aca="false">IF(G91="","OPEN","RESOLVED")</f>
        <v>RESOLVED</v>
      </c>
      <c r="J91" s="3" t="n">
        <f aca="false">IF(C91="TIMING_MISMATCH_TIMEZONE",1,IF(ABS(D91)&gt;5000,4,IF(C91="FEE_VARIANCE_BREACH",120,IF(LEFT(C91,8)="ORPHANED",48,24))))</f>
        <v>1</v>
      </c>
      <c r="K91" s="3" t="str">
        <f aca="false">IF(H91="","",IF(H91&gt;J91,"BREACH","OK"))</f>
        <v>OK</v>
      </c>
    </row>
    <row r="92" customFormat="false" ht="15" hidden="false" customHeight="false" outlineLevel="0" collapsed="false">
      <c r="A92" s="3" t="s">
        <v>680</v>
      </c>
      <c r="B92" s="3" t="s">
        <v>681</v>
      </c>
      <c r="C92" s="3" t="s">
        <v>503</v>
      </c>
      <c r="D92" s="7" t="n">
        <v>-297.1</v>
      </c>
      <c r="E92" s="3" t="s">
        <v>504</v>
      </c>
      <c r="F92" s="8" t="n">
        <v>45632</v>
      </c>
      <c r="G92" s="9" t="n">
        <v>45637.5389566586</v>
      </c>
      <c r="H92" s="3" t="n">
        <v>74.93</v>
      </c>
      <c r="I92" s="3" t="str">
        <f aca="false">IF(G92="","OPEN","RESOLVED")</f>
        <v>RESOLVED</v>
      </c>
      <c r="J92" s="3" t="n">
        <f aca="false">IF(C92="TIMING_MISMATCH_TIMEZONE",1,IF(ABS(D92)&gt;5000,4,IF(C92="FEE_VARIANCE_BREACH",120,IF(LEFT(C92,8)="ORPHANED",48,24))))</f>
        <v>48</v>
      </c>
      <c r="K92" s="3" t="str">
        <f aca="false">IF(H92="","",IF(H92&gt;J92,"BREACH","OK"))</f>
        <v>BREACH</v>
      </c>
    </row>
    <row r="93" customFormat="false" ht="15" hidden="false" customHeight="false" outlineLevel="0" collapsed="false">
      <c r="A93" s="3" t="s">
        <v>682</v>
      </c>
      <c r="B93" s="3" t="s">
        <v>683</v>
      </c>
      <c r="C93" s="3" t="s">
        <v>531</v>
      </c>
      <c r="D93" s="7" t="n">
        <v>0</v>
      </c>
      <c r="E93" s="3" t="s">
        <v>512</v>
      </c>
      <c r="F93" s="8" t="n">
        <v>45632</v>
      </c>
      <c r="G93" s="9" t="n">
        <v>45632.4262128733</v>
      </c>
      <c r="H93" s="3" t="n">
        <v>0.23</v>
      </c>
      <c r="I93" s="3" t="str">
        <f aca="false">IF(G93="","OPEN","RESOLVED")</f>
        <v>RESOLVED</v>
      </c>
      <c r="J93" s="3" t="n">
        <f aca="false">IF(C93="TIMING_MISMATCH_TIMEZONE",1,IF(ABS(D93)&gt;5000,4,IF(C93="FEE_VARIANCE_BREACH",120,IF(LEFT(C93,8)="ORPHANED",48,24))))</f>
        <v>1</v>
      </c>
      <c r="K93" s="3" t="str">
        <f aca="false">IF(H93="","",IF(H93&gt;J93,"BREACH","OK"))</f>
        <v>OK</v>
      </c>
    </row>
    <row r="94" customFormat="false" ht="15" hidden="false" customHeight="false" outlineLevel="0" collapsed="false">
      <c r="A94" s="3" t="s">
        <v>684</v>
      </c>
      <c r="B94" s="3" t="s">
        <v>685</v>
      </c>
      <c r="C94" s="3" t="s">
        <v>531</v>
      </c>
      <c r="D94" s="7" t="n">
        <v>0</v>
      </c>
      <c r="E94" s="3" t="s">
        <v>512</v>
      </c>
      <c r="F94" s="8" t="n">
        <v>45632</v>
      </c>
      <c r="G94" s="9" t="n">
        <v>45632.4309231894</v>
      </c>
      <c r="H94" s="3" t="n">
        <v>0.34</v>
      </c>
      <c r="I94" s="3" t="str">
        <f aca="false">IF(G94="","OPEN","RESOLVED")</f>
        <v>RESOLVED</v>
      </c>
      <c r="J94" s="3" t="n">
        <f aca="false">IF(C94="TIMING_MISMATCH_TIMEZONE",1,IF(ABS(D94)&gt;5000,4,IF(C94="FEE_VARIANCE_BREACH",120,IF(LEFT(C94,8)="ORPHANED",48,24))))</f>
        <v>1</v>
      </c>
      <c r="K94" s="3" t="str">
        <f aca="false">IF(H94="","",IF(H94&gt;J94,"BREACH","OK"))</f>
        <v>OK</v>
      </c>
    </row>
    <row r="95" customFormat="false" ht="15" hidden="false" customHeight="false" outlineLevel="0" collapsed="false">
      <c r="A95" s="3" t="s">
        <v>686</v>
      </c>
      <c r="B95" s="3" t="s">
        <v>687</v>
      </c>
      <c r="C95" s="3" t="s">
        <v>531</v>
      </c>
      <c r="D95" s="7" t="n">
        <v>0</v>
      </c>
      <c r="E95" s="3" t="s">
        <v>512</v>
      </c>
      <c r="F95" s="8" t="n">
        <v>45632</v>
      </c>
      <c r="G95" s="9" t="n">
        <v>45632.4289677672</v>
      </c>
      <c r="H95" s="3" t="n">
        <v>0.3</v>
      </c>
      <c r="I95" s="3" t="str">
        <f aca="false">IF(G95="","OPEN","RESOLVED")</f>
        <v>RESOLVED</v>
      </c>
      <c r="J95" s="3" t="n">
        <f aca="false">IF(C95="TIMING_MISMATCH_TIMEZONE",1,IF(ABS(D95)&gt;5000,4,IF(C95="FEE_VARIANCE_BREACH",120,IF(LEFT(C95,8)="ORPHANED",48,24))))</f>
        <v>1</v>
      </c>
      <c r="K95" s="3" t="str">
        <f aca="false">IF(H95="","",IF(H95&gt;J95,"BREACH","OK"))</f>
        <v>OK</v>
      </c>
    </row>
    <row r="96" customFormat="false" ht="15" hidden="false" customHeight="false" outlineLevel="0" collapsed="false">
      <c r="A96" s="3" t="s">
        <v>688</v>
      </c>
      <c r="B96" s="3" t="s">
        <v>689</v>
      </c>
      <c r="C96" s="3" t="s">
        <v>531</v>
      </c>
      <c r="D96" s="7" t="n">
        <v>0</v>
      </c>
      <c r="E96" s="3" t="s">
        <v>512</v>
      </c>
      <c r="F96" s="8" t="n">
        <v>45632</v>
      </c>
      <c r="G96" s="9" t="n">
        <v>45632.4253686048</v>
      </c>
      <c r="H96" s="3" t="n">
        <v>0.21</v>
      </c>
      <c r="I96" s="3" t="str">
        <f aca="false">IF(G96="","OPEN","RESOLVED")</f>
        <v>RESOLVED</v>
      </c>
      <c r="J96" s="3" t="n">
        <f aca="false">IF(C96="TIMING_MISMATCH_TIMEZONE",1,IF(ABS(D96)&gt;5000,4,IF(C96="FEE_VARIANCE_BREACH",120,IF(LEFT(C96,8)="ORPHANED",48,24))))</f>
        <v>1</v>
      </c>
      <c r="K96" s="3" t="str">
        <f aca="false">IF(H96="","",IF(H96&gt;J96,"BREACH","OK"))</f>
        <v>OK</v>
      </c>
    </row>
    <row r="97" customFormat="false" ht="15" hidden="false" customHeight="false" outlineLevel="0" collapsed="false">
      <c r="A97" s="3" t="s">
        <v>690</v>
      </c>
      <c r="B97" s="3" t="s">
        <v>691</v>
      </c>
      <c r="C97" s="3" t="s">
        <v>531</v>
      </c>
      <c r="D97" s="7" t="n">
        <v>0</v>
      </c>
      <c r="E97" s="3" t="s">
        <v>512</v>
      </c>
      <c r="F97" s="8" t="n">
        <v>45632</v>
      </c>
      <c r="G97" s="9" t="n">
        <v>45632.4197516364</v>
      </c>
      <c r="H97" s="3" t="n">
        <v>0.07</v>
      </c>
      <c r="I97" s="3" t="str">
        <f aca="false">IF(G97="","OPEN","RESOLVED")</f>
        <v>RESOLVED</v>
      </c>
      <c r="J97" s="3" t="n">
        <f aca="false">IF(C97="TIMING_MISMATCH_TIMEZONE",1,IF(ABS(D97)&gt;5000,4,IF(C97="FEE_VARIANCE_BREACH",120,IF(LEFT(C97,8)="ORPHANED",48,24))))</f>
        <v>1</v>
      </c>
      <c r="K97" s="3" t="str">
        <f aca="false">IF(H97="","",IF(H97&gt;J97,"BREACH","OK"))</f>
        <v>OK</v>
      </c>
    </row>
    <row r="98" customFormat="false" ht="15" hidden="false" customHeight="false" outlineLevel="0" collapsed="false">
      <c r="A98" s="3" t="s">
        <v>692</v>
      </c>
      <c r="B98" s="3" t="s">
        <v>693</v>
      </c>
      <c r="C98" s="3" t="s">
        <v>497</v>
      </c>
      <c r="D98" s="7" t="n">
        <v>-0.57</v>
      </c>
      <c r="E98" s="3" t="s">
        <v>498</v>
      </c>
      <c r="F98" s="8" t="n">
        <v>45632</v>
      </c>
      <c r="G98" s="9" t="n">
        <v>45637.5750652323</v>
      </c>
      <c r="H98" s="3" t="n">
        <v>75.8</v>
      </c>
      <c r="I98" s="3" t="str">
        <f aca="false">IF(G98="","OPEN","RESOLVED")</f>
        <v>RESOLVED</v>
      </c>
      <c r="J98" s="3" t="n">
        <f aca="false">IF(C98="TIMING_MISMATCH_TIMEZONE",1,IF(ABS(D98)&gt;5000,4,IF(C98="FEE_VARIANCE_BREACH",120,IF(LEFT(C98,8)="ORPHANED",48,24))))</f>
        <v>120</v>
      </c>
      <c r="K98" s="3" t="str">
        <f aca="false">IF(H98="","",IF(H98&gt;J98,"BREACH","OK"))</f>
        <v>OK</v>
      </c>
    </row>
    <row r="99" customFormat="false" ht="15" hidden="false" customHeight="false" outlineLevel="0" collapsed="false">
      <c r="A99" s="3" t="s">
        <v>694</v>
      </c>
      <c r="B99" s="3" t="s">
        <v>695</v>
      </c>
      <c r="C99" s="3" t="s">
        <v>511</v>
      </c>
      <c r="D99" s="7" t="n">
        <v>134.74</v>
      </c>
      <c r="E99" s="3" t="s">
        <v>512</v>
      </c>
      <c r="F99" s="8" t="n">
        <v>45632</v>
      </c>
      <c r="G99" s="9" t="n">
        <v>45635.1222094117</v>
      </c>
      <c r="H99" s="3" t="n">
        <v>16.93</v>
      </c>
      <c r="I99" s="3" t="str">
        <f aca="false">IF(G99="","OPEN","RESOLVED")</f>
        <v>RESOLVED</v>
      </c>
      <c r="J99" s="3" t="n">
        <f aca="false">IF(C99="TIMING_MISMATCH_TIMEZONE",1,IF(ABS(D99)&gt;5000,4,IF(C99="FEE_VARIANCE_BREACH",120,IF(LEFT(C99,8)="ORPHANED",48,24))))</f>
        <v>48</v>
      </c>
      <c r="K99" s="3" t="str">
        <f aca="false">IF(H99="","",IF(H99&gt;J99,"BREACH","OK"))</f>
        <v>OK</v>
      </c>
    </row>
    <row r="100" customFormat="false" ht="15" hidden="false" customHeight="false" outlineLevel="0" collapsed="false">
      <c r="A100" s="3" t="s">
        <v>696</v>
      </c>
      <c r="B100" s="3" t="s">
        <v>697</v>
      </c>
      <c r="C100" s="3" t="s">
        <v>497</v>
      </c>
      <c r="D100" s="7" t="n">
        <v>-3.01</v>
      </c>
      <c r="E100" s="3" t="s">
        <v>498</v>
      </c>
      <c r="F100" s="8" t="n">
        <v>45635</v>
      </c>
      <c r="G100" s="9" t="n">
        <v>45639.7875490198</v>
      </c>
      <c r="H100" s="3" t="n">
        <v>104.9</v>
      </c>
      <c r="I100" s="3" t="str">
        <f aca="false">IF(G100="","OPEN","RESOLVED")</f>
        <v>RESOLVED</v>
      </c>
      <c r="J100" s="3" t="n">
        <f aca="false">IF(C100="TIMING_MISMATCH_TIMEZONE",1,IF(ABS(D100)&gt;5000,4,IF(C100="FEE_VARIANCE_BREACH",120,IF(LEFT(C100,8)="ORPHANED",48,24))))</f>
        <v>120</v>
      </c>
      <c r="K100" s="3" t="str">
        <f aca="false">IF(H100="","",IF(H100&gt;J100,"BREACH","OK"))</f>
        <v>OK</v>
      </c>
    </row>
    <row r="101" customFormat="false" ht="15" hidden="false" customHeight="false" outlineLevel="0" collapsed="false">
      <c r="A101" s="3" t="s">
        <v>698</v>
      </c>
      <c r="B101" s="3" t="s">
        <v>699</v>
      </c>
      <c r="C101" s="3" t="s">
        <v>531</v>
      </c>
      <c r="D101" s="7" t="n">
        <v>0</v>
      </c>
      <c r="E101" s="3" t="s">
        <v>512</v>
      </c>
      <c r="F101" s="8" t="n">
        <v>45635</v>
      </c>
      <c r="G101" s="9" t="n">
        <v>45635.4237239459</v>
      </c>
      <c r="H101" s="3" t="n">
        <v>0.17</v>
      </c>
      <c r="I101" s="3" t="str">
        <f aca="false">IF(G101="","OPEN","RESOLVED")</f>
        <v>RESOLVED</v>
      </c>
      <c r="J101" s="3" t="n">
        <f aca="false">IF(C101="TIMING_MISMATCH_TIMEZONE",1,IF(ABS(D101)&gt;5000,4,IF(C101="FEE_VARIANCE_BREACH",120,IF(LEFT(C101,8)="ORPHANED",48,24))))</f>
        <v>1</v>
      </c>
      <c r="K101" s="3" t="str">
        <f aca="false">IF(H101="","",IF(H101&gt;J101,"BREACH","OK"))</f>
        <v>OK</v>
      </c>
    </row>
    <row r="102" customFormat="false" ht="15" hidden="false" customHeight="false" outlineLevel="0" collapsed="false">
      <c r="A102" s="3" t="s">
        <v>700</v>
      </c>
      <c r="B102" s="3" t="s">
        <v>701</v>
      </c>
      <c r="C102" s="3" t="s">
        <v>497</v>
      </c>
      <c r="D102" s="7" t="n">
        <v>-3.13</v>
      </c>
      <c r="E102" s="3" t="s">
        <v>498</v>
      </c>
      <c r="F102" s="8" t="n">
        <v>45635</v>
      </c>
      <c r="G102" s="9" t="n">
        <v>45637.5698718386</v>
      </c>
      <c r="H102" s="3" t="n">
        <v>51.68</v>
      </c>
      <c r="I102" s="3" t="str">
        <f aca="false">IF(G102="","OPEN","RESOLVED")</f>
        <v>RESOLVED</v>
      </c>
      <c r="J102" s="3" t="n">
        <f aca="false">IF(C102="TIMING_MISMATCH_TIMEZONE",1,IF(ABS(D102)&gt;5000,4,IF(C102="FEE_VARIANCE_BREACH",120,IF(LEFT(C102,8)="ORPHANED",48,24))))</f>
        <v>120</v>
      </c>
      <c r="K102" s="3" t="str">
        <f aca="false">IF(H102="","",IF(H102&gt;J102,"BREACH","OK"))</f>
        <v>OK</v>
      </c>
    </row>
    <row r="103" customFormat="false" ht="15" hidden="false" customHeight="false" outlineLevel="0" collapsed="false">
      <c r="A103" s="3" t="s">
        <v>702</v>
      </c>
      <c r="B103" s="3" t="s">
        <v>703</v>
      </c>
      <c r="C103" s="3" t="s">
        <v>531</v>
      </c>
      <c r="D103" s="7" t="n">
        <v>0</v>
      </c>
      <c r="E103" s="3" t="s">
        <v>512</v>
      </c>
      <c r="F103" s="8" t="n">
        <v>45635</v>
      </c>
      <c r="G103" s="9" t="n">
        <v>45635.4242852154</v>
      </c>
      <c r="H103" s="3" t="n">
        <v>0.18</v>
      </c>
      <c r="I103" s="3" t="str">
        <f aca="false">IF(G103="","OPEN","RESOLVED")</f>
        <v>RESOLVED</v>
      </c>
      <c r="J103" s="3" t="n">
        <f aca="false">IF(C103="TIMING_MISMATCH_TIMEZONE",1,IF(ABS(D103)&gt;5000,4,IF(C103="FEE_VARIANCE_BREACH",120,IF(LEFT(C103,8)="ORPHANED",48,24))))</f>
        <v>1</v>
      </c>
      <c r="K103" s="3" t="str">
        <f aca="false">IF(H103="","",IF(H103&gt;J103,"BREACH","OK"))</f>
        <v>OK</v>
      </c>
    </row>
    <row r="104" customFormat="false" ht="15" hidden="false" customHeight="false" outlineLevel="0" collapsed="false">
      <c r="A104" s="3" t="s">
        <v>704</v>
      </c>
      <c r="B104" s="3" t="s">
        <v>705</v>
      </c>
      <c r="C104" s="3" t="s">
        <v>497</v>
      </c>
      <c r="D104" s="7" t="n">
        <v>-3.22</v>
      </c>
      <c r="E104" s="3" t="s">
        <v>498</v>
      </c>
      <c r="F104" s="8" t="n">
        <v>45635</v>
      </c>
      <c r="G104" s="9" t="n">
        <v>45643.3074613446</v>
      </c>
      <c r="H104" s="3" t="n">
        <v>141.38</v>
      </c>
      <c r="I104" s="3" t="str">
        <f aca="false">IF(G104="","OPEN","RESOLVED")</f>
        <v>RESOLVED</v>
      </c>
      <c r="J104" s="3" t="n">
        <f aca="false">IF(C104="TIMING_MISMATCH_TIMEZONE",1,IF(ABS(D104)&gt;5000,4,IF(C104="FEE_VARIANCE_BREACH",120,IF(LEFT(C104,8)="ORPHANED",48,24))))</f>
        <v>120</v>
      </c>
      <c r="K104" s="3" t="str">
        <f aca="false">IF(H104="","",IF(H104&gt;J104,"BREACH","OK"))</f>
        <v>BREACH</v>
      </c>
    </row>
    <row r="105" customFormat="false" ht="15" hidden="false" customHeight="false" outlineLevel="0" collapsed="false">
      <c r="A105" s="3" t="s">
        <v>706</v>
      </c>
      <c r="B105" s="3" t="s">
        <v>707</v>
      </c>
      <c r="C105" s="3" t="s">
        <v>531</v>
      </c>
      <c r="D105" s="7" t="n">
        <v>0</v>
      </c>
      <c r="E105" s="3" t="s">
        <v>512</v>
      </c>
      <c r="F105" s="8" t="n">
        <v>45635</v>
      </c>
      <c r="G105" s="9" t="n">
        <v>45635.4292037165</v>
      </c>
      <c r="H105" s="3" t="n">
        <v>0.3</v>
      </c>
      <c r="I105" s="3" t="str">
        <f aca="false">IF(G105="","OPEN","RESOLVED")</f>
        <v>RESOLVED</v>
      </c>
      <c r="J105" s="3" t="n">
        <f aca="false">IF(C105="TIMING_MISMATCH_TIMEZONE",1,IF(ABS(D105)&gt;5000,4,IF(C105="FEE_VARIANCE_BREACH",120,IF(LEFT(C105,8)="ORPHANED",48,24))))</f>
        <v>1</v>
      </c>
      <c r="K105" s="3" t="str">
        <f aca="false">IF(H105="","",IF(H105&gt;J105,"BREACH","OK"))</f>
        <v>OK</v>
      </c>
    </row>
    <row r="106" customFormat="false" ht="15" hidden="false" customHeight="false" outlineLevel="0" collapsed="false">
      <c r="A106" s="3" t="s">
        <v>708</v>
      </c>
      <c r="B106" s="3" t="s">
        <v>709</v>
      </c>
      <c r="C106" s="3" t="s">
        <v>517</v>
      </c>
      <c r="D106" s="7" t="n">
        <v>-12</v>
      </c>
      <c r="E106" s="3" t="s">
        <v>518</v>
      </c>
      <c r="F106" s="8" t="n">
        <v>45635</v>
      </c>
      <c r="G106" s="9" t="n">
        <v>45636.9005367095</v>
      </c>
      <c r="H106" s="3" t="n">
        <v>35.61</v>
      </c>
      <c r="I106" s="3" t="str">
        <f aca="false">IF(G106="","OPEN","RESOLVED")</f>
        <v>RESOLVED</v>
      </c>
      <c r="J106" s="3" t="n">
        <f aca="false">IF(C106="TIMING_MISMATCH_TIMEZONE",1,IF(ABS(D106)&gt;5000,4,IF(C106="FEE_VARIANCE_BREACH",120,IF(LEFT(C106,8)="ORPHANED",48,24))))</f>
        <v>24</v>
      </c>
      <c r="K106" s="3" t="str">
        <f aca="false">IF(H106="","",IF(H106&gt;J106,"BREACH","OK"))</f>
        <v>BREACH</v>
      </c>
    </row>
    <row r="107" customFormat="false" ht="15" hidden="false" customHeight="false" outlineLevel="0" collapsed="false">
      <c r="A107" s="3" t="s">
        <v>710</v>
      </c>
      <c r="B107" s="3" t="s">
        <v>711</v>
      </c>
      <c r="C107" s="3" t="s">
        <v>503</v>
      </c>
      <c r="D107" s="7" t="n">
        <v>-373.9</v>
      </c>
      <c r="E107" s="3" t="s">
        <v>504</v>
      </c>
      <c r="F107" s="8" t="n">
        <v>45635</v>
      </c>
      <c r="G107" s="9" t="n">
        <v>45637.2052061413</v>
      </c>
      <c r="H107" s="3" t="n">
        <v>42.92</v>
      </c>
      <c r="I107" s="3" t="str">
        <f aca="false">IF(G107="","OPEN","RESOLVED")</f>
        <v>RESOLVED</v>
      </c>
      <c r="J107" s="3" t="n">
        <f aca="false">IF(C107="TIMING_MISMATCH_TIMEZONE",1,IF(ABS(D107)&gt;5000,4,IF(C107="FEE_VARIANCE_BREACH",120,IF(LEFT(C107,8)="ORPHANED",48,24))))</f>
        <v>48</v>
      </c>
      <c r="K107" s="3" t="str">
        <f aca="false">IF(H107="","",IF(H107&gt;J107,"BREACH","OK"))</f>
        <v>OK</v>
      </c>
    </row>
    <row r="108" customFormat="false" ht="15" hidden="false" customHeight="false" outlineLevel="0" collapsed="false">
      <c r="A108" s="3" t="s">
        <v>712</v>
      </c>
      <c r="B108" s="3" t="s">
        <v>713</v>
      </c>
      <c r="C108" s="3" t="s">
        <v>531</v>
      </c>
      <c r="D108" s="7" t="n">
        <v>0</v>
      </c>
      <c r="E108" s="3" t="s">
        <v>512</v>
      </c>
      <c r="F108" s="8" t="n">
        <v>45635</v>
      </c>
      <c r="G108" s="9" t="n">
        <v>45635.4195720904</v>
      </c>
      <c r="H108" s="3" t="n">
        <v>0.07</v>
      </c>
      <c r="I108" s="3" t="str">
        <f aca="false">IF(G108="","OPEN","RESOLVED")</f>
        <v>RESOLVED</v>
      </c>
      <c r="J108" s="3" t="n">
        <f aca="false">IF(C108="TIMING_MISMATCH_TIMEZONE",1,IF(ABS(D108)&gt;5000,4,IF(C108="FEE_VARIANCE_BREACH",120,IF(LEFT(C108,8)="ORPHANED",48,24))))</f>
        <v>1</v>
      </c>
      <c r="K108" s="3" t="str">
        <f aca="false">IF(H108="","",IF(H108&gt;J108,"BREACH","OK"))</f>
        <v>OK</v>
      </c>
    </row>
    <row r="109" customFormat="false" ht="15" hidden="false" customHeight="false" outlineLevel="0" collapsed="false">
      <c r="A109" s="3" t="s">
        <v>714</v>
      </c>
      <c r="B109" s="3" t="s">
        <v>715</v>
      </c>
      <c r="C109" s="3" t="s">
        <v>511</v>
      </c>
      <c r="D109" s="7" t="n">
        <v>778.97</v>
      </c>
      <c r="E109" s="3" t="s">
        <v>512</v>
      </c>
      <c r="F109" s="8" t="n">
        <v>45635</v>
      </c>
      <c r="G109" s="9" t="n">
        <v>45636.3969792665</v>
      </c>
      <c r="H109" s="3" t="n">
        <v>23.53</v>
      </c>
      <c r="I109" s="3" t="str">
        <f aca="false">IF(G109="","OPEN","RESOLVED")</f>
        <v>RESOLVED</v>
      </c>
      <c r="J109" s="3" t="n">
        <f aca="false">IF(C109="TIMING_MISMATCH_TIMEZONE",1,IF(ABS(D109)&gt;5000,4,IF(C109="FEE_VARIANCE_BREACH",120,IF(LEFT(C109,8)="ORPHANED",48,24))))</f>
        <v>48</v>
      </c>
      <c r="K109" s="3" t="str">
        <f aca="false">IF(H109="","",IF(H109&gt;J109,"BREACH","OK"))</f>
        <v>OK</v>
      </c>
    </row>
    <row r="110" customFormat="false" ht="15" hidden="false" customHeight="false" outlineLevel="0" collapsed="false">
      <c r="A110" s="3" t="s">
        <v>716</v>
      </c>
      <c r="B110" s="3" t="s">
        <v>717</v>
      </c>
      <c r="C110" s="3" t="s">
        <v>531</v>
      </c>
      <c r="D110" s="7" t="n">
        <v>0</v>
      </c>
      <c r="E110" s="3" t="s">
        <v>512</v>
      </c>
      <c r="F110" s="8" t="n">
        <v>45635</v>
      </c>
      <c r="G110" s="9" t="n">
        <v>45635.4264342291</v>
      </c>
      <c r="H110" s="3" t="n">
        <v>0.23</v>
      </c>
      <c r="I110" s="3" t="str">
        <f aca="false">IF(G110="","OPEN","RESOLVED")</f>
        <v>RESOLVED</v>
      </c>
      <c r="J110" s="3" t="n">
        <f aca="false">IF(C110="TIMING_MISMATCH_TIMEZONE",1,IF(ABS(D110)&gt;5000,4,IF(C110="FEE_VARIANCE_BREACH",120,IF(LEFT(C110,8)="ORPHANED",48,24))))</f>
        <v>1</v>
      </c>
      <c r="K110" s="3" t="str">
        <f aca="false">IF(H110="","",IF(H110&gt;J110,"BREACH","OK"))</f>
        <v>OK</v>
      </c>
    </row>
    <row r="111" customFormat="false" ht="15" hidden="false" customHeight="false" outlineLevel="0" collapsed="false">
      <c r="A111" s="3" t="s">
        <v>718</v>
      </c>
      <c r="B111" s="3" t="s">
        <v>719</v>
      </c>
      <c r="C111" s="3" t="s">
        <v>531</v>
      </c>
      <c r="D111" s="7" t="n">
        <v>0</v>
      </c>
      <c r="E111" s="3" t="s">
        <v>512</v>
      </c>
      <c r="F111" s="8" t="n">
        <v>45635</v>
      </c>
      <c r="G111" s="9" t="n">
        <v>45635.4286248083</v>
      </c>
      <c r="H111" s="3" t="n">
        <v>0.29</v>
      </c>
      <c r="I111" s="3" t="str">
        <f aca="false">IF(G111="","OPEN","RESOLVED")</f>
        <v>RESOLVED</v>
      </c>
      <c r="J111" s="3" t="n">
        <f aca="false">IF(C111="TIMING_MISMATCH_TIMEZONE",1,IF(ABS(D111)&gt;5000,4,IF(C111="FEE_VARIANCE_BREACH",120,IF(LEFT(C111,8)="ORPHANED",48,24))))</f>
        <v>1</v>
      </c>
      <c r="K111" s="3" t="str">
        <f aca="false">IF(H111="","",IF(H111&gt;J111,"BREACH","OK"))</f>
        <v>OK</v>
      </c>
    </row>
    <row r="112" customFormat="false" ht="15" hidden="false" customHeight="false" outlineLevel="0" collapsed="false">
      <c r="A112" s="3" t="s">
        <v>720</v>
      </c>
      <c r="B112" s="3" t="s">
        <v>721</v>
      </c>
      <c r="C112" s="3" t="s">
        <v>511</v>
      </c>
      <c r="D112" s="7" t="n">
        <v>177.41</v>
      </c>
      <c r="E112" s="3" t="s">
        <v>512</v>
      </c>
      <c r="F112" s="8" t="n">
        <v>45635</v>
      </c>
      <c r="G112" s="9" t="n">
        <v>45637.5658669072</v>
      </c>
      <c r="H112" s="3" t="n">
        <v>51.58</v>
      </c>
      <c r="I112" s="3" t="str">
        <f aca="false">IF(G112="","OPEN","RESOLVED")</f>
        <v>RESOLVED</v>
      </c>
      <c r="J112" s="3" t="n">
        <f aca="false">IF(C112="TIMING_MISMATCH_TIMEZONE",1,IF(ABS(D112)&gt;5000,4,IF(C112="FEE_VARIANCE_BREACH",120,IF(LEFT(C112,8)="ORPHANED",48,24))))</f>
        <v>48</v>
      </c>
      <c r="K112" s="3" t="str">
        <f aca="false">IF(H112="","",IF(H112&gt;J112,"BREACH","OK"))</f>
        <v>BREACH</v>
      </c>
    </row>
    <row r="113" customFormat="false" ht="15" hidden="false" customHeight="false" outlineLevel="0" collapsed="false">
      <c r="A113" s="3" t="s">
        <v>722</v>
      </c>
      <c r="B113" s="3" t="s">
        <v>723</v>
      </c>
      <c r="C113" s="3" t="s">
        <v>511</v>
      </c>
      <c r="D113" s="7" t="n">
        <v>123.89</v>
      </c>
      <c r="E113" s="3" t="s">
        <v>512</v>
      </c>
      <c r="F113" s="8" t="n">
        <v>45635</v>
      </c>
      <c r="G113" s="9" t="n">
        <v>45636.5651821046</v>
      </c>
      <c r="H113" s="3" t="n">
        <v>27.56</v>
      </c>
      <c r="I113" s="3" t="str">
        <f aca="false">IF(G113="","OPEN","RESOLVED")</f>
        <v>RESOLVED</v>
      </c>
      <c r="J113" s="3" t="n">
        <f aca="false">IF(C113="TIMING_MISMATCH_TIMEZONE",1,IF(ABS(D113)&gt;5000,4,IF(C113="FEE_VARIANCE_BREACH",120,IF(LEFT(C113,8)="ORPHANED",48,24))))</f>
        <v>48</v>
      </c>
      <c r="K113" s="3" t="str">
        <f aca="false">IF(H113="","",IF(H113&gt;J113,"BREACH","OK"))</f>
        <v>OK</v>
      </c>
    </row>
    <row r="114" customFormat="false" ht="15" hidden="false" customHeight="false" outlineLevel="0" collapsed="false">
      <c r="A114" s="3" t="s">
        <v>724</v>
      </c>
      <c r="B114" s="3" t="s">
        <v>725</v>
      </c>
      <c r="C114" s="3" t="s">
        <v>497</v>
      </c>
      <c r="D114" s="7" t="n">
        <v>-0.6</v>
      </c>
      <c r="E114" s="3" t="s">
        <v>498</v>
      </c>
      <c r="F114" s="8" t="n">
        <v>45635</v>
      </c>
      <c r="G114" s="9" t="n">
        <v>45638.8124067063</v>
      </c>
      <c r="H114" s="3" t="n">
        <v>81.5</v>
      </c>
      <c r="I114" s="3" t="str">
        <f aca="false">IF(G114="","OPEN","RESOLVED")</f>
        <v>RESOLVED</v>
      </c>
      <c r="J114" s="3" t="n">
        <f aca="false">IF(C114="TIMING_MISMATCH_TIMEZONE",1,IF(ABS(D114)&gt;5000,4,IF(C114="FEE_VARIANCE_BREACH",120,IF(LEFT(C114,8)="ORPHANED",48,24))))</f>
        <v>120</v>
      </c>
      <c r="K114" s="3" t="str">
        <f aca="false">IF(H114="","",IF(H114&gt;J114,"BREACH","OK"))</f>
        <v>OK</v>
      </c>
    </row>
    <row r="115" customFormat="false" ht="15" hidden="false" customHeight="false" outlineLevel="0" collapsed="false">
      <c r="A115" s="3" t="s">
        <v>726</v>
      </c>
      <c r="B115" s="3" t="s">
        <v>727</v>
      </c>
      <c r="C115" s="3" t="s">
        <v>531</v>
      </c>
      <c r="D115" s="7" t="n">
        <v>0</v>
      </c>
      <c r="E115" s="3" t="s">
        <v>512</v>
      </c>
      <c r="F115" s="8" t="n">
        <v>45635</v>
      </c>
      <c r="G115" s="9" t="n">
        <v>45635.4254328031</v>
      </c>
      <c r="H115" s="3" t="n">
        <v>0.21</v>
      </c>
      <c r="I115" s="3" t="str">
        <f aca="false">IF(G115="","OPEN","RESOLVED")</f>
        <v>RESOLVED</v>
      </c>
      <c r="J115" s="3" t="n">
        <f aca="false">IF(C115="TIMING_MISMATCH_TIMEZONE",1,IF(ABS(D115)&gt;5000,4,IF(C115="FEE_VARIANCE_BREACH",120,IF(LEFT(C115,8)="ORPHANED",48,24))))</f>
        <v>1</v>
      </c>
      <c r="K115" s="3" t="str">
        <f aca="false">IF(H115="","",IF(H115&gt;J115,"BREACH","OK"))</f>
        <v>OK</v>
      </c>
    </row>
    <row r="116" customFormat="false" ht="15" hidden="false" customHeight="false" outlineLevel="0" collapsed="false">
      <c r="A116" s="3" t="s">
        <v>728</v>
      </c>
      <c r="B116" s="3" t="s">
        <v>729</v>
      </c>
      <c r="C116" s="3" t="s">
        <v>531</v>
      </c>
      <c r="D116" s="7" t="n">
        <v>0</v>
      </c>
      <c r="E116" s="3" t="s">
        <v>512</v>
      </c>
      <c r="F116" s="8" t="n">
        <v>45635</v>
      </c>
      <c r="G116" s="9" t="n">
        <v>45635.4269500172</v>
      </c>
      <c r="H116" s="3" t="n">
        <v>0.25</v>
      </c>
      <c r="I116" s="3" t="str">
        <f aca="false">IF(G116="","OPEN","RESOLVED")</f>
        <v>RESOLVED</v>
      </c>
      <c r="J116" s="3" t="n">
        <f aca="false">IF(C116="TIMING_MISMATCH_TIMEZONE",1,IF(ABS(D116)&gt;5000,4,IF(C116="FEE_VARIANCE_BREACH",120,IF(LEFT(C116,8)="ORPHANED",48,24))))</f>
        <v>1</v>
      </c>
      <c r="K116" s="3" t="str">
        <f aca="false">IF(H116="","",IF(H116&gt;J116,"BREACH","OK"))</f>
        <v>OK</v>
      </c>
    </row>
    <row r="117" customFormat="false" ht="15" hidden="false" customHeight="false" outlineLevel="0" collapsed="false">
      <c r="A117" s="3" t="s">
        <v>730</v>
      </c>
      <c r="B117" s="3" t="s">
        <v>731</v>
      </c>
      <c r="C117" s="3" t="s">
        <v>531</v>
      </c>
      <c r="D117" s="7" t="n">
        <v>0</v>
      </c>
      <c r="E117" s="3" t="s">
        <v>512</v>
      </c>
      <c r="F117" s="8" t="n">
        <v>45635</v>
      </c>
      <c r="G117" s="9" t="n">
        <v>45635.4304706021</v>
      </c>
      <c r="H117" s="3" t="n">
        <v>0.33</v>
      </c>
      <c r="I117" s="3" t="str">
        <f aca="false">IF(G117="","OPEN","RESOLVED")</f>
        <v>RESOLVED</v>
      </c>
      <c r="J117" s="3" t="n">
        <f aca="false">IF(C117="TIMING_MISMATCH_TIMEZONE",1,IF(ABS(D117)&gt;5000,4,IF(C117="FEE_VARIANCE_BREACH",120,IF(LEFT(C117,8)="ORPHANED",48,24))))</f>
        <v>1</v>
      </c>
      <c r="K117" s="3" t="str">
        <f aca="false">IF(H117="","",IF(H117&gt;J117,"BREACH","OK"))</f>
        <v>OK</v>
      </c>
    </row>
    <row r="118" customFormat="false" ht="15" hidden="false" customHeight="false" outlineLevel="0" collapsed="false">
      <c r="A118" s="3" t="s">
        <v>732</v>
      </c>
      <c r="B118" s="3" t="s">
        <v>733</v>
      </c>
      <c r="C118" s="3" t="s">
        <v>531</v>
      </c>
      <c r="D118" s="7" t="n">
        <v>0</v>
      </c>
      <c r="E118" s="3" t="s">
        <v>512</v>
      </c>
      <c r="F118" s="8" t="n">
        <v>45635</v>
      </c>
      <c r="G118" s="9" t="n">
        <v>45635.41875</v>
      </c>
      <c r="H118" s="3" t="n">
        <v>0.05</v>
      </c>
      <c r="I118" s="3" t="str">
        <f aca="false">IF(G118="","OPEN","RESOLVED")</f>
        <v>RESOLVED</v>
      </c>
      <c r="J118" s="3" t="n">
        <f aca="false">IF(C118="TIMING_MISMATCH_TIMEZONE",1,IF(ABS(D118)&gt;5000,4,IF(C118="FEE_VARIANCE_BREACH",120,IF(LEFT(C118,8)="ORPHANED",48,24))))</f>
        <v>1</v>
      </c>
      <c r="K118" s="3" t="str">
        <f aca="false">IF(H118="","",IF(H118&gt;J118,"BREACH","OK"))</f>
        <v>OK</v>
      </c>
    </row>
    <row r="119" customFormat="false" ht="15" hidden="false" customHeight="false" outlineLevel="0" collapsed="false">
      <c r="A119" s="3" t="s">
        <v>734</v>
      </c>
      <c r="B119" s="3" t="s">
        <v>735</v>
      </c>
      <c r="C119" s="3" t="s">
        <v>497</v>
      </c>
      <c r="D119" s="7" t="n">
        <v>-1.86</v>
      </c>
      <c r="E119" s="3" t="s">
        <v>498</v>
      </c>
      <c r="F119" s="8" t="n">
        <v>45635</v>
      </c>
      <c r="G119" s="9" t="n">
        <v>45642.646096898</v>
      </c>
      <c r="H119" s="3" t="n">
        <v>125.51</v>
      </c>
      <c r="I119" s="3" t="str">
        <f aca="false">IF(G119="","OPEN","RESOLVED")</f>
        <v>RESOLVED</v>
      </c>
      <c r="J119" s="3" t="n">
        <f aca="false">IF(C119="TIMING_MISMATCH_TIMEZONE",1,IF(ABS(D119)&gt;5000,4,IF(C119="FEE_VARIANCE_BREACH",120,IF(LEFT(C119,8)="ORPHANED",48,24))))</f>
        <v>120</v>
      </c>
      <c r="K119" s="3" t="str">
        <f aca="false">IF(H119="","",IF(H119&gt;J119,"BREACH","OK"))</f>
        <v>BREACH</v>
      </c>
    </row>
    <row r="120" customFormat="false" ht="15" hidden="false" customHeight="false" outlineLevel="0" collapsed="false">
      <c r="A120" s="3" t="s">
        <v>736</v>
      </c>
      <c r="B120" s="3" t="s">
        <v>737</v>
      </c>
      <c r="C120" s="3" t="s">
        <v>497</v>
      </c>
      <c r="D120" s="7" t="n">
        <v>-0.78</v>
      </c>
      <c r="E120" s="3" t="s">
        <v>498</v>
      </c>
      <c r="F120" s="8" t="n">
        <v>45635</v>
      </c>
      <c r="G120" s="9" t="n">
        <v>45639.8342448818</v>
      </c>
      <c r="H120" s="3" t="n">
        <v>106.02</v>
      </c>
      <c r="I120" s="3" t="str">
        <f aca="false">IF(G120="","OPEN","RESOLVED")</f>
        <v>RESOLVED</v>
      </c>
      <c r="J120" s="3" t="n">
        <f aca="false">IF(C120="TIMING_MISMATCH_TIMEZONE",1,IF(ABS(D120)&gt;5000,4,IF(C120="FEE_VARIANCE_BREACH",120,IF(LEFT(C120,8)="ORPHANED",48,24))))</f>
        <v>120</v>
      </c>
      <c r="K120" s="3" t="str">
        <f aca="false">IF(H120="","",IF(H120&gt;J120,"BREACH","OK"))</f>
        <v>OK</v>
      </c>
    </row>
    <row r="121" customFormat="false" ht="15" hidden="false" customHeight="false" outlineLevel="0" collapsed="false">
      <c r="A121" s="3" t="s">
        <v>738</v>
      </c>
      <c r="B121" s="3" t="s">
        <v>739</v>
      </c>
      <c r="C121" s="3" t="s">
        <v>511</v>
      </c>
      <c r="D121" s="7" t="n">
        <v>95.17</v>
      </c>
      <c r="E121" s="3" t="s">
        <v>512</v>
      </c>
      <c r="F121" s="8" t="n">
        <v>45635</v>
      </c>
      <c r="G121" s="9" t="n">
        <v>45636.5493337053</v>
      </c>
      <c r="H121" s="3" t="n">
        <v>27.18</v>
      </c>
      <c r="I121" s="3" t="str">
        <f aca="false">IF(G121="","OPEN","RESOLVED")</f>
        <v>RESOLVED</v>
      </c>
      <c r="J121" s="3" t="n">
        <f aca="false">IF(C121="TIMING_MISMATCH_TIMEZONE",1,IF(ABS(D121)&gt;5000,4,IF(C121="FEE_VARIANCE_BREACH",120,IF(LEFT(C121,8)="ORPHANED",48,24))))</f>
        <v>48</v>
      </c>
      <c r="K121" s="3" t="str">
        <f aca="false">IF(H121="","",IF(H121&gt;J121,"BREACH","OK"))</f>
        <v>OK</v>
      </c>
    </row>
    <row r="122" customFormat="false" ht="15" hidden="false" customHeight="false" outlineLevel="0" collapsed="false">
      <c r="A122" s="3" t="s">
        <v>740</v>
      </c>
      <c r="B122" s="3" t="s">
        <v>741</v>
      </c>
      <c r="C122" s="3" t="s">
        <v>511</v>
      </c>
      <c r="D122" s="7" t="n">
        <v>520.15</v>
      </c>
      <c r="E122" s="3" t="s">
        <v>512</v>
      </c>
      <c r="F122" s="8" t="n">
        <v>45635</v>
      </c>
      <c r="G122" s="9" t="n">
        <v>45636.5762020061</v>
      </c>
      <c r="H122" s="3" t="n">
        <v>27.83</v>
      </c>
      <c r="I122" s="3" t="str">
        <f aca="false">IF(G122="","OPEN","RESOLVED")</f>
        <v>RESOLVED</v>
      </c>
      <c r="J122" s="3" t="n">
        <f aca="false">IF(C122="TIMING_MISMATCH_TIMEZONE",1,IF(ABS(D122)&gt;5000,4,IF(C122="FEE_VARIANCE_BREACH",120,IF(LEFT(C122,8)="ORPHANED",48,24))))</f>
        <v>48</v>
      </c>
      <c r="K122" s="3" t="str">
        <f aca="false">IF(H122="","",IF(H122&gt;J122,"BREACH","OK"))</f>
        <v>OK</v>
      </c>
    </row>
    <row r="123" customFormat="false" ht="15" hidden="false" customHeight="false" outlineLevel="0" collapsed="false">
      <c r="A123" s="3" t="s">
        <v>742</v>
      </c>
      <c r="B123" s="3" t="s">
        <v>743</v>
      </c>
      <c r="C123" s="3" t="s">
        <v>531</v>
      </c>
      <c r="D123" s="7" t="n">
        <v>0</v>
      </c>
      <c r="E123" s="3" t="s">
        <v>512</v>
      </c>
      <c r="F123" s="8" t="n">
        <v>45635</v>
      </c>
      <c r="G123" s="9" t="n">
        <v>45635.4265378995</v>
      </c>
      <c r="H123" s="3" t="n">
        <v>0.24</v>
      </c>
      <c r="I123" s="3" t="str">
        <f aca="false">IF(G123="","OPEN","RESOLVED")</f>
        <v>RESOLVED</v>
      </c>
      <c r="J123" s="3" t="n">
        <f aca="false">IF(C123="TIMING_MISMATCH_TIMEZONE",1,IF(ABS(D123)&gt;5000,4,IF(C123="FEE_VARIANCE_BREACH",120,IF(LEFT(C123,8)="ORPHANED",48,24))))</f>
        <v>1</v>
      </c>
      <c r="K123" s="3" t="str">
        <f aca="false">IF(H123="","",IF(H123&gt;J123,"BREACH","OK"))</f>
        <v>OK</v>
      </c>
    </row>
    <row r="124" customFormat="false" ht="15" hidden="false" customHeight="false" outlineLevel="0" collapsed="false">
      <c r="A124" s="3" t="s">
        <v>744</v>
      </c>
      <c r="B124" s="3" t="s">
        <v>745</v>
      </c>
      <c r="C124" s="3" t="s">
        <v>531</v>
      </c>
      <c r="D124" s="7" t="n">
        <v>0</v>
      </c>
      <c r="E124" s="3" t="s">
        <v>512</v>
      </c>
      <c r="F124" s="8" t="n">
        <v>45635</v>
      </c>
      <c r="G124" s="9" t="n">
        <v>45635.4319351121</v>
      </c>
      <c r="H124" s="3" t="n">
        <v>0.37</v>
      </c>
      <c r="I124" s="3" t="str">
        <f aca="false">IF(G124="","OPEN","RESOLVED")</f>
        <v>RESOLVED</v>
      </c>
      <c r="J124" s="3" t="n">
        <f aca="false">IF(C124="TIMING_MISMATCH_TIMEZONE",1,IF(ABS(D124)&gt;5000,4,IF(C124="FEE_VARIANCE_BREACH",120,IF(LEFT(C124,8)="ORPHANED",48,24))))</f>
        <v>1</v>
      </c>
      <c r="K124" s="3" t="str">
        <f aca="false">IF(H124="","",IF(H124&gt;J124,"BREACH","OK"))</f>
        <v>OK</v>
      </c>
    </row>
    <row r="125" customFormat="false" ht="15" hidden="false" customHeight="false" outlineLevel="0" collapsed="false">
      <c r="A125" s="3" t="s">
        <v>746</v>
      </c>
      <c r="B125" s="3" t="s">
        <v>747</v>
      </c>
      <c r="C125" s="3" t="s">
        <v>503</v>
      </c>
      <c r="D125" s="7" t="n">
        <v>-169.9</v>
      </c>
      <c r="E125" s="3" t="s">
        <v>504</v>
      </c>
      <c r="F125" s="8" t="n">
        <v>45635</v>
      </c>
      <c r="G125" s="9" t="n">
        <v>45638.318091221</v>
      </c>
      <c r="H125" s="3" t="n">
        <v>69.63</v>
      </c>
      <c r="I125" s="3" t="str">
        <f aca="false">IF(G125="","OPEN","RESOLVED")</f>
        <v>RESOLVED</v>
      </c>
      <c r="J125" s="3" t="n">
        <f aca="false">IF(C125="TIMING_MISMATCH_TIMEZONE",1,IF(ABS(D125)&gt;5000,4,IF(C125="FEE_VARIANCE_BREACH",120,IF(LEFT(C125,8)="ORPHANED",48,24))))</f>
        <v>48</v>
      </c>
      <c r="K125" s="3" t="str">
        <f aca="false">IF(H125="","",IF(H125&gt;J125,"BREACH","OK"))</f>
        <v>BREACH</v>
      </c>
    </row>
    <row r="126" customFormat="false" ht="15" hidden="false" customHeight="false" outlineLevel="0" collapsed="false">
      <c r="A126" s="3" t="s">
        <v>748</v>
      </c>
      <c r="B126" s="3" t="s">
        <v>749</v>
      </c>
      <c r="C126" s="3" t="s">
        <v>497</v>
      </c>
      <c r="D126" s="7" t="n">
        <v>-2.63</v>
      </c>
      <c r="E126" s="3" t="s">
        <v>498</v>
      </c>
      <c r="F126" s="8" t="n">
        <v>45635</v>
      </c>
      <c r="G126" s="9" t="n">
        <v>45636.9719535728</v>
      </c>
      <c r="H126" s="3" t="n">
        <v>37.33</v>
      </c>
      <c r="I126" s="3" t="str">
        <f aca="false">IF(G126="","OPEN","RESOLVED")</f>
        <v>RESOLVED</v>
      </c>
      <c r="J126" s="3" t="n">
        <f aca="false">IF(C126="TIMING_MISMATCH_TIMEZONE",1,IF(ABS(D126)&gt;5000,4,IF(C126="FEE_VARIANCE_BREACH",120,IF(LEFT(C126,8)="ORPHANED",48,24))))</f>
        <v>120</v>
      </c>
      <c r="K126" s="3" t="str">
        <f aca="false">IF(H126="","",IF(H126&gt;J126,"BREACH","OK"))</f>
        <v>OK</v>
      </c>
    </row>
    <row r="127" customFormat="false" ht="15" hidden="false" customHeight="false" outlineLevel="0" collapsed="false">
      <c r="A127" s="3" t="s">
        <v>750</v>
      </c>
      <c r="B127" s="3" t="s">
        <v>751</v>
      </c>
      <c r="C127" s="3" t="s">
        <v>531</v>
      </c>
      <c r="D127" s="7" t="n">
        <v>0</v>
      </c>
      <c r="E127" s="3" t="s">
        <v>512</v>
      </c>
      <c r="F127" s="8" t="n">
        <v>45635</v>
      </c>
      <c r="G127" s="9" t="n">
        <v>45635.4202792944</v>
      </c>
      <c r="H127" s="3" t="n">
        <v>0.09</v>
      </c>
      <c r="I127" s="3" t="str">
        <f aca="false">IF(G127="","OPEN","RESOLVED")</f>
        <v>RESOLVED</v>
      </c>
      <c r="J127" s="3" t="n">
        <f aca="false">IF(C127="TIMING_MISMATCH_TIMEZONE",1,IF(ABS(D127)&gt;5000,4,IF(C127="FEE_VARIANCE_BREACH",120,IF(LEFT(C127,8)="ORPHANED",48,24))))</f>
        <v>1</v>
      </c>
      <c r="K127" s="3" t="str">
        <f aca="false">IF(H127="","",IF(H127&gt;J127,"BREACH","OK"))</f>
        <v>OK</v>
      </c>
    </row>
    <row r="128" customFormat="false" ht="15" hidden="false" customHeight="false" outlineLevel="0" collapsed="false">
      <c r="A128" s="3" t="s">
        <v>752</v>
      </c>
      <c r="B128" s="3" t="s">
        <v>753</v>
      </c>
      <c r="C128" s="3" t="s">
        <v>531</v>
      </c>
      <c r="D128" s="7" t="n">
        <v>0</v>
      </c>
      <c r="E128" s="3" t="s">
        <v>512</v>
      </c>
      <c r="F128" s="8" t="n">
        <v>45635</v>
      </c>
      <c r="G128" s="9" t="n">
        <v>45635.4190649925</v>
      </c>
      <c r="H128" s="3" t="n">
        <v>0.06</v>
      </c>
      <c r="I128" s="3" t="str">
        <f aca="false">IF(G128="","OPEN","RESOLVED")</f>
        <v>RESOLVED</v>
      </c>
      <c r="J128" s="3" t="n">
        <f aca="false">IF(C128="TIMING_MISMATCH_TIMEZONE",1,IF(ABS(D128)&gt;5000,4,IF(C128="FEE_VARIANCE_BREACH",120,IF(LEFT(C128,8)="ORPHANED",48,24))))</f>
        <v>1</v>
      </c>
      <c r="K128" s="3" t="str">
        <f aca="false">IF(H128="","",IF(H128&gt;J128,"BREACH","OK"))</f>
        <v>OK</v>
      </c>
    </row>
    <row r="129" customFormat="false" ht="15" hidden="false" customHeight="false" outlineLevel="0" collapsed="false">
      <c r="A129" s="3" t="s">
        <v>754</v>
      </c>
      <c r="B129" s="3" t="s">
        <v>755</v>
      </c>
      <c r="C129" s="3" t="s">
        <v>511</v>
      </c>
      <c r="D129" s="7" t="n">
        <v>182.1</v>
      </c>
      <c r="E129" s="3" t="s">
        <v>512</v>
      </c>
      <c r="F129" s="8" t="n">
        <v>45635</v>
      </c>
      <c r="G129" s="9" t="n">
        <v>45637.2771796421</v>
      </c>
      <c r="H129" s="3" t="n">
        <v>44.65</v>
      </c>
      <c r="I129" s="3" t="str">
        <f aca="false">IF(G129="","OPEN","RESOLVED")</f>
        <v>RESOLVED</v>
      </c>
      <c r="J129" s="3" t="n">
        <f aca="false">IF(C129="TIMING_MISMATCH_TIMEZONE",1,IF(ABS(D129)&gt;5000,4,IF(C129="FEE_VARIANCE_BREACH",120,IF(LEFT(C129,8)="ORPHANED",48,24))))</f>
        <v>48</v>
      </c>
      <c r="K129" s="3" t="str">
        <f aca="false">IF(H129="","",IF(H129&gt;J129,"BREACH","OK"))</f>
        <v>OK</v>
      </c>
    </row>
    <row r="130" customFormat="false" ht="15" hidden="false" customHeight="false" outlineLevel="0" collapsed="false">
      <c r="A130" s="3" t="s">
        <v>756</v>
      </c>
      <c r="B130" s="3" t="s">
        <v>757</v>
      </c>
      <c r="C130" s="3" t="s">
        <v>531</v>
      </c>
      <c r="D130" s="7" t="n">
        <v>0</v>
      </c>
      <c r="E130" s="3" t="s">
        <v>512</v>
      </c>
      <c r="F130" s="8" t="n">
        <v>45635</v>
      </c>
      <c r="G130" s="9" t="n">
        <v>45635.4311017625</v>
      </c>
      <c r="H130" s="3" t="n">
        <v>0.35</v>
      </c>
      <c r="I130" s="3" t="str">
        <f aca="false">IF(G130="","OPEN","RESOLVED")</f>
        <v>RESOLVED</v>
      </c>
      <c r="J130" s="3" t="n">
        <f aca="false">IF(C130="TIMING_MISMATCH_TIMEZONE",1,IF(ABS(D130)&gt;5000,4,IF(C130="FEE_VARIANCE_BREACH",120,IF(LEFT(C130,8)="ORPHANED",48,24))))</f>
        <v>1</v>
      </c>
      <c r="K130" s="3" t="str">
        <f aca="false">IF(H130="","",IF(H130&gt;J130,"BREACH","OK"))</f>
        <v>OK</v>
      </c>
    </row>
    <row r="131" customFormat="false" ht="15" hidden="false" customHeight="false" outlineLevel="0" collapsed="false">
      <c r="A131" s="3" t="s">
        <v>758</v>
      </c>
      <c r="B131" s="3" t="s">
        <v>759</v>
      </c>
      <c r="C131" s="3" t="s">
        <v>531</v>
      </c>
      <c r="D131" s="7" t="n">
        <v>0</v>
      </c>
      <c r="E131" s="3" t="s">
        <v>512</v>
      </c>
      <c r="F131" s="8" t="n">
        <v>45635</v>
      </c>
      <c r="G131" s="9" t="n">
        <v>45635.41875</v>
      </c>
      <c r="H131" s="3" t="n">
        <v>0.05</v>
      </c>
      <c r="I131" s="3" t="str">
        <f aca="false">IF(G131="","OPEN","RESOLVED")</f>
        <v>RESOLVED</v>
      </c>
      <c r="J131" s="3" t="n">
        <f aca="false">IF(C131="TIMING_MISMATCH_TIMEZONE",1,IF(ABS(D131)&gt;5000,4,IF(C131="FEE_VARIANCE_BREACH",120,IF(LEFT(C131,8)="ORPHANED",48,24))))</f>
        <v>1</v>
      </c>
      <c r="K131" s="3" t="str">
        <f aca="false">IF(H131="","",IF(H131&gt;J131,"BREACH","OK"))</f>
        <v>OK</v>
      </c>
    </row>
    <row r="132" customFormat="false" ht="15" hidden="false" customHeight="false" outlineLevel="0" collapsed="false">
      <c r="A132" s="3" t="s">
        <v>760</v>
      </c>
      <c r="B132" s="3" t="s">
        <v>761</v>
      </c>
      <c r="C132" s="3" t="s">
        <v>511</v>
      </c>
      <c r="D132" s="7" t="n">
        <v>140.4</v>
      </c>
      <c r="E132" s="3" t="s">
        <v>512</v>
      </c>
      <c r="F132" s="8" t="n">
        <v>45635</v>
      </c>
      <c r="G132" s="9" t="n">
        <v>45637.0638635131</v>
      </c>
      <c r="H132" s="3" t="n">
        <v>39.53</v>
      </c>
      <c r="I132" s="3" t="str">
        <f aca="false">IF(G132="","OPEN","RESOLVED")</f>
        <v>RESOLVED</v>
      </c>
      <c r="J132" s="3" t="n">
        <f aca="false">IF(C132="TIMING_MISMATCH_TIMEZONE",1,IF(ABS(D132)&gt;5000,4,IF(C132="FEE_VARIANCE_BREACH",120,IF(LEFT(C132,8)="ORPHANED",48,24))))</f>
        <v>48</v>
      </c>
      <c r="K132" s="3" t="str">
        <f aca="false">IF(H132="","",IF(H132&gt;J132,"BREACH","OK"))</f>
        <v>OK</v>
      </c>
    </row>
    <row r="133" customFormat="false" ht="15" hidden="false" customHeight="false" outlineLevel="0" collapsed="false">
      <c r="A133" s="3" t="s">
        <v>762</v>
      </c>
      <c r="B133" s="3" t="s">
        <v>763</v>
      </c>
      <c r="C133" s="3" t="s">
        <v>497</v>
      </c>
      <c r="D133" s="7" t="n">
        <v>-1.45</v>
      </c>
      <c r="E133" s="3" t="s">
        <v>498</v>
      </c>
      <c r="F133" s="8" t="n">
        <v>45635</v>
      </c>
      <c r="G133" s="9" t="n">
        <v>45642.3486557659</v>
      </c>
      <c r="H133" s="3" t="n">
        <v>118.37</v>
      </c>
      <c r="I133" s="3" t="str">
        <f aca="false">IF(G133="","OPEN","RESOLVED")</f>
        <v>RESOLVED</v>
      </c>
      <c r="J133" s="3" t="n">
        <f aca="false">IF(C133="TIMING_MISMATCH_TIMEZONE",1,IF(ABS(D133)&gt;5000,4,IF(C133="FEE_VARIANCE_BREACH",120,IF(LEFT(C133,8)="ORPHANED",48,24))))</f>
        <v>120</v>
      </c>
      <c r="K133" s="3" t="str">
        <f aca="false">IF(H133="","",IF(H133&gt;J133,"BREACH","OK"))</f>
        <v>OK</v>
      </c>
    </row>
    <row r="134" customFormat="false" ht="15" hidden="false" customHeight="false" outlineLevel="0" collapsed="false">
      <c r="A134" s="3" t="s">
        <v>764</v>
      </c>
      <c r="B134" s="3" t="s">
        <v>765</v>
      </c>
      <c r="C134" s="3" t="s">
        <v>503</v>
      </c>
      <c r="D134" s="7" t="n">
        <v>-147.37</v>
      </c>
      <c r="E134" s="3" t="s">
        <v>504</v>
      </c>
      <c r="F134" s="8" t="n">
        <v>45635</v>
      </c>
      <c r="G134" s="9" t="n">
        <v>45638.5940753046</v>
      </c>
      <c r="H134" s="3" t="n">
        <v>76.26</v>
      </c>
      <c r="I134" s="3" t="str">
        <f aca="false">IF(G134="","OPEN","RESOLVED")</f>
        <v>RESOLVED</v>
      </c>
      <c r="J134" s="3" t="n">
        <f aca="false">IF(C134="TIMING_MISMATCH_TIMEZONE",1,IF(ABS(D134)&gt;5000,4,IF(C134="FEE_VARIANCE_BREACH",120,IF(LEFT(C134,8)="ORPHANED",48,24))))</f>
        <v>48</v>
      </c>
      <c r="K134" s="3" t="str">
        <f aca="false">IF(H134="","",IF(H134&gt;J134,"BREACH","OK"))</f>
        <v>BREACH</v>
      </c>
    </row>
    <row r="135" customFormat="false" ht="15" hidden="false" customHeight="false" outlineLevel="0" collapsed="false">
      <c r="A135" s="3" t="s">
        <v>766</v>
      </c>
      <c r="B135" s="3" t="s">
        <v>767</v>
      </c>
      <c r="C135" s="3" t="s">
        <v>531</v>
      </c>
      <c r="D135" s="7" t="n">
        <v>0</v>
      </c>
      <c r="E135" s="3" t="s">
        <v>512</v>
      </c>
      <c r="F135" s="8" t="n">
        <v>45635</v>
      </c>
      <c r="G135" s="9" t="n">
        <v>45635.4188035713</v>
      </c>
      <c r="H135" s="3" t="n">
        <v>0.05</v>
      </c>
      <c r="I135" s="3" t="str">
        <f aca="false">IF(G135="","OPEN","RESOLVED")</f>
        <v>RESOLVED</v>
      </c>
      <c r="J135" s="3" t="n">
        <f aca="false">IF(C135="TIMING_MISMATCH_TIMEZONE",1,IF(ABS(D135)&gt;5000,4,IF(C135="FEE_VARIANCE_BREACH",120,IF(LEFT(C135,8)="ORPHANED",48,24))))</f>
        <v>1</v>
      </c>
      <c r="K135" s="3" t="str">
        <f aca="false">IF(H135="","",IF(H135&gt;J135,"BREACH","OK"))</f>
        <v>OK</v>
      </c>
    </row>
    <row r="136" customFormat="false" ht="15" hidden="false" customHeight="false" outlineLevel="0" collapsed="false">
      <c r="A136" s="3" t="s">
        <v>768</v>
      </c>
      <c r="B136" s="3" t="s">
        <v>769</v>
      </c>
      <c r="C136" s="3" t="s">
        <v>511</v>
      </c>
      <c r="D136" s="7" t="n">
        <v>227.47</v>
      </c>
      <c r="E136" s="3" t="s">
        <v>512</v>
      </c>
      <c r="F136" s="8" t="n">
        <v>45635</v>
      </c>
      <c r="G136" s="9" t="n">
        <v>45637.262578878</v>
      </c>
      <c r="H136" s="3" t="n">
        <v>44.3</v>
      </c>
      <c r="I136" s="3" t="str">
        <f aca="false">IF(G136="","OPEN","RESOLVED")</f>
        <v>RESOLVED</v>
      </c>
      <c r="J136" s="3" t="n">
        <f aca="false">IF(C136="TIMING_MISMATCH_TIMEZONE",1,IF(ABS(D136)&gt;5000,4,IF(C136="FEE_VARIANCE_BREACH",120,IF(LEFT(C136,8)="ORPHANED",48,24))))</f>
        <v>48</v>
      </c>
      <c r="K136" s="3" t="str">
        <f aca="false">IF(H136="","",IF(H136&gt;J136,"BREACH","OK"))</f>
        <v>OK</v>
      </c>
    </row>
    <row r="137" customFormat="false" ht="15" hidden="false" customHeight="false" outlineLevel="0" collapsed="false">
      <c r="A137" s="3" t="s">
        <v>770</v>
      </c>
      <c r="B137" s="3" t="s">
        <v>771</v>
      </c>
      <c r="C137" s="3" t="s">
        <v>497</v>
      </c>
      <c r="D137" s="7" t="n">
        <v>-2.21</v>
      </c>
      <c r="E137" s="3" t="s">
        <v>498</v>
      </c>
      <c r="F137" s="8" t="n">
        <v>45635</v>
      </c>
      <c r="G137" s="9" t="n">
        <v>45638.2745139384</v>
      </c>
      <c r="H137" s="3" t="n">
        <v>68.59</v>
      </c>
      <c r="I137" s="3" t="str">
        <f aca="false">IF(G137="","OPEN","RESOLVED")</f>
        <v>RESOLVED</v>
      </c>
      <c r="J137" s="3" t="n">
        <f aca="false">IF(C137="TIMING_MISMATCH_TIMEZONE",1,IF(ABS(D137)&gt;5000,4,IF(C137="FEE_VARIANCE_BREACH",120,IF(LEFT(C137,8)="ORPHANED",48,24))))</f>
        <v>120</v>
      </c>
      <c r="K137" s="3" t="str">
        <f aca="false">IF(H137="","",IF(H137&gt;J137,"BREACH","OK"))</f>
        <v>OK</v>
      </c>
    </row>
    <row r="138" customFormat="false" ht="15" hidden="false" customHeight="false" outlineLevel="0" collapsed="false">
      <c r="A138" s="3" t="s">
        <v>772</v>
      </c>
      <c r="B138" s="3" t="s">
        <v>773</v>
      </c>
      <c r="C138" s="3" t="s">
        <v>531</v>
      </c>
      <c r="D138" s="7" t="n">
        <v>0</v>
      </c>
      <c r="E138" s="3" t="s">
        <v>512</v>
      </c>
      <c r="F138" s="8" t="n">
        <v>45635</v>
      </c>
      <c r="G138" s="9" t="n">
        <v>45635.4219890854</v>
      </c>
      <c r="H138" s="3" t="n">
        <v>0.13</v>
      </c>
      <c r="I138" s="3" t="str">
        <f aca="false">IF(G138="","OPEN","RESOLVED")</f>
        <v>RESOLVED</v>
      </c>
      <c r="J138" s="3" t="n">
        <f aca="false">IF(C138="TIMING_MISMATCH_TIMEZONE",1,IF(ABS(D138)&gt;5000,4,IF(C138="FEE_VARIANCE_BREACH",120,IF(LEFT(C138,8)="ORPHANED",48,24))))</f>
        <v>1</v>
      </c>
      <c r="K138" s="3" t="str">
        <f aca="false">IF(H138="","",IF(H138&gt;J138,"BREACH","OK"))</f>
        <v>OK</v>
      </c>
    </row>
    <row r="139" customFormat="false" ht="15" hidden="false" customHeight="false" outlineLevel="0" collapsed="false">
      <c r="A139" s="3" t="s">
        <v>774</v>
      </c>
      <c r="B139" s="3" t="s">
        <v>775</v>
      </c>
      <c r="C139" s="3" t="s">
        <v>531</v>
      </c>
      <c r="D139" s="7" t="n">
        <v>0</v>
      </c>
      <c r="E139" s="3" t="s">
        <v>512</v>
      </c>
      <c r="F139" s="8" t="n">
        <v>45635</v>
      </c>
      <c r="G139" s="9" t="n">
        <v>45635.4259630267</v>
      </c>
      <c r="H139" s="3" t="n">
        <v>0.22</v>
      </c>
      <c r="I139" s="3" t="str">
        <f aca="false">IF(G139="","OPEN","RESOLVED")</f>
        <v>RESOLVED</v>
      </c>
      <c r="J139" s="3" t="n">
        <f aca="false">IF(C139="TIMING_MISMATCH_TIMEZONE",1,IF(ABS(D139)&gt;5000,4,IF(C139="FEE_VARIANCE_BREACH",120,IF(LEFT(C139,8)="ORPHANED",48,24))))</f>
        <v>1</v>
      </c>
      <c r="K139" s="3" t="str">
        <f aca="false">IF(H139="","",IF(H139&gt;J139,"BREACH","OK"))</f>
        <v>OK</v>
      </c>
    </row>
    <row r="140" customFormat="false" ht="15" hidden="false" customHeight="false" outlineLevel="0" collapsed="false">
      <c r="A140" s="3" t="s">
        <v>776</v>
      </c>
      <c r="B140" s="3" t="s">
        <v>777</v>
      </c>
      <c r="C140" s="3" t="s">
        <v>531</v>
      </c>
      <c r="D140" s="7" t="n">
        <v>0</v>
      </c>
      <c r="E140" s="3" t="s">
        <v>512</v>
      </c>
      <c r="F140" s="8" t="n">
        <v>45635</v>
      </c>
      <c r="G140" s="9" t="n">
        <v>45635.4217464298</v>
      </c>
      <c r="H140" s="3" t="n">
        <v>0.12</v>
      </c>
      <c r="I140" s="3" t="str">
        <f aca="false">IF(G140="","OPEN","RESOLVED")</f>
        <v>RESOLVED</v>
      </c>
      <c r="J140" s="3" t="n">
        <f aca="false">IF(C140="TIMING_MISMATCH_TIMEZONE",1,IF(ABS(D140)&gt;5000,4,IF(C140="FEE_VARIANCE_BREACH",120,IF(LEFT(C140,8)="ORPHANED",48,24))))</f>
        <v>1</v>
      </c>
      <c r="K140" s="3" t="str">
        <f aca="false">IF(H140="","",IF(H140&gt;J140,"BREACH","OK"))</f>
        <v>OK</v>
      </c>
    </row>
    <row r="141" customFormat="false" ht="15" hidden="false" customHeight="false" outlineLevel="0" collapsed="false">
      <c r="A141" s="3" t="s">
        <v>778</v>
      </c>
      <c r="B141" s="3" t="s">
        <v>779</v>
      </c>
      <c r="C141" s="3" t="s">
        <v>497</v>
      </c>
      <c r="D141" s="7" t="n">
        <v>-1.75</v>
      </c>
      <c r="E141" s="3" t="s">
        <v>498</v>
      </c>
      <c r="F141" s="8" t="n">
        <v>45635</v>
      </c>
      <c r="G141" s="9" t="n">
        <v>45638.7504178644</v>
      </c>
      <c r="H141" s="3" t="n">
        <v>80.01</v>
      </c>
      <c r="I141" s="3" t="str">
        <f aca="false">IF(G141="","OPEN","RESOLVED")</f>
        <v>RESOLVED</v>
      </c>
      <c r="J141" s="3" t="n">
        <f aca="false">IF(C141="TIMING_MISMATCH_TIMEZONE",1,IF(ABS(D141)&gt;5000,4,IF(C141="FEE_VARIANCE_BREACH",120,IF(LEFT(C141,8)="ORPHANED",48,24))))</f>
        <v>120</v>
      </c>
      <c r="K141" s="3" t="str">
        <f aca="false">IF(H141="","",IF(H141&gt;J141,"BREACH","OK"))</f>
        <v>OK</v>
      </c>
    </row>
    <row r="142" customFormat="false" ht="15" hidden="false" customHeight="false" outlineLevel="0" collapsed="false">
      <c r="A142" s="3" t="s">
        <v>780</v>
      </c>
      <c r="B142" s="3" t="s">
        <v>781</v>
      </c>
      <c r="C142" s="3" t="s">
        <v>503</v>
      </c>
      <c r="D142" s="7" t="n">
        <v>-487.82</v>
      </c>
      <c r="E142" s="3" t="s">
        <v>504</v>
      </c>
      <c r="F142" s="8" t="n">
        <v>45635</v>
      </c>
      <c r="G142" s="9" t="n">
        <v>45638.4774164559</v>
      </c>
      <c r="H142" s="3" t="n">
        <v>73.46</v>
      </c>
      <c r="I142" s="3" t="str">
        <f aca="false">IF(G142="","OPEN","RESOLVED")</f>
        <v>RESOLVED</v>
      </c>
      <c r="J142" s="3" t="n">
        <f aca="false">IF(C142="TIMING_MISMATCH_TIMEZONE",1,IF(ABS(D142)&gt;5000,4,IF(C142="FEE_VARIANCE_BREACH",120,IF(LEFT(C142,8)="ORPHANED",48,24))))</f>
        <v>48</v>
      </c>
      <c r="K142" s="3" t="str">
        <f aca="false">IF(H142="","",IF(H142&gt;J142,"BREACH","OK"))</f>
        <v>BREACH</v>
      </c>
    </row>
    <row r="143" customFormat="false" ht="15" hidden="false" customHeight="false" outlineLevel="0" collapsed="false">
      <c r="A143" s="3" t="s">
        <v>782</v>
      </c>
      <c r="B143" s="3" t="s">
        <v>783</v>
      </c>
      <c r="C143" s="3" t="s">
        <v>497</v>
      </c>
      <c r="D143" s="7" t="n">
        <v>-0.54</v>
      </c>
      <c r="E143" s="3" t="s">
        <v>498</v>
      </c>
      <c r="F143" s="8" t="n">
        <v>45635</v>
      </c>
      <c r="G143" s="9" t="n">
        <v>45644.7062060768</v>
      </c>
      <c r="H143" s="3" t="n">
        <v>174.95</v>
      </c>
      <c r="I143" s="3" t="str">
        <f aca="false">IF(G143="","OPEN","RESOLVED")</f>
        <v>RESOLVED</v>
      </c>
      <c r="J143" s="3" t="n">
        <f aca="false">IF(C143="TIMING_MISMATCH_TIMEZONE",1,IF(ABS(D143)&gt;5000,4,IF(C143="FEE_VARIANCE_BREACH",120,IF(LEFT(C143,8)="ORPHANED",48,24))))</f>
        <v>120</v>
      </c>
      <c r="K143" s="3" t="str">
        <f aca="false">IF(H143="","",IF(H143&gt;J143,"BREACH","OK"))</f>
        <v>BREACH</v>
      </c>
    </row>
    <row r="144" customFormat="false" ht="15" hidden="false" customHeight="false" outlineLevel="0" collapsed="false">
      <c r="A144" s="3" t="s">
        <v>784</v>
      </c>
      <c r="B144" s="3" t="s">
        <v>785</v>
      </c>
      <c r="C144" s="3" t="s">
        <v>497</v>
      </c>
      <c r="D144" s="7" t="n">
        <v>-0.74</v>
      </c>
      <c r="E144" s="3" t="s">
        <v>498</v>
      </c>
      <c r="F144" s="8" t="n">
        <v>45635</v>
      </c>
      <c r="G144" s="9" t="n">
        <v>45643.5565517731</v>
      </c>
      <c r="H144" s="3" t="n">
        <v>147.36</v>
      </c>
      <c r="I144" s="3" t="str">
        <f aca="false">IF(G144="","OPEN","RESOLVED")</f>
        <v>RESOLVED</v>
      </c>
      <c r="J144" s="3" t="n">
        <f aca="false">IF(C144="TIMING_MISMATCH_TIMEZONE",1,IF(ABS(D144)&gt;5000,4,IF(C144="FEE_VARIANCE_BREACH",120,IF(LEFT(C144,8)="ORPHANED",48,24))))</f>
        <v>120</v>
      </c>
      <c r="K144" s="3" t="str">
        <f aca="false">IF(H144="","",IF(H144&gt;J144,"BREACH","OK"))</f>
        <v>BREACH</v>
      </c>
    </row>
    <row r="145" customFormat="false" ht="15" hidden="false" customHeight="false" outlineLevel="0" collapsed="false">
      <c r="A145" s="3" t="s">
        <v>786</v>
      </c>
      <c r="B145" s="3" t="s">
        <v>787</v>
      </c>
      <c r="C145" s="3" t="s">
        <v>511</v>
      </c>
      <c r="D145" s="7" t="n">
        <v>258.52</v>
      </c>
      <c r="E145" s="3" t="s">
        <v>512</v>
      </c>
      <c r="F145" s="8" t="n">
        <v>45635</v>
      </c>
      <c r="G145" s="9" t="n">
        <v>45637.1913364453</v>
      </c>
      <c r="H145" s="3" t="n">
        <v>42.59</v>
      </c>
      <c r="I145" s="3" t="str">
        <f aca="false">IF(G145="","OPEN","RESOLVED")</f>
        <v>RESOLVED</v>
      </c>
      <c r="J145" s="3" t="n">
        <f aca="false">IF(C145="TIMING_MISMATCH_TIMEZONE",1,IF(ABS(D145)&gt;5000,4,IF(C145="FEE_VARIANCE_BREACH",120,IF(LEFT(C145,8)="ORPHANED",48,24))))</f>
        <v>48</v>
      </c>
      <c r="K145" s="3" t="str">
        <f aca="false">IF(H145="","",IF(H145&gt;J145,"BREACH","OK"))</f>
        <v>OK</v>
      </c>
    </row>
    <row r="146" customFormat="false" ht="15" hidden="false" customHeight="false" outlineLevel="0" collapsed="false">
      <c r="A146" s="3" t="s">
        <v>788</v>
      </c>
      <c r="B146" s="3" t="s">
        <v>789</v>
      </c>
      <c r="C146" s="3" t="s">
        <v>531</v>
      </c>
      <c r="D146" s="7" t="n">
        <v>0</v>
      </c>
      <c r="E146" s="3" t="s">
        <v>512</v>
      </c>
      <c r="F146" s="8" t="n">
        <v>45635</v>
      </c>
      <c r="G146" s="9" t="n">
        <v>45635.4270756363</v>
      </c>
      <c r="H146" s="3" t="n">
        <v>0.25</v>
      </c>
      <c r="I146" s="3" t="str">
        <f aca="false">IF(G146="","OPEN","RESOLVED")</f>
        <v>RESOLVED</v>
      </c>
      <c r="J146" s="3" t="n">
        <f aca="false">IF(C146="TIMING_MISMATCH_TIMEZONE",1,IF(ABS(D146)&gt;5000,4,IF(C146="FEE_VARIANCE_BREACH",120,IF(LEFT(C146,8)="ORPHANED",48,24))))</f>
        <v>1</v>
      </c>
      <c r="K146" s="3" t="str">
        <f aca="false">IF(H146="","",IF(H146&gt;J146,"BREACH","OK"))</f>
        <v>OK</v>
      </c>
    </row>
    <row r="147" customFormat="false" ht="15" hidden="false" customHeight="false" outlineLevel="0" collapsed="false">
      <c r="A147" s="3" t="s">
        <v>790</v>
      </c>
      <c r="B147" s="3" t="s">
        <v>791</v>
      </c>
      <c r="C147" s="3" t="s">
        <v>497</v>
      </c>
      <c r="D147" s="7" t="n">
        <v>-0.59</v>
      </c>
      <c r="E147" s="3" t="s">
        <v>498</v>
      </c>
      <c r="F147" s="8" t="n">
        <v>45635</v>
      </c>
      <c r="G147" s="9" t="n">
        <v>45638.0738601593</v>
      </c>
      <c r="H147" s="3" t="n">
        <v>63.77</v>
      </c>
      <c r="I147" s="3" t="str">
        <f aca="false">IF(G147="","OPEN","RESOLVED")</f>
        <v>RESOLVED</v>
      </c>
      <c r="J147" s="3" t="n">
        <f aca="false">IF(C147="TIMING_MISMATCH_TIMEZONE",1,IF(ABS(D147)&gt;5000,4,IF(C147="FEE_VARIANCE_BREACH",120,IF(LEFT(C147,8)="ORPHANED",48,24))))</f>
        <v>120</v>
      </c>
      <c r="K147" s="3" t="str">
        <f aca="false">IF(H147="","",IF(H147&gt;J147,"BREACH","OK"))</f>
        <v>OK</v>
      </c>
    </row>
    <row r="148" customFormat="false" ht="15" hidden="false" customHeight="false" outlineLevel="0" collapsed="false">
      <c r="A148" s="3" t="s">
        <v>792</v>
      </c>
      <c r="B148" s="3" t="s">
        <v>793</v>
      </c>
      <c r="C148" s="3" t="s">
        <v>531</v>
      </c>
      <c r="D148" s="7" t="n">
        <v>0</v>
      </c>
      <c r="E148" s="3" t="s">
        <v>512</v>
      </c>
      <c r="F148" s="8" t="n">
        <v>45635</v>
      </c>
      <c r="G148" s="9" t="n">
        <v>45635.4218672247</v>
      </c>
      <c r="H148" s="3" t="n">
        <v>0.12</v>
      </c>
      <c r="I148" s="3" t="str">
        <f aca="false">IF(G148="","OPEN","RESOLVED")</f>
        <v>RESOLVED</v>
      </c>
      <c r="J148" s="3" t="n">
        <f aca="false">IF(C148="TIMING_MISMATCH_TIMEZONE",1,IF(ABS(D148)&gt;5000,4,IF(C148="FEE_VARIANCE_BREACH",120,IF(LEFT(C148,8)="ORPHANED",48,24))))</f>
        <v>1</v>
      </c>
      <c r="K148" s="3" t="str">
        <f aca="false">IF(H148="","",IF(H148&gt;J148,"BREACH","OK"))</f>
        <v>OK</v>
      </c>
    </row>
    <row r="149" customFormat="false" ht="15" hidden="false" customHeight="false" outlineLevel="0" collapsed="false">
      <c r="A149" s="3" t="s">
        <v>794</v>
      </c>
      <c r="B149" s="3" t="s">
        <v>795</v>
      </c>
      <c r="C149" s="3" t="s">
        <v>503</v>
      </c>
      <c r="D149" s="7" t="n">
        <v>-337.78</v>
      </c>
      <c r="E149" s="3" t="s">
        <v>504</v>
      </c>
      <c r="F149" s="8" t="n">
        <v>45635</v>
      </c>
      <c r="G149" s="9" t="n">
        <v>45637.1297383669</v>
      </c>
      <c r="H149" s="3" t="n">
        <v>41.11</v>
      </c>
      <c r="I149" s="3" t="str">
        <f aca="false">IF(G149="","OPEN","RESOLVED")</f>
        <v>RESOLVED</v>
      </c>
      <c r="J149" s="3" t="n">
        <f aca="false">IF(C149="TIMING_MISMATCH_TIMEZONE",1,IF(ABS(D149)&gt;5000,4,IF(C149="FEE_VARIANCE_BREACH",120,IF(LEFT(C149,8)="ORPHANED",48,24))))</f>
        <v>48</v>
      </c>
      <c r="K149" s="3" t="str">
        <f aca="false">IF(H149="","",IF(H149&gt;J149,"BREACH","OK"))</f>
        <v>OK</v>
      </c>
    </row>
    <row r="150" customFormat="false" ht="15" hidden="false" customHeight="false" outlineLevel="0" collapsed="false">
      <c r="A150" s="3" t="s">
        <v>796</v>
      </c>
      <c r="B150" s="3" t="s">
        <v>797</v>
      </c>
      <c r="C150" s="3" t="s">
        <v>517</v>
      </c>
      <c r="D150" s="7" t="n">
        <v>-3</v>
      </c>
      <c r="E150" s="3" t="s">
        <v>518</v>
      </c>
      <c r="F150" s="8" t="n">
        <v>45635</v>
      </c>
      <c r="G150" s="9" t="n">
        <v>45637.4827289868</v>
      </c>
      <c r="H150" s="3" t="n">
        <v>49.59</v>
      </c>
      <c r="I150" s="3" t="str">
        <f aca="false">IF(G150="","OPEN","RESOLVED")</f>
        <v>RESOLVED</v>
      </c>
      <c r="J150" s="3" t="n">
        <f aca="false">IF(C150="TIMING_MISMATCH_TIMEZONE",1,IF(ABS(D150)&gt;5000,4,IF(C150="FEE_VARIANCE_BREACH",120,IF(LEFT(C150,8)="ORPHANED",48,24))))</f>
        <v>24</v>
      </c>
      <c r="K150" s="3" t="str">
        <f aca="false">IF(H150="","",IF(H150&gt;J150,"BREACH","OK"))</f>
        <v>BREACH</v>
      </c>
    </row>
    <row r="151" customFormat="false" ht="15" hidden="false" customHeight="false" outlineLevel="0" collapsed="false">
      <c r="A151" s="3" t="s">
        <v>798</v>
      </c>
      <c r="B151" s="3" t="s">
        <v>799</v>
      </c>
      <c r="C151" s="3" t="s">
        <v>503</v>
      </c>
      <c r="D151" s="7" t="n">
        <v>-339.23</v>
      </c>
      <c r="E151" s="3" t="s">
        <v>504</v>
      </c>
      <c r="F151" s="8" t="n">
        <v>45635</v>
      </c>
      <c r="G151" s="9" t="n">
        <v>45637.6714461897</v>
      </c>
      <c r="H151" s="3" t="n">
        <v>54.11</v>
      </c>
      <c r="I151" s="3" t="str">
        <f aca="false">IF(G151="","OPEN","RESOLVED")</f>
        <v>RESOLVED</v>
      </c>
      <c r="J151" s="3" t="n">
        <f aca="false">IF(C151="TIMING_MISMATCH_TIMEZONE",1,IF(ABS(D151)&gt;5000,4,IF(C151="FEE_VARIANCE_BREACH",120,IF(LEFT(C151,8)="ORPHANED",48,24))))</f>
        <v>48</v>
      </c>
      <c r="K151" s="3" t="str">
        <f aca="false">IF(H151="","",IF(H151&gt;J151,"BREACH","OK"))</f>
        <v>BREACH</v>
      </c>
    </row>
    <row r="152" customFormat="false" ht="15" hidden="false" customHeight="false" outlineLevel="0" collapsed="false">
      <c r="A152" s="3" t="s">
        <v>800</v>
      </c>
      <c r="B152" s="3" t="s">
        <v>801</v>
      </c>
      <c r="C152" s="3" t="s">
        <v>531</v>
      </c>
      <c r="D152" s="7" t="n">
        <v>0</v>
      </c>
      <c r="E152" s="3" t="s">
        <v>512</v>
      </c>
      <c r="F152" s="8" t="n">
        <v>45635</v>
      </c>
      <c r="G152" s="9" t="n">
        <v>45635.4278159378</v>
      </c>
      <c r="H152" s="3" t="n">
        <v>0.27</v>
      </c>
      <c r="I152" s="3" t="str">
        <f aca="false">IF(G152="","OPEN","RESOLVED")</f>
        <v>RESOLVED</v>
      </c>
      <c r="J152" s="3" t="n">
        <f aca="false">IF(C152="TIMING_MISMATCH_TIMEZONE",1,IF(ABS(D152)&gt;5000,4,IF(C152="FEE_VARIANCE_BREACH",120,IF(LEFT(C152,8)="ORPHANED",48,24))))</f>
        <v>1</v>
      </c>
      <c r="K152" s="3" t="str">
        <f aca="false">IF(H152="","",IF(H152&gt;J152,"BREACH","OK"))</f>
        <v>OK</v>
      </c>
    </row>
    <row r="153" customFormat="false" ht="15" hidden="false" customHeight="false" outlineLevel="0" collapsed="false">
      <c r="A153" s="3" t="s">
        <v>802</v>
      </c>
      <c r="B153" s="3" t="s">
        <v>803</v>
      </c>
      <c r="C153" s="3" t="s">
        <v>531</v>
      </c>
      <c r="D153" s="7" t="n">
        <v>0</v>
      </c>
      <c r="E153" s="3" t="s">
        <v>512</v>
      </c>
      <c r="F153" s="8" t="n">
        <v>45635</v>
      </c>
      <c r="G153" s="9" t="n">
        <v>45635.4245212863</v>
      </c>
      <c r="H153" s="3" t="n">
        <v>0.19</v>
      </c>
      <c r="I153" s="3" t="str">
        <f aca="false">IF(G153="","OPEN","RESOLVED")</f>
        <v>RESOLVED</v>
      </c>
      <c r="J153" s="3" t="n">
        <f aca="false">IF(C153="TIMING_MISMATCH_TIMEZONE",1,IF(ABS(D153)&gt;5000,4,IF(C153="FEE_VARIANCE_BREACH",120,IF(LEFT(C153,8)="ORPHANED",48,24))))</f>
        <v>1</v>
      </c>
      <c r="K153" s="3" t="str">
        <f aca="false">IF(H153="","",IF(H153&gt;J153,"BREACH","OK"))</f>
        <v>OK</v>
      </c>
    </row>
    <row r="154" customFormat="false" ht="15" hidden="false" customHeight="false" outlineLevel="0" collapsed="false">
      <c r="A154" s="3" t="s">
        <v>804</v>
      </c>
      <c r="B154" s="3" t="s">
        <v>805</v>
      </c>
      <c r="C154" s="3" t="s">
        <v>503</v>
      </c>
      <c r="D154" s="7" t="n">
        <v>-34.58</v>
      </c>
      <c r="E154" s="3" t="s">
        <v>504</v>
      </c>
      <c r="F154" s="8" t="n">
        <v>45636</v>
      </c>
      <c r="G154" s="9" t="n">
        <v>45636.965348309</v>
      </c>
      <c r="H154" s="3" t="n">
        <v>13.17</v>
      </c>
      <c r="I154" s="3" t="str">
        <f aca="false">IF(G154="","OPEN","RESOLVED")</f>
        <v>RESOLVED</v>
      </c>
      <c r="J154" s="3" t="n">
        <f aca="false">IF(C154="TIMING_MISMATCH_TIMEZONE",1,IF(ABS(D154)&gt;5000,4,IF(C154="FEE_VARIANCE_BREACH",120,IF(LEFT(C154,8)="ORPHANED",48,24))))</f>
        <v>48</v>
      </c>
      <c r="K154" s="3" t="str">
        <f aca="false">IF(H154="","",IF(H154&gt;J154,"BREACH","OK"))</f>
        <v>OK</v>
      </c>
    </row>
    <row r="155" customFormat="false" ht="15" hidden="false" customHeight="false" outlineLevel="0" collapsed="false">
      <c r="A155" s="3" t="s">
        <v>806</v>
      </c>
      <c r="B155" s="3" t="s">
        <v>807</v>
      </c>
      <c r="C155" s="3" t="s">
        <v>497</v>
      </c>
      <c r="D155" s="7" t="n">
        <v>-1.56</v>
      </c>
      <c r="E155" s="3" t="s">
        <v>498</v>
      </c>
      <c r="F155" s="8" t="n">
        <v>45636</v>
      </c>
      <c r="G155" s="9" t="n">
        <v>45643.8973614352</v>
      </c>
      <c r="H155" s="3" t="n">
        <v>131.54</v>
      </c>
      <c r="I155" s="3" t="str">
        <f aca="false">IF(G155="","OPEN","RESOLVED")</f>
        <v>RESOLVED</v>
      </c>
      <c r="J155" s="3" t="n">
        <f aca="false">IF(C155="TIMING_MISMATCH_TIMEZONE",1,IF(ABS(D155)&gt;5000,4,IF(C155="FEE_VARIANCE_BREACH",120,IF(LEFT(C155,8)="ORPHANED",48,24))))</f>
        <v>120</v>
      </c>
      <c r="K155" s="3" t="str">
        <f aca="false">IF(H155="","",IF(H155&gt;J155,"BREACH","OK"))</f>
        <v>BREACH</v>
      </c>
    </row>
    <row r="156" customFormat="false" ht="15" hidden="false" customHeight="false" outlineLevel="0" collapsed="false">
      <c r="A156" s="3" t="s">
        <v>808</v>
      </c>
      <c r="B156" s="3" t="s">
        <v>809</v>
      </c>
      <c r="C156" s="3" t="s">
        <v>531</v>
      </c>
      <c r="D156" s="7" t="n">
        <v>0</v>
      </c>
      <c r="E156" s="3" t="s">
        <v>512</v>
      </c>
      <c r="F156" s="8" t="n">
        <v>45636</v>
      </c>
      <c r="G156" s="9" t="n">
        <v>45636.4299216256</v>
      </c>
      <c r="H156" s="3" t="n">
        <v>0.32</v>
      </c>
      <c r="I156" s="3" t="str">
        <f aca="false">IF(G156="","OPEN","RESOLVED")</f>
        <v>RESOLVED</v>
      </c>
      <c r="J156" s="3" t="n">
        <f aca="false">IF(C156="TIMING_MISMATCH_TIMEZONE",1,IF(ABS(D156)&gt;5000,4,IF(C156="FEE_VARIANCE_BREACH",120,IF(LEFT(C156,8)="ORPHANED",48,24))))</f>
        <v>1</v>
      </c>
      <c r="K156" s="3" t="str">
        <f aca="false">IF(H156="","",IF(H156&gt;J156,"BREACH","OK"))</f>
        <v>OK</v>
      </c>
    </row>
    <row r="157" customFormat="false" ht="15" hidden="false" customHeight="false" outlineLevel="0" collapsed="false">
      <c r="A157" s="3" t="s">
        <v>810</v>
      </c>
      <c r="B157" s="3" t="s">
        <v>811</v>
      </c>
      <c r="C157" s="3" t="s">
        <v>497</v>
      </c>
      <c r="D157" s="7" t="n">
        <v>-0.94</v>
      </c>
      <c r="E157" s="3" t="s">
        <v>498</v>
      </c>
      <c r="F157" s="8" t="n">
        <v>45636</v>
      </c>
      <c r="G157" s="9" t="n">
        <v>45643.931131735</v>
      </c>
      <c r="H157" s="3" t="n">
        <v>132.35</v>
      </c>
      <c r="I157" s="3" t="str">
        <f aca="false">IF(G157="","OPEN","RESOLVED")</f>
        <v>RESOLVED</v>
      </c>
      <c r="J157" s="3" t="n">
        <f aca="false">IF(C157="TIMING_MISMATCH_TIMEZONE",1,IF(ABS(D157)&gt;5000,4,IF(C157="FEE_VARIANCE_BREACH",120,IF(LEFT(C157,8)="ORPHANED",48,24))))</f>
        <v>120</v>
      </c>
      <c r="K157" s="3" t="str">
        <f aca="false">IF(H157="","",IF(H157&gt;J157,"BREACH","OK"))</f>
        <v>BREACH</v>
      </c>
    </row>
    <row r="158" customFormat="false" ht="15" hidden="false" customHeight="false" outlineLevel="0" collapsed="false">
      <c r="A158" s="3" t="s">
        <v>812</v>
      </c>
      <c r="B158" s="3" t="s">
        <v>813</v>
      </c>
      <c r="C158" s="3" t="s">
        <v>511</v>
      </c>
      <c r="D158" s="7" t="n">
        <v>363.75</v>
      </c>
      <c r="E158" s="3" t="s">
        <v>512</v>
      </c>
      <c r="F158" s="8" t="n">
        <v>45636</v>
      </c>
      <c r="G158" s="9" t="n">
        <v>45637.7561991145</v>
      </c>
      <c r="H158" s="3" t="n">
        <v>32.15</v>
      </c>
      <c r="I158" s="3" t="str">
        <f aca="false">IF(G158="","OPEN","RESOLVED")</f>
        <v>RESOLVED</v>
      </c>
      <c r="J158" s="3" t="n">
        <f aca="false">IF(C158="TIMING_MISMATCH_TIMEZONE",1,IF(ABS(D158)&gt;5000,4,IF(C158="FEE_VARIANCE_BREACH",120,IF(LEFT(C158,8)="ORPHANED",48,24))))</f>
        <v>48</v>
      </c>
      <c r="K158" s="3" t="str">
        <f aca="false">IF(H158="","",IF(H158&gt;J158,"BREACH","OK"))</f>
        <v>OK</v>
      </c>
    </row>
    <row r="159" customFormat="false" ht="15" hidden="false" customHeight="false" outlineLevel="0" collapsed="false">
      <c r="A159" s="3" t="s">
        <v>814</v>
      </c>
      <c r="B159" s="3" t="s">
        <v>815</v>
      </c>
      <c r="C159" s="3" t="s">
        <v>531</v>
      </c>
      <c r="D159" s="7" t="n">
        <v>0</v>
      </c>
      <c r="E159" s="3" t="s">
        <v>512</v>
      </c>
      <c r="F159" s="8" t="n">
        <v>45636</v>
      </c>
      <c r="G159" s="9" t="n">
        <v>45636.419416895</v>
      </c>
      <c r="H159" s="3" t="n">
        <v>0.07</v>
      </c>
      <c r="I159" s="3" t="str">
        <f aca="false">IF(G159="","OPEN","RESOLVED")</f>
        <v>RESOLVED</v>
      </c>
      <c r="J159" s="3" t="n">
        <f aca="false">IF(C159="TIMING_MISMATCH_TIMEZONE",1,IF(ABS(D159)&gt;5000,4,IF(C159="FEE_VARIANCE_BREACH",120,IF(LEFT(C159,8)="ORPHANED",48,24))))</f>
        <v>1</v>
      </c>
      <c r="K159" s="3" t="str">
        <f aca="false">IF(H159="","",IF(H159&gt;J159,"BREACH","OK"))</f>
        <v>OK</v>
      </c>
    </row>
    <row r="160" customFormat="false" ht="15" hidden="false" customHeight="false" outlineLevel="0" collapsed="false">
      <c r="A160" s="3" t="s">
        <v>816</v>
      </c>
      <c r="B160" s="3" t="s">
        <v>817</v>
      </c>
      <c r="C160" s="3" t="s">
        <v>503</v>
      </c>
      <c r="D160" s="7" t="n">
        <v>-92.37</v>
      </c>
      <c r="E160" s="3" t="s">
        <v>504</v>
      </c>
      <c r="F160" s="8" t="n">
        <v>45636</v>
      </c>
      <c r="G160" s="9" t="n">
        <v>45639.472054772</v>
      </c>
      <c r="H160" s="3" t="n">
        <v>73.33</v>
      </c>
      <c r="I160" s="3" t="str">
        <f aca="false">IF(G160="","OPEN","RESOLVED")</f>
        <v>RESOLVED</v>
      </c>
      <c r="J160" s="3" t="n">
        <f aca="false">IF(C160="TIMING_MISMATCH_TIMEZONE",1,IF(ABS(D160)&gt;5000,4,IF(C160="FEE_VARIANCE_BREACH",120,IF(LEFT(C160,8)="ORPHANED",48,24))))</f>
        <v>48</v>
      </c>
      <c r="K160" s="3" t="str">
        <f aca="false">IF(H160="","",IF(H160&gt;J160,"BREACH","OK"))</f>
        <v>BREACH</v>
      </c>
    </row>
    <row r="161" customFormat="false" ht="15" hidden="false" customHeight="false" outlineLevel="0" collapsed="false">
      <c r="A161" s="3" t="s">
        <v>818</v>
      </c>
      <c r="B161" s="3" t="s">
        <v>819</v>
      </c>
      <c r="C161" s="3" t="s">
        <v>517</v>
      </c>
      <c r="D161" s="7" t="n">
        <v>-7.5</v>
      </c>
      <c r="E161" s="3" t="s">
        <v>518</v>
      </c>
      <c r="F161" s="8" t="n">
        <v>45636</v>
      </c>
      <c r="G161" s="9" t="n">
        <v>45637.3591539212</v>
      </c>
      <c r="H161" s="3" t="n">
        <v>22.62</v>
      </c>
      <c r="I161" s="3" t="str">
        <f aca="false">IF(G161="","OPEN","RESOLVED")</f>
        <v>RESOLVED</v>
      </c>
      <c r="J161" s="3" t="n">
        <f aca="false">IF(C161="TIMING_MISMATCH_TIMEZONE",1,IF(ABS(D161)&gt;5000,4,IF(C161="FEE_VARIANCE_BREACH",120,IF(LEFT(C161,8)="ORPHANED",48,24))))</f>
        <v>24</v>
      </c>
      <c r="K161" s="3" t="str">
        <f aca="false">IF(H161="","",IF(H161&gt;J161,"BREACH","OK"))</f>
        <v>OK</v>
      </c>
    </row>
    <row r="162" customFormat="false" ht="15" hidden="false" customHeight="false" outlineLevel="0" collapsed="false">
      <c r="A162" s="3" t="s">
        <v>820</v>
      </c>
      <c r="B162" s="3" t="s">
        <v>821</v>
      </c>
      <c r="C162" s="3" t="s">
        <v>531</v>
      </c>
      <c r="D162" s="7" t="n">
        <v>0</v>
      </c>
      <c r="E162" s="3" t="s">
        <v>512</v>
      </c>
      <c r="F162" s="8" t="n">
        <v>45636</v>
      </c>
      <c r="G162" s="9" t="n">
        <v>45636.4243175172</v>
      </c>
      <c r="H162" s="3" t="n">
        <v>0.18</v>
      </c>
      <c r="I162" s="3" t="str">
        <f aca="false">IF(G162="","OPEN","RESOLVED")</f>
        <v>RESOLVED</v>
      </c>
      <c r="J162" s="3" t="n">
        <f aca="false">IF(C162="TIMING_MISMATCH_TIMEZONE",1,IF(ABS(D162)&gt;5000,4,IF(C162="FEE_VARIANCE_BREACH",120,IF(LEFT(C162,8)="ORPHANED",48,24))))</f>
        <v>1</v>
      </c>
      <c r="K162" s="3" t="str">
        <f aca="false">IF(H162="","",IF(H162&gt;J162,"BREACH","OK"))</f>
        <v>OK</v>
      </c>
    </row>
    <row r="163" customFormat="false" ht="15" hidden="false" customHeight="false" outlineLevel="0" collapsed="false">
      <c r="A163" s="3" t="s">
        <v>822</v>
      </c>
      <c r="B163" s="3" t="s">
        <v>823</v>
      </c>
      <c r="C163" s="3" t="s">
        <v>531</v>
      </c>
      <c r="D163" s="7" t="n">
        <v>0</v>
      </c>
      <c r="E163" s="3" t="s">
        <v>512</v>
      </c>
      <c r="F163" s="8" t="n">
        <v>45636</v>
      </c>
      <c r="G163" s="9" t="n">
        <v>45636.4297691898</v>
      </c>
      <c r="H163" s="3" t="n">
        <v>0.31</v>
      </c>
      <c r="I163" s="3" t="str">
        <f aca="false">IF(G163="","OPEN","RESOLVED")</f>
        <v>RESOLVED</v>
      </c>
      <c r="J163" s="3" t="n">
        <f aca="false">IF(C163="TIMING_MISMATCH_TIMEZONE",1,IF(ABS(D163)&gt;5000,4,IF(C163="FEE_VARIANCE_BREACH",120,IF(LEFT(C163,8)="ORPHANED",48,24))))</f>
        <v>1</v>
      </c>
      <c r="K163" s="3" t="str">
        <f aca="false">IF(H163="","",IF(H163&gt;J163,"BREACH","OK"))</f>
        <v>OK</v>
      </c>
    </row>
    <row r="164" customFormat="false" ht="15" hidden="false" customHeight="false" outlineLevel="0" collapsed="false">
      <c r="A164" s="3" t="s">
        <v>824</v>
      </c>
      <c r="B164" s="3" t="s">
        <v>825</v>
      </c>
      <c r="C164" s="3" t="s">
        <v>511</v>
      </c>
      <c r="D164" s="7" t="n">
        <v>227.81</v>
      </c>
      <c r="E164" s="3" t="s">
        <v>512</v>
      </c>
      <c r="F164" s="8" t="n">
        <v>45636</v>
      </c>
      <c r="G164" s="9" t="n">
        <v>45638.9007065179</v>
      </c>
      <c r="H164" s="3" t="n">
        <v>59.62</v>
      </c>
      <c r="I164" s="3" t="str">
        <f aca="false">IF(G164="","OPEN","RESOLVED")</f>
        <v>RESOLVED</v>
      </c>
      <c r="J164" s="3" t="n">
        <f aca="false">IF(C164="TIMING_MISMATCH_TIMEZONE",1,IF(ABS(D164)&gt;5000,4,IF(C164="FEE_VARIANCE_BREACH",120,IF(LEFT(C164,8)="ORPHANED",48,24))))</f>
        <v>48</v>
      </c>
      <c r="K164" s="3" t="str">
        <f aca="false">IF(H164="","",IF(H164&gt;J164,"BREACH","OK"))</f>
        <v>BREACH</v>
      </c>
    </row>
    <row r="165" customFormat="false" ht="15" hidden="false" customHeight="false" outlineLevel="0" collapsed="false">
      <c r="A165" s="3" t="s">
        <v>826</v>
      </c>
      <c r="B165" s="3" t="s">
        <v>827</v>
      </c>
      <c r="C165" s="3" t="s">
        <v>531</v>
      </c>
      <c r="D165" s="7" t="n">
        <v>0</v>
      </c>
      <c r="E165" s="3" t="s">
        <v>512</v>
      </c>
      <c r="F165" s="8" t="n">
        <v>45636</v>
      </c>
      <c r="G165" s="9" t="n">
        <v>45636.4219083544</v>
      </c>
      <c r="H165" s="3" t="n">
        <v>0.13</v>
      </c>
      <c r="I165" s="3" t="str">
        <f aca="false">IF(G165="","OPEN","RESOLVED")</f>
        <v>RESOLVED</v>
      </c>
      <c r="J165" s="3" t="n">
        <f aca="false">IF(C165="TIMING_MISMATCH_TIMEZONE",1,IF(ABS(D165)&gt;5000,4,IF(C165="FEE_VARIANCE_BREACH",120,IF(LEFT(C165,8)="ORPHANED",48,24))))</f>
        <v>1</v>
      </c>
      <c r="K165" s="3" t="str">
        <f aca="false">IF(H165="","",IF(H165&gt;J165,"BREACH","OK"))</f>
        <v>OK</v>
      </c>
    </row>
    <row r="166" customFormat="false" ht="15" hidden="false" customHeight="false" outlineLevel="0" collapsed="false">
      <c r="A166" s="3" t="s">
        <v>828</v>
      </c>
      <c r="B166" s="3" t="s">
        <v>829</v>
      </c>
      <c r="C166" s="3" t="s">
        <v>531</v>
      </c>
      <c r="D166" s="7" t="n">
        <v>0</v>
      </c>
      <c r="E166" s="3" t="s">
        <v>512</v>
      </c>
      <c r="F166" s="8" t="n">
        <v>45636</v>
      </c>
      <c r="G166" s="9" t="n">
        <v>45636.4243430912</v>
      </c>
      <c r="H166" s="3" t="n">
        <v>0.18</v>
      </c>
      <c r="I166" s="3" t="str">
        <f aca="false">IF(G166="","OPEN","RESOLVED")</f>
        <v>RESOLVED</v>
      </c>
      <c r="J166" s="3" t="n">
        <f aca="false">IF(C166="TIMING_MISMATCH_TIMEZONE",1,IF(ABS(D166)&gt;5000,4,IF(C166="FEE_VARIANCE_BREACH",120,IF(LEFT(C166,8)="ORPHANED",48,24))))</f>
        <v>1</v>
      </c>
      <c r="K166" s="3" t="str">
        <f aca="false">IF(H166="","",IF(H166&gt;J166,"BREACH","OK"))</f>
        <v>OK</v>
      </c>
    </row>
    <row r="167" customFormat="false" ht="15" hidden="false" customHeight="false" outlineLevel="0" collapsed="false">
      <c r="A167" s="3" t="s">
        <v>830</v>
      </c>
      <c r="B167" s="3" t="s">
        <v>831</v>
      </c>
      <c r="C167" s="3" t="s">
        <v>511</v>
      </c>
      <c r="D167" s="7" t="n">
        <v>93.67</v>
      </c>
      <c r="E167" s="3" t="s">
        <v>512</v>
      </c>
      <c r="F167" s="8" t="n">
        <v>45636</v>
      </c>
      <c r="G167" s="9" t="n">
        <v>45637.5563956899</v>
      </c>
      <c r="H167" s="3" t="n">
        <v>27.35</v>
      </c>
      <c r="I167" s="3" t="str">
        <f aca="false">IF(G167="","OPEN","RESOLVED")</f>
        <v>RESOLVED</v>
      </c>
      <c r="J167" s="3" t="n">
        <f aca="false">IF(C167="TIMING_MISMATCH_TIMEZONE",1,IF(ABS(D167)&gt;5000,4,IF(C167="FEE_VARIANCE_BREACH",120,IF(LEFT(C167,8)="ORPHANED",48,24))))</f>
        <v>48</v>
      </c>
      <c r="K167" s="3" t="str">
        <f aca="false">IF(H167="","",IF(H167&gt;J167,"BREACH","OK"))</f>
        <v>OK</v>
      </c>
    </row>
    <row r="168" customFormat="false" ht="15" hidden="false" customHeight="false" outlineLevel="0" collapsed="false">
      <c r="A168" s="3" t="s">
        <v>832</v>
      </c>
      <c r="B168" s="3" t="s">
        <v>833</v>
      </c>
      <c r="C168" s="3" t="s">
        <v>531</v>
      </c>
      <c r="D168" s="7" t="n">
        <v>0</v>
      </c>
      <c r="E168" s="3" t="s">
        <v>512</v>
      </c>
      <c r="F168" s="8" t="n">
        <v>45636</v>
      </c>
      <c r="G168" s="9" t="n">
        <v>45636.4261630794</v>
      </c>
      <c r="H168" s="3" t="n">
        <v>0.23</v>
      </c>
      <c r="I168" s="3" t="str">
        <f aca="false">IF(G168="","OPEN","RESOLVED")</f>
        <v>RESOLVED</v>
      </c>
      <c r="J168" s="3" t="n">
        <f aca="false">IF(C168="TIMING_MISMATCH_TIMEZONE",1,IF(ABS(D168)&gt;5000,4,IF(C168="FEE_VARIANCE_BREACH",120,IF(LEFT(C168,8)="ORPHANED",48,24))))</f>
        <v>1</v>
      </c>
      <c r="K168" s="3" t="str">
        <f aca="false">IF(H168="","",IF(H168&gt;J168,"BREACH","OK"))</f>
        <v>OK</v>
      </c>
    </row>
    <row r="169" customFormat="false" ht="15" hidden="false" customHeight="false" outlineLevel="0" collapsed="false">
      <c r="A169" s="3" t="s">
        <v>834</v>
      </c>
      <c r="B169" s="3" t="s">
        <v>835</v>
      </c>
      <c r="C169" s="3" t="s">
        <v>531</v>
      </c>
      <c r="D169" s="7" t="n">
        <v>0</v>
      </c>
      <c r="E169" s="3" t="s">
        <v>512</v>
      </c>
      <c r="F169" s="8" t="n">
        <v>45636</v>
      </c>
      <c r="G169" s="9" t="n">
        <v>45636.4275186602</v>
      </c>
      <c r="H169" s="3" t="n">
        <v>0.26</v>
      </c>
      <c r="I169" s="3" t="str">
        <f aca="false">IF(G169="","OPEN","RESOLVED")</f>
        <v>RESOLVED</v>
      </c>
      <c r="J169" s="3" t="n">
        <f aca="false">IF(C169="TIMING_MISMATCH_TIMEZONE",1,IF(ABS(D169)&gt;5000,4,IF(C169="FEE_VARIANCE_BREACH",120,IF(LEFT(C169,8)="ORPHANED",48,24))))</f>
        <v>1</v>
      </c>
      <c r="K169" s="3" t="str">
        <f aca="false">IF(H169="","",IF(H169&gt;J169,"BREACH","OK"))</f>
        <v>OK</v>
      </c>
    </row>
    <row r="170" customFormat="false" ht="15" hidden="false" customHeight="false" outlineLevel="0" collapsed="false">
      <c r="A170" s="3" t="s">
        <v>836</v>
      </c>
      <c r="B170" s="3" t="s">
        <v>837</v>
      </c>
      <c r="C170" s="3" t="s">
        <v>503</v>
      </c>
      <c r="D170" s="7" t="n">
        <v>-419.92</v>
      </c>
      <c r="E170" s="3" t="s">
        <v>504</v>
      </c>
      <c r="F170" s="8" t="n">
        <v>45636</v>
      </c>
      <c r="G170" s="9" t="n">
        <v>45642.7328238356</v>
      </c>
      <c r="H170" s="3" t="n">
        <v>103.59</v>
      </c>
      <c r="I170" s="3" t="str">
        <f aca="false">IF(G170="","OPEN","RESOLVED")</f>
        <v>RESOLVED</v>
      </c>
      <c r="J170" s="3" t="n">
        <f aca="false">IF(C170="TIMING_MISMATCH_TIMEZONE",1,IF(ABS(D170)&gt;5000,4,IF(C170="FEE_VARIANCE_BREACH",120,IF(LEFT(C170,8)="ORPHANED",48,24))))</f>
        <v>48</v>
      </c>
      <c r="K170" s="3" t="str">
        <f aca="false">IF(H170="","",IF(H170&gt;J170,"BREACH","OK"))</f>
        <v>BREACH</v>
      </c>
    </row>
    <row r="171" customFormat="false" ht="15" hidden="false" customHeight="false" outlineLevel="0" collapsed="false">
      <c r="A171" s="3" t="s">
        <v>838</v>
      </c>
      <c r="B171" s="3" t="s">
        <v>839</v>
      </c>
      <c r="C171" s="3" t="s">
        <v>531</v>
      </c>
      <c r="D171" s="7" t="n">
        <v>0</v>
      </c>
      <c r="E171" s="3" t="s">
        <v>512</v>
      </c>
      <c r="F171" s="8" t="n">
        <v>45636</v>
      </c>
      <c r="G171" s="9" t="n">
        <v>45636.4240698056</v>
      </c>
      <c r="H171" s="3" t="n">
        <v>0.18</v>
      </c>
      <c r="I171" s="3" t="str">
        <f aca="false">IF(G171="","OPEN","RESOLVED")</f>
        <v>RESOLVED</v>
      </c>
      <c r="J171" s="3" t="n">
        <f aca="false">IF(C171="TIMING_MISMATCH_TIMEZONE",1,IF(ABS(D171)&gt;5000,4,IF(C171="FEE_VARIANCE_BREACH",120,IF(LEFT(C171,8)="ORPHANED",48,24))))</f>
        <v>1</v>
      </c>
      <c r="K171" s="3" t="str">
        <f aca="false">IF(H171="","",IF(H171&gt;J171,"BREACH","OK"))</f>
        <v>OK</v>
      </c>
    </row>
    <row r="172" customFormat="false" ht="15" hidden="false" customHeight="false" outlineLevel="0" collapsed="false">
      <c r="A172" s="3" t="s">
        <v>840</v>
      </c>
      <c r="B172" s="3" t="s">
        <v>841</v>
      </c>
      <c r="C172" s="3" t="s">
        <v>531</v>
      </c>
      <c r="D172" s="7" t="n">
        <v>0</v>
      </c>
      <c r="E172" s="3" t="s">
        <v>512</v>
      </c>
      <c r="F172" s="8" t="n">
        <v>45636</v>
      </c>
      <c r="G172" s="9" t="n">
        <v>45636.4268401235</v>
      </c>
      <c r="H172" s="3" t="n">
        <v>0.24</v>
      </c>
      <c r="I172" s="3" t="str">
        <f aca="false">IF(G172="","OPEN","RESOLVED")</f>
        <v>RESOLVED</v>
      </c>
      <c r="J172" s="3" t="n">
        <f aca="false">IF(C172="TIMING_MISMATCH_TIMEZONE",1,IF(ABS(D172)&gt;5000,4,IF(C172="FEE_VARIANCE_BREACH",120,IF(LEFT(C172,8)="ORPHANED",48,24))))</f>
        <v>1</v>
      </c>
      <c r="K172" s="3" t="str">
        <f aca="false">IF(H172="","",IF(H172&gt;J172,"BREACH","OK"))</f>
        <v>OK</v>
      </c>
    </row>
    <row r="173" customFormat="false" ht="15" hidden="false" customHeight="false" outlineLevel="0" collapsed="false">
      <c r="A173" s="3" t="s">
        <v>842</v>
      </c>
      <c r="B173" s="3" t="s">
        <v>843</v>
      </c>
      <c r="C173" s="3" t="s">
        <v>531</v>
      </c>
      <c r="D173" s="7" t="n">
        <v>0</v>
      </c>
      <c r="E173" s="3" t="s">
        <v>512</v>
      </c>
      <c r="F173" s="8" t="n">
        <v>45636</v>
      </c>
      <c r="G173" s="9" t="n">
        <v>45636.424230427</v>
      </c>
      <c r="H173" s="3" t="n">
        <v>0.18</v>
      </c>
      <c r="I173" s="3" t="str">
        <f aca="false">IF(G173="","OPEN","RESOLVED")</f>
        <v>RESOLVED</v>
      </c>
      <c r="J173" s="3" t="n">
        <f aca="false">IF(C173="TIMING_MISMATCH_TIMEZONE",1,IF(ABS(D173)&gt;5000,4,IF(C173="FEE_VARIANCE_BREACH",120,IF(LEFT(C173,8)="ORPHANED",48,24))))</f>
        <v>1</v>
      </c>
      <c r="K173" s="3" t="str">
        <f aca="false">IF(H173="","",IF(H173&gt;J173,"BREACH","OK"))</f>
        <v>OK</v>
      </c>
    </row>
    <row r="174" customFormat="false" ht="15" hidden="false" customHeight="false" outlineLevel="0" collapsed="false">
      <c r="A174" s="3" t="s">
        <v>844</v>
      </c>
      <c r="B174" s="3" t="s">
        <v>845</v>
      </c>
      <c r="C174" s="3" t="s">
        <v>497</v>
      </c>
      <c r="D174" s="7" t="n">
        <v>-2.29</v>
      </c>
      <c r="E174" s="3" t="s">
        <v>498</v>
      </c>
      <c r="F174" s="8" t="n">
        <v>45636</v>
      </c>
      <c r="G174" s="9" t="n">
        <v>45639.0293851052</v>
      </c>
      <c r="H174" s="3" t="n">
        <v>62.71</v>
      </c>
      <c r="I174" s="3" t="str">
        <f aca="false">IF(G174="","OPEN","RESOLVED")</f>
        <v>RESOLVED</v>
      </c>
      <c r="J174" s="3" t="n">
        <f aca="false">IF(C174="TIMING_MISMATCH_TIMEZONE",1,IF(ABS(D174)&gt;5000,4,IF(C174="FEE_VARIANCE_BREACH",120,IF(LEFT(C174,8)="ORPHANED",48,24))))</f>
        <v>120</v>
      </c>
      <c r="K174" s="3" t="str">
        <f aca="false">IF(H174="","",IF(H174&gt;J174,"BREACH","OK"))</f>
        <v>OK</v>
      </c>
    </row>
    <row r="175" customFormat="false" ht="15" hidden="false" customHeight="false" outlineLevel="0" collapsed="false">
      <c r="A175" s="3" t="s">
        <v>846</v>
      </c>
      <c r="B175" s="3" t="s">
        <v>847</v>
      </c>
      <c r="C175" s="3" t="s">
        <v>531</v>
      </c>
      <c r="D175" s="7" t="n">
        <v>0</v>
      </c>
      <c r="E175" s="3" t="s">
        <v>512</v>
      </c>
      <c r="F175" s="8" t="n">
        <v>45636</v>
      </c>
      <c r="G175" s="9" t="n">
        <v>45636.4275178289</v>
      </c>
      <c r="H175" s="3" t="n">
        <v>0.26</v>
      </c>
      <c r="I175" s="3" t="str">
        <f aca="false">IF(G175="","OPEN","RESOLVED")</f>
        <v>RESOLVED</v>
      </c>
      <c r="J175" s="3" t="n">
        <f aca="false">IF(C175="TIMING_MISMATCH_TIMEZONE",1,IF(ABS(D175)&gt;5000,4,IF(C175="FEE_VARIANCE_BREACH",120,IF(LEFT(C175,8)="ORPHANED",48,24))))</f>
        <v>1</v>
      </c>
      <c r="K175" s="3" t="str">
        <f aca="false">IF(H175="","",IF(H175&gt;J175,"BREACH","OK"))</f>
        <v>OK</v>
      </c>
    </row>
    <row r="176" customFormat="false" ht="15" hidden="false" customHeight="false" outlineLevel="0" collapsed="false">
      <c r="A176" s="3" t="s">
        <v>848</v>
      </c>
      <c r="B176" s="3" t="s">
        <v>849</v>
      </c>
      <c r="C176" s="3" t="s">
        <v>531</v>
      </c>
      <c r="D176" s="7" t="n">
        <v>0</v>
      </c>
      <c r="E176" s="3" t="s">
        <v>512</v>
      </c>
      <c r="F176" s="8" t="n">
        <v>45636</v>
      </c>
      <c r="G176" s="9" t="n">
        <v>45636.4211233124</v>
      </c>
      <c r="H176" s="3" t="n">
        <v>0.11</v>
      </c>
      <c r="I176" s="3" t="str">
        <f aca="false">IF(G176="","OPEN","RESOLVED")</f>
        <v>RESOLVED</v>
      </c>
      <c r="J176" s="3" t="n">
        <f aca="false">IF(C176="TIMING_MISMATCH_TIMEZONE",1,IF(ABS(D176)&gt;5000,4,IF(C176="FEE_VARIANCE_BREACH",120,IF(LEFT(C176,8)="ORPHANED",48,24))))</f>
        <v>1</v>
      </c>
      <c r="K176" s="3" t="str">
        <f aca="false">IF(H176="","",IF(H176&gt;J176,"BREACH","OK"))</f>
        <v>OK</v>
      </c>
    </row>
    <row r="177" customFormat="false" ht="15" hidden="false" customHeight="false" outlineLevel="0" collapsed="false">
      <c r="A177" s="3" t="s">
        <v>850</v>
      </c>
      <c r="B177" s="3" t="s">
        <v>851</v>
      </c>
      <c r="C177" s="3" t="s">
        <v>531</v>
      </c>
      <c r="D177" s="7" t="n">
        <v>0</v>
      </c>
      <c r="E177" s="3" t="s">
        <v>512</v>
      </c>
      <c r="F177" s="8" t="n">
        <v>45636</v>
      </c>
      <c r="G177" s="9" t="n">
        <v>45636.4237910992</v>
      </c>
      <c r="H177" s="3" t="n">
        <v>0.17</v>
      </c>
      <c r="I177" s="3" t="str">
        <f aca="false">IF(G177="","OPEN","RESOLVED")</f>
        <v>RESOLVED</v>
      </c>
      <c r="J177" s="3" t="n">
        <f aca="false">IF(C177="TIMING_MISMATCH_TIMEZONE",1,IF(ABS(D177)&gt;5000,4,IF(C177="FEE_VARIANCE_BREACH",120,IF(LEFT(C177,8)="ORPHANED",48,24))))</f>
        <v>1</v>
      </c>
      <c r="K177" s="3" t="str">
        <f aca="false">IF(H177="","",IF(H177&gt;J177,"BREACH","OK"))</f>
        <v>OK</v>
      </c>
    </row>
    <row r="178" customFormat="false" ht="15" hidden="false" customHeight="false" outlineLevel="0" collapsed="false">
      <c r="A178" s="3" t="s">
        <v>852</v>
      </c>
      <c r="B178" s="3" t="s">
        <v>853</v>
      </c>
      <c r="C178" s="3" t="s">
        <v>503</v>
      </c>
      <c r="D178" s="7" t="n">
        <v>-246.43</v>
      </c>
      <c r="E178" s="3" t="s">
        <v>504</v>
      </c>
      <c r="F178" s="8" t="n">
        <v>45636</v>
      </c>
      <c r="G178" s="9" t="n">
        <v>45639.846899308</v>
      </c>
      <c r="H178" s="3" t="n">
        <v>82.33</v>
      </c>
      <c r="I178" s="3" t="str">
        <f aca="false">IF(G178="","OPEN","RESOLVED")</f>
        <v>RESOLVED</v>
      </c>
      <c r="J178" s="3" t="n">
        <f aca="false">IF(C178="TIMING_MISMATCH_TIMEZONE",1,IF(ABS(D178)&gt;5000,4,IF(C178="FEE_VARIANCE_BREACH",120,IF(LEFT(C178,8)="ORPHANED",48,24))))</f>
        <v>48</v>
      </c>
      <c r="K178" s="3" t="str">
        <f aca="false">IF(H178="","",IF(H178&gt;J178,"BREACH","OK"))</f>
        <v>BREACH</v>
      </c>
    </row>
    <row r="179" customFormat="false" ht="15" hidden="false" customHeight="false" outlineLevel="0" collapsed="false">
      <c r="A179" s="3" t="s">
        <v>854</v>
      </c>
      <c r="B179" s="3" t="s">
        <v>855</v>
      </c>
      <c r="C179" s="3" t="s">
        <v>531</v>
      </c>
      <c r="D179" s="7" t="n">
        <v>0</v>
      </c>
      <c r="E179" s="3" t="s">
        <v>512</v>
      </c>
      <c r="F179" s="8" t="n">
        <v>45636</v>
      </c>
      <c r="G179" s="9" t="n">
        <v>45636.4272197112</v>
      </c>
      <c r="H179" s="3" t="n">
        <v>0.25</v>
      </c>
      <c r="I179" s="3" t="str">
        <f aca="false">IF(G179="","OPEN","RESOLVED")</f>
        <v>RESOLVED</v>
      </c>
      <c r="J179" s="3" t="n">
        <f aca="false">IF(C179="TIMING_MISMATCH_TIMEZONE",1,IF(ABS(D179)&gt;5000,4,IF(C179="FEE_VARIANCE_BREACH",120,IF(LEFT(C179,8)="ORPHANED",48,24))))</f>
        <v>1</v>
      </c>
      <c r="K179" s="3" t="str">
        <f aca="false">IF(H179="","",IF(H179&gt;J179,"BREACH","OK"))</f>
        <v>OK</v>
      </c>
    </row>
    <row r="180" customFormat="false" ht="15" hidden="false" customHeight="false" outlineLevel="0" collapsed="false">
      <c r="A180" s="3" t="s">
        <v>856</v>
      </c>
      <c r="B180" s="3" t="s">
        <v>857</v>
      </c>
      <c r="C180" s="3" t="s">
        <v>497</v>
      </c>
      <c r="D180" s="7" t="n">
        <v>-0.77</v>
      </c>
      <c r="E180" s="3" t="s">
        <v>498</v>
      </c>
      <c r="F180" s="8" t="n">
        <v>45636</v>
      </c>
      <c r="G180" s="9" t="n">
        <v>45639.5985884749</v>
      </c>
      <c r="H180" s="3" t="n">
        <v>76.37</v>
      </c>
      <c r="I180" s="3" t="str">
        <f aca="false">IF(G180="","OPEN","RESOLVED")</f>
        <v>RESOLVED</v>
      </c>
      <c r="J180" s="3" t="n">
        <f aca="false">IF(C180="TIMING_MISMATCH_TIMEZONE",1,IF(ABS(D180)&gt;5000,4,IF(C180="FEE_VARIANCE_BREACH",120,IF(LEFT(C180,8)="ORPHANED",48,24))))</f>
        <v>120</v>
      </c>
      <c r="K180" s="3" t="str">
        <f aca="false">IF(H180="","",IF(H180&gt;J180,"BREACH","OK"))</f>
        <v>OK</v>
      </c>
    </row>
    <row r="181" customFormat="false" ht="15" hidden="false" customHeight="false" outlineLevel="0" collapsed="false">
      <c r="A181" s="3" t="s">
        <v>858</v>
      </c>
      <c r="B181" s="3" t="s">
        <v>859</v>
      </c>
      <c r="C181" s="3" t="s">
        <v>497</v>
      </c>
      <c r="D181" s="7" t="n">
        <v>-1.26</v>
      </c>
      <c r="E181" s="3" t="s">
        <v>498</v>
      </c>
      <c r="F181" s="8" t="n">
        <v>45637</v>
      </c>
      <c r="G181" s="9" t="n">
        <v>45642.8560460281</v>
      </c>
      <c r="H181" s="3" t="n">
        <v>82.55</v>
      </c>
      <c r="I181" s="3" t="str">
        <f aca="false">IF(G181="","OPEN","RESOLVED")</f>
        <v>RESOLVED</v>
      </c>
      <c r="J181" s="3" t="n">
        <f aca="false">IF(C181="TIMING_MISMATCH_TIMEZONE",1,IF(ABS(D181)&gt;5000,4,IF(C181="FEE_VARIANCE_BREACH",120,IF(LEFT(C181,8)="ORPHANED",48,24))))</f>
        <v>120</v>
      </c>
      <c r="K181" s="3" t="str">
        <f aca="false">IF(H181="","",IF(H181&gt;J181,"BREACH","OK"))</f>
        <v>OK</v>
      </c>
    </row>
    <row r="182" customFormat="false" ht="15" hidden="false" customHeight="false" outlineLevel="0" collapsed="false">
      <c r="A182" s="3" t="s">
        <v>860</v>
      </c>
      <c r="B182" s="3" t="s">
        <v>861</v>
      </c>
      <c r="C182" s="3" t="s">
        <v>503</v>
      </c>
      <c r="D182" s="7" t="n">
        <v>-195.44</v>
      </c>
      <c r="E182" s="3" t="s">
        <v>504</v>
      </c>
      <c r="F182" s="8" t="n">
        <v>45637</v>
      </c>
      <c r="G182" s="9" t="n">
        <v>45639.4817286831</v>
      </c>
      <c r="H182" s="3" t="n">
        <v>49.56</v>
      </c>
      <c r="I182" s="3" t="str">
        <f aca="false">IF(G182="","OPEN","RESOLVED")</f>
        <v>RESOLVED</v>
      </c>
      <c r="J182" s="3" t="n">
        <f aca="false">IF(C182="TIMING_MISMATCH_TIMEZONE",1,IF(ABS(D182)&gt;5000,4,IF(C182="FEE_VARIANCE_BREACH",120,IF(LEFT(C182,8)="ORPHANED",48,24))))</f>
        <v>48</v>
      </c>
      <c r="K182" s="3" t="str">
        <f aca="false">IF(H182="","",IF(H182&gt;J182,"BREACH","OK"))</f>
        <v>BREACH</v>
      </c>
    </row>
    <row r="183" customFormat="false" ht="15" hidden="false" customHeight="false" outlineLevel="0" collapsed="false">
      <c r="A183" s="3" t="s">
        <v>862</v>
      </c>
      <c r="B183" s="3" t="s">
        <v>863</v>
      </c>
      <c r="C183" s="3" t="s">
        <v>531</v>
      </c>
      <c r="D183" s="7" t="n">
        <v>0</v>
      </c>
      <c r="E183" s="3" t="s">
        <v>512</v>
      </c>
      <c r="F183" s="8" t="n">
        <v>45637</v>
      </c>
      <c r="G183" s="9" t="n">
        <v>45637.4198217804</v>
      </c>
      <c r="H183" s="3" t="n">
        <v>0.08</v>
      </c>
      <c r="I183" s="3" t="str">
        <f aca="false">IF(G183="","OPEN","RESOLVED")</f>
        <v>RESOLVED</v>
      </c>
      <c r="J183" s="3" t="n">
        <f aca="false">IF(C183="TIMING_MISMATCH_TIMEZONE",1,IF(ABS(D183)&gt;5000,4,IF(C183="FEE_VARIANCE_BREACH",120,IF(LEFT(C183,8)="ORPHANED",48,24))))</f>
        <v>1</v>
      </c>
      <c r="K183" s="3" t="str">
        <f aca="false">IF(H183="","",IF(H183&gt;J183,"BREACH","OK"))</f>
        <v>OK</v>
      </c>
    </row>
    <row r="184" customFormat="false" ht="15" hidden="false" customHeight="false" outlineLevel="0" collapsed="false">
      <c r="A184" s="3" t="s">
        <v>864</v>
      </c>
      <c r="B184" s="3" t="s">
        <v>865</v>
      </c>
      <c r="C184" s="3" t="s">
        <v>511</v>
      </c>
      <c r="D184" s="7" t="n">
        <v>52.38</v>
      </c>
      <c r="E184" s="3" t="s">
        <v>512</v>
      </c>
      <c r="F184" s="8" t="n">
        <v>45637</v>
      </c>
      <c r="G184" s="9" t="n">
        <v>45639.0270560471</v>
      </c>
      <c r="H184" s="3" t="n">
        <v>38.65</v>
      </c>
      <c r="I184" s="3" t="str">
        <f aca="false">IF(G184="","OPEN","RESOLVED")</f>
        <v>RESOLVED</v>
      </c>
      <c r="J184" s="3" t="n">
        <f aca="false">IF(C184="TIMING_MISMATCH_TIMEZONE",1,IF(ABS(D184)&gt;5000,4,IF(C184="FEE_VARIANCE_BREACH",120,IF(LEFT(C184,8)="ORPHANED",48,24))))</f>
        <v>48</v>
      </c>
      <c r="K184" s="3" t="str">
        <f aca="false">IF(H184="","",IF(H184&gt;J184,"BREACH","OK"))</f>
        <v>OK</v>
      </c>
    </row>
    <row r="185" customFormat="false" ht="15" hidden="false" customHeight="false" outlineLevel="0" collapsed="false">
      <c r="A185" s="3" t="s">
        <v>866</v>
      </c>
      <c r="B185" s="3" t="s">
        <v>867</v>
      </c>
      <c r="C185" s="3" t="s">
        <v>531</v>
      </c>
      <c r="D185" s="7" t="n">
        <v>0</v>
      </c>
      <c r="E185" s="3" t="s">
        <v>512</v>
      </c>
      <c r="F185" s="8" t="n">
        <v>45637</v>
      </c>
      <c r="G185" s="9" t="n">
        <v>45637.4306938721</v>
      </c>
      <c r="H185" s="3" t="n">
        <v>0.34</v>
      </c>
      <c r="I185" s="3" t="str">
        <f aca="false">IF(G185="","OPEN","RESOLVED")</f>
        <v>RESOLVED</v>
      </c>
      <c r="J185" s="3" t="n">
        <f aca="false">IF(C185="TIMING_MISMATCH_TIMEZONE",1,IF(ABS(D185)&gt;5000,4,IF(C185="FEE_VARIANCE_BREACH",120,IF(LEFT(C185,8)="ORPHANED",48,24))))</f>
        <v>1</v>
      </c>
      <c r="K185" s="3" t="str">
        <f aca="false">IF(H185="","",IF(H185&gt;J185,"BREACH","OK"))</f>
        <v>OK</v>
      </c>
    </row>
    <row r="186" customFormat="false" ht="15" hidden="false" customHeight="false" outlineLevel="0" collapsed="false">
      <c r="A186" s="3" t="s">
        <v>868</v>
      </c>
      <c r="B186" s="3" t="s">
        <v>869</v>
      </c>
      <c r="C186" s="3" t="s">
        <v>531</v>
      </c>
      <c r="D186" s="7" t="n">
        <v>0</v>
      </c>
      <c r="E186" s="3" t="s">
        <v>512</v>
      </c>
      <c r="F186" s="8" t="n">
        <v>45637</v>
      </c>
      <c r="G186" s="9" t="n">
        <v>45637.425960066</v>
      </c>
      <c r="H186" s="3" t="n">
        <v>0.22</v>
      </c>
      <c r="I186" s="3" t="str">
        <f aca="false">IF(G186="","OPEN","RESOLVED")</f>
        <v>RESOLVED</v>
      </c>
      <c r="J186" s="3" t="n">
        <f aca="false">IF(C186="TIMING_MISMATCH_TIMEZONE",1,IF(ABS(D186)&gt;5000,4,IF(C186="FEE_VARIANCE_BREACH",120,IF(LEFT(C186,8)="ORPHANED",48,24))))</f>
        <v>1</v>
      </c>
      <c r="K186" s="3" t="str">
        <f aca="false">IF(H186="","",IF(H186&gt;J186,"BREACH","OK"))</f>
        <v>OK</v>
      </c>
    </row>
    <row r="187" customFormat="false" ht="15" hidden="false" customHeight="false" outlineLevel="0" collapsed="false">
      <c r="A187" s="3" t="s">
        <v>870</v>
      </c>
      <c r="B187" s="3" t="s">
        <v>871</v>
      </c>
      <c r="C187" s="3" t="s">
        <v>531</v>
      </c>
      <c r="D187" s="7" t="n">
        <v>0</v>
      </c>
      <c r="E187" s="3" t="s">
        <v>512</v>
      </c>
      <c r="F187" s="8" t="n">
        <v>45637</v>
      </c>
      <c r="G187" s="9" t="n">
        <v>45637.4242477582</v>
      </c>
      <c r="H187" s="3" t="n">
        <v>0.18</v>
      </c>
      <c r="I187" s="3" t="str">
        <f aca="false">IF(G187="","OPEN","RESOLVED")</f>
        <v>RESOLVED</v>
      </c>
      <c r="J187" s="3" t="n">
        <f aca="false">IF(C187="TIMING_MISMATCH_TIMEZONE",1,IF(ABS(D187)&gt;5000,4,IF(C187="FEE_VARIANCE_BREACH",120,IF(LEFT(C187,8)="ORPHANED",48,24))))</f>
        <v>1</v>
      </c>
      <c r="K187" s="3" t="str">
        <f aca="false">IF(H187="","",IF(H187&gt;J187,"BREACH","OK"))</f>
        <v>OK</v>
      </c>
    </row>
    <row r="188" customFormat="false" ht="15" hidden="false" customHeight="false" outlineLevel="0" collapsed="false">
      <c r="A188" s="3" t="s">
        <v>872</v>
      </c>
      <c r="B188" s="3" t="s">
        <v>873</v>
      </c>
      <c r="C188" s="3" t="s">
        <v>511</v>
      </c>
      <c r="D188" s="7" t="n">
        <v>200.97</v>
      </c>
      <c r="E188" s="3" t="s">
        <v>512</v>
      </c>
      <c r="F188" s="8" t="n">
        <v>45637</v>
      </c>
      <c r="G188" s="9" t="n">
        <v>45638.9891999979</v>
      </c>
      <c r="H188" s="3" t="n">
        <v>37.74</v>
      </c>
      <c r="I188" s="3" t="str">
        <f aca="false">IF(G188="","OPEN","RESOLVED")</f>
        <v>RESOLVED</v>
      </c>
      <c r="J188" s="3" t="n">
        <f aca="false">IF(C188="TIMING_MISMATCH_TIMEZONE",1,IF(ABS(D188)&gt;5000,4,IF(C188="FEE_VARIANCE_BREACH",120,IF(LEFT(C188,8)="ORPHANED",48,24))))</f>
        <v>48</v>
      </c>
      <c r="K188" s="3" t="str">
        <f aca="false">IF(H188="","",IF(H188&gt;J188,"BREACH","OK"))</f>
        <v>OK</v>
      </c>
    </row>
    <row r="189" customFormat="false" ht="15" hidden="false" customHeight="false" outlineLevel="0" collapsed="false">
      <c r="A189" s="3" t="s">
        <v>874</v>
      </c>
      <c r="B189" s="3" t="s">
        <v>875</v>
      </c>
      <c r="C189" s="3" t="s">
        <v>497</v>
      </c>
      <c r="D189" s="7" t="n">
        <v>-1.53</v>
      </c>
      <c r="E189" s="3" t="s">
        <v>498</v>
      </c>
      <c r="F189" s="8" t="n">
        <v>45637</v>
      </c>
      <c r="G189" s="9" t="n">
        <v>45644.3148330606</v>
      </c>
      <c r="H189" s="3" t="n">
        <v>117.56</v>
      </c>
      <c r="I189" s="3" t="str">
        <f aca="false">IF(G189="","OPEN","RESOLVED")</f>
        <v>RESOLVED</v>
      </c>
      <c r="J189" s="3" t="n">
        <f aca="false">IF(C189="TIMING_MISMATCH_TIMEZONE",1,IF(ABS(D189)&gt;5000,4,IF(C189="FEE_VARIANCE_BREACH",120,IF(LEFT(C189,8)="ORPHANED",48,24))))</f>
        <v>120</v>
      </c>
      <c r="K189" s="3" t="str">
        <f aca="false">IF(H189="","",IF(H189&gt;J189,"BREACH","OK"))</f>
        <v>OK</v>
      </c>
    </row>
    <row r="190" customFormat="false" ht="15" hidden="false" customHeight="false" outlineLevel="0" collapsed="false">
      <c r="A190" s="3" t="s">
        <v>876</v>
      </c>
      <c r="B190" s="3" t="s">
        <v>877</v>
      </c>
      <c r="C190" s="3" t="s">
        <v>511</v>
      </c>
      <c r="D190" s="7" t="n">
        <v>67.3</v>
      </c>
      <c r="E190" s="3" t="s">
        <v>512</v>
      </c>
      <c r="F190" s="8" t="n">
        <v>45637</v>
      </c>
      <c r="G190" s="9" t="n">
        <v>45639.0179812482</v>
      </c>
      <c r="H190" s="3" t="n">
        <v>38.43</v>
      </c>
      <c r="I190" s="3" t="str">
        <f aca="false">IF(G190="","OPEN","RESOLVED")</f>
        <v>RESOLVED</v>
      </c>
      <c r="J190" s="3" t="n">
        <f aca="false">IF(C190="TIMING_MISMATCH_TIMEZONE",1,IF(ABS(D190)&gt;5000,4,IF(C190="FEE_VARIANCE_BREACH",120,IF(LEFT(C190,8)="ORPHANED",48,24))))</f>
        <v>48</v>
      </c>
      <c r="K190" s="3" t="str">
        <f aca="false">IF(H190="","",IF(H190&gt;J190,"BREACH","OK"))</f>
        <v>OK</v>
      </c>
    </row>
    <row r="191" customFormat="false" ht="15" hidden="false" customHeight="false" outlineLevel="0" collapsed="false">
      <c r="A191" s="3" t="s">
        <v>878</v>
      </c>
      <c r="B191" s="3" t="s">
        <v>879</v>
      </c>
      <c r="C191" s="3" t="s">
        <v>531</v>
      </c>
      <c r="D191" s="7" t="n">
        <v>0</v>
      </c>
      <c r="E191" s="3" t="s">
        <v>512</v>
      </c>
      <c r="F191" s="8" t="n">
        <v>45637</v>
      </c>
      <c r="G191" s="9" t="n">
        <v>45637.433606978</v>
      </c>
      <c r="H191" s="3" t="n">
        <v>0.41</v>
      </c>
      <c r="I191" s="3" t="str">
        <f aca="false">IF(G191="","OPEN","RESOLVED")</f>
        <v>RESOLVED</v>
      </c>
      <c r="J191" s="3" t="n">
        <f aca="false">IF(C191="TIMING_MISMATCH_TIMEZONE",1,IF(ABS(D191)&gt;5000,4,IF(C191="FEE_VARIANCE_BREACH",120,IF(LEFT(C191,8)="ORPHANED",48,24))))</f>
        <v>1</v>
      </c>
      <c r="K191" s="3" t="str">
        <f aca="false">IF(H191="","",IF(H191&gt;J191,"BREACH","OK"))</f>
        <v>OK</v>
      </c>
    </row>
    <row r="192" customFormat="false" ht="15" hidden="false" customHeight="false" outlineLevel="0" collapsed="false">
      <c r="A192" s="3" t="s">
        <v>880</v>
      </c>
      <c r="B192" s="3" t="s">
        <v>881</v>
      </c>
      <c r="C192" s="3" t="s">
        <v>503</v>
      </c>
      <c r="D192" s="7" t="n">
        <v>-1134.42</v>
      </c>
      <c r="E192" s="3" t="s">
        <v>504</v>
      </c>
      <c r="F192" s="8" t="n">
        <v>45637</v>
      </c>
      <c r="G192" s="9" t="n">
        <v>45639.7801019612</v>
      </c>
      <c r="H192" s="3" t="n">
        <v>56.72</v>
      </c>
      <c r="I192" s="3" t="str">
        <f aca="false">IF(G192="","OPEN","RESOLVED")</f>
        <v>RESOLVED</v>
      </c>
      <c r="J192" s="3" t="n">
        <f aca="false">IF(C192="TIMING_MISMATCH_TIMEZONE",1,IF(ABS(D192)&gt;5000,4,IF(C192="FEE_VARIANCE_BREACH",120,IF(LEFT(C192,8)="ORPHANED",48,24))))</f>
        <v>48</v>
      </c>
      <c r="K192" s="3" t="str">
        <f aca="false">IF(H192="","",IF(H192&gt;J192,"BREACH","OK"))</f>
        <v>BREACH</v>
      </c>
    </row>
    <row r="193" customFormat="false" ht="15" hidden="false" customHeight="false" outlineLevel="0" collapsed="false">
      <c r="A193" s="3" t="s">
        <v>882</v>
      </c>
      <c r="B193" s="3" t="s">
        <v>883</v>
      </c>
      <c r="C193" s="3" t="s">
        <v>517</v>
      </c>
      <c r="D193" s="7" t="n">
        <v>-45</v>
      </c>
      <c r="E193" s="3" t="s">
        <v>518</v>
      </c>
      <c r="F193" s="8" t="n">
        <v>45637</v>
      </c>
      <c r="G193" s="9" t="n">
        <v>45638.240101835</v>
      </c>
      <c r="H193" s="3" t="n">
        <v>19.76</v>
      </c>
      <c r="I193" s="3" t="str">
        <f aca="false">IF(G193="","OPEN","RESOLVED")</f>
        <v>RESOLVED</v>
      </c>
      <c r="J193" s="3" t="n">
        <f aca="false">IF(C193="TIMING_MISMATCH_TIMEZONE",1,IF(ABS(D193)&gt;5000,4,IF(C193="FEE_VARIANCE_BREACH",120,IF(LEFT(C193,8)="ORPHANED",48,24))))</f>
        <v>24</v>
      </c>
      <c r="K193" s="3" t="str">
        <f aca="false">IF(H193="","",IF(H193&gt;J193,"BREACH","OK"))</f>
        <v>OK</v>
      </c>
    </row>
    <row r="194" customFormat="false" ht="15" hidden="false" customHeight="false" outlineLevel="0" collapsed="false">
      <c r="A194" s="3" t="s">
        <v>884</v>
      </c>
      <c r="B194" s="3" t="s">
        <v>885</v>
      </c>
      <c r="C194" s="3" t="s">
        <v>531</v>
      </c>
      <c r="D194" s="7" t="n">
        <v>0</v>
      </c>
      <c r="E194" s="3" t="s">
        <v>512</v>
      </c>
      <c r="F194" s="8" t="n">
        <v>45637</v>
      </c>
      <c r="G194" s="9" t="n">
        <v>45637.4280673526</v>
      </c>
      <c r="H194" s="3" t="n">
        <v>0.27</v>
      </c>
      <c r="I194" s="3" t="str">
        <f aca="false">IF(G194="","OPEN","RESOLVED")</f>
        <v>RESOLVED</v>
      </c>
      <c r="J194" s="3" t="n">
        <f aca="false">IF(C194="TIMING_MISMATCH_TIMEZONE",1,IF(ABS(D194)&gt;5000,4,IF(C194="FEE_VARIANCE_BREACH",120,IF(LEFT(C194,8)="ORPHANED",48,24))))</f>
        <v>1</v>
      </c>
      <c r="K194" s="3" t="str">
        <f aca="false">IF(H194="","",IF(H194&gt;J194,"BREACH","OK"))</f>
        <v>OK</v>
      </c>
    </row>
    <row r="195" customFormat="false" ht="15" hidden="false" customHeight="false" outlineLevel="0" collapsed="false">
      <c r="A195" s="3" t="s">
        <v>886</v>
      </c>
      <c r="B195" s="3" t="s">
        <v>887</v>
      </c>
      <c r="C195" s="3" t="s">
        <v>531</v>
      </c>
      <c r="D195" s="7" t="n">
        <v>0</v>
      </c>
      <c r="E195" s="3" t="s">
        <v>512</v>
      </c>
      <c r="F195" s="8" t="n">
        <v>45637</v>
      </c>
      <c r="G195" s="9" t="n">
        <v>45637.4318886767</v>
      </c>
      <c r="H195" s="3" t="n">
        <v>0.37</v>
      </c>
      <c r="I195" s="3" t="str">
        <f aca="false">IF(G195="","OPEN","RESOLVED")</f>
        <v>RESOLVED</v>
      </c>
      <c r="J195" s="3" t="n">
        <f aca="false">IF(C195="TIMING_MISMATCH_TIMEZONE",1,IF(ABS(D195)&gt;5000,4,IF(C195="FEE_VARIANCE_BREACH",120,IF(LEFT(C195,8)="ORPHANED",48,24))))</f>
        <v>1</v>
      </c>
      <c r="K195" s="3" t="str">
        <f aca="false">IF(H195="","",IF(H195&gt;J195,"BREACH","OK"))</f>
        <v>OK</v>
      </c>
    </row>
    <row r="196" customFormat="false" ht="15" hidden="false" customHeight="false" outlineLevel="0" collapsed="false">
      <c r="A196" s="3" t="s">
        <v>888</v>
      </c>
      <c r="B196" s="3" t="s">
        <v>889</v>
      </c>
      <c r="C196" s="3" t="s">
        <v>497</v>
      </c>
      <c r="D196" s="7" t="n">
        <v>-0.91</v>
      </c>
      <c r="E196" s="3" t="s">
        <v>498</v>
      </c>
      <c r="F196" s="8" t="n">
        <v>45637</v>
      </c>
      <c r="G196" s="9" t="n">
        <v>45637.4870999485</v>
      </c>
      <c r="H196" s="3" t="n">
        <v>1.69</v>
      </c>
      <c r="I196" s="3" t="str">
        <f aca="false">IF(G196="","OPEN","RESOLVED")</f>
        <v>RESOLVED</v>
      </c>
      <c r="J196" s="3" t="n">
        <f aca="false">IF(C196="TIMING_MISMATCH_TIMEZONE",1,IF(ABS(D196)&gt;5000,4,IF(C196="FEE_VARIANCE_BREACH",120,IF(LEFT(C196,8)="ORPHANED",48,24))))</f>
        <v>120</v>
      </c>
      <c r="K196" s="3" t="str">
        <f aca="false">IF(H196="","",IF(H196&gt;J196,"BREACH","OK"))</f>
        <v>OK</v>
      </c>
    </row>
    <row r="197" customFormat="false" ht="15" hidden="false" customHeight="false" outlineLevel="0" collapsed="false">
      <c r="A197" s="3" t="s">
        <v>890</v>
      </c>
      <c r="B197" s="3" t="s">
        <v>891</v>
      </c>
      <c r="C197" s="3" t="s">
        <v>531</v>
      </c>
      <c r="D197" s="7" t="n">
        <v>0</v>
      </c>
      <c r="E197" s="3" t="s">
        <v>512</v>
      </c>
      <c r="F197" s="8" t="n">
        <v>45637</v>
      </c>
      <c r="G197" s="9" t="n">
        <v>45637.4260038124</v>
      </c>
      <c r="H197" s="3" t="n">
        <v>0.22</v>
      </c>
      <c r="I197" s="3" t="str">
        <f aca="false">IF(G197="","OPEN","RESOLVED")</f>
        <v>RESOLVED</v>
      </c>
      <c r="J197" s="3" t="n">
        <f aca="false">IF(C197="TIMING_MISMATCH_TIMEZONE",1,IF(ABS(D197)&gt;5000,4,IF(C197="FEE_VARIANCE_BREACH",120,IF(LEFT(C197,8)="ORPHANED",48,24))))</f>
        <v>1</v>
      </c>
      <c r="K197" s="3" t="str">
        <f aca="false">IF(H197="","",IF(H197&gt;J197,"BREACH","OK"))</f>
        <v>OK</v>
      </c>
    </row>
    <row r="198" customFormat="false" ht="15" hidden="false" customHeight="false" outlineLevel="0" collapsed="false">
      <c r="A198" s="3" t="s">
        <v>892</v>
      </c>
      <c r="B198" s="3" t="s">
        <v>893</v>
      </c>
      <c r="C198" s="3" t="s">
        <v>531</v>
      </c>
      <c r="D198" s="7" t="n">
        <v>0</v>
      </c>
      <c r="E198" s="3" t="s">
        <v>512</v>
      </c>
      <c r="F198" s="8" t="n">
        <v>45637</v>
      </c>
      <c r="G198" s="9" t="n">
        <v>45637.4258466609</v>
      </c>
      <c r="H198" s="3" t="n">
        <v>0.22</v>
      </c>
      <c r="I198" s="3" t="str">
        <f aca="false">IF(G198="","OPEN","RESOLVED")</f>
        <v>RESOLVED</v>
      </c>
      <c r="J198" s="3" t="n">
        <f aca="false">IF(C198="TIMING_MISMATCH_TIMEZONE",1,IF(ABS(D198)&gt;5000,4,IF(C198="FEE_VARIANCE_BREACH",120,IF(LEFT(C198,8)="ORPHANED",48,24))))</f>
        <v>1</v>
      </c>
      <c r="K198" s="3" t="str">
        <f aca="false">IF(H198="","",IF(H198&gt;J198,"BREACH","OK"))</f>
        <v>OK</v>
      </c>
    </row>
    <row r="199" customFormat="false" ht="15" hidden="false" customHeight="false" outlineLevel="0" collapsed="false">
      <c r="A199" s="3" t="s">
        <v>894</v>
      </c>
      <c r="B199" s="3" t="s">
        <v>895</v>
      </c>
      <c r="C199" s="3" t="s">
        <v>531</v>
      </c>
      <c r="D199" s="7" t="n">
        <v>0</v>
      </c>
      <c r="E199" s="3" t="s">
        <v>512</v>
      </c>
      <c r="F199" s="8" t="n">
        <v>45637</v>
      </c>
      <c r="G199" s="9" t="n">
        <v>45637.4299749042</v>
      </c>
      <c r="H199" s="3" t="n">
        <v>0.32</v>
      </c>
      <c r="I199" s="3" t="str">
        <f aca="false">IF(G199="","OPEN","RESOLVED")</f>
        <v>RESOLVED</v>
      </c>
      <c r="J199" s="3" t="n">
        <f aca="false">IF(C199="TIMING_MISMATCH_TIMEZONE",1,IF(ABS(D199)&gt;5000,4,IF(C199="FEE_VARIANCE_BREACH",120,IF(LEFT(C199,8)="ORPHANED",48,24))))</f>
        <v>1</v>
      </c>
      <c r="K199" s="3" t="str">
        <f aca="false">IF(H199="","",IF(H199&gt;J199,"BREACH","OK"))</f>
        <v>OK</v>
      </c>
    </row>
    <row r="200" customFormat="false" ht="15" hidden="false" customHeight="false" outlineLevel="0" collapsed="false">
      <c r="A200" s="3" t="s">
        <v>896</v>
      </c>
      <c r="B200" s="3" t="s">
        <v>897</v>
      </c>
      <c r="C200" s="3" t="s">
        <v>531</v>
      </c>
      <c r="D200" s="7" t="n">
        <v>0</v>
      </c>
      <c r="E200" s="3" t="s">
        <v>512</v>
      </c>
      <c r="F200" s="8" t="n">
        <v>45637</v>
      </c>
      <c r="G200" s="9" t="n">
        <v>45637.427326786</v>
      </c>
      <c r="H200" s="3" t="n">
        <v>0.26</v>
      </c>
      <c r="I200" s="3" t="str">
        <f aca="false">IF(G200="","OPEN","RESOLVED")</f>
        <v>RESOLVED</v>
      </c>
      <c r="J200" s="3" t="n">
        <f aca="false">IF(C200="TIMING_MISMATCH_TIMEZONE",1,IF(ABS(D200)&gt;5000,4,IF(C200="FEE_VARIANCE_BREACH",120,IF(LEFT(C200,8)="ORPHANED",48,24))))</f>
        <v>1</v>
      </c>
      <c r="K200" s="3" t="str">
        <f aca="false">IF(H200="","",IF(H200&gt;J200,"BREACH","OK"))</f>
        <v>OK</v>
      </c>
    </row>
    <row r="201" customFormat="false" ht="15" hidden="false" customHeight="false" outlineLevel="0" collapsed="false">
      <c r="A201" s="3" t="s">
        <v>898</v>
      </c>
      <c r="B201" s="3" t="s">
        <v>899</v>
      </c>
      <c r="C201" s="3" t="s">
        <v>531</v>
      </c>
      <c r="D201" s="7" t="n">
        <v>0</v>
      </c>
      <c r="E201" s="3" t="s">
        <v>512</v>
      </c>
      <c r="F201" s="8" t="n">
        <v>45637</v>
      </c>
      <c r="G201" s="9" t="n">
        <v>45637.4198541115</v>
      </c>
      <c r="H201" s="3" t="n">
        <v>0.08</v>
      </c>
      <c r="I201" s="3" t="str">
        <f aca="false">IF(G201="","OPEN","RESOLVED")</f>
        <v>RESOLVED</v>
      </c>
      <c r="J201" s="3" t="n">
        <f aca="false">IF(C201="TIMING_MISMATCH_TIMEZONE",1,IF(ABS(D201)&gt;5000,4,IF(C201="FEE_VARIANCE_BREACH",120,IF(LEFT(C201,8)="ORPHANED",48,24))))</f>
        <v>1</v>
      </c>
      <c r="K201" s="3" t="str">
        <f aca="false">IF(H201="","",IF(H201&gt;J201,"BREACH","OK"))</f>
        <v>OK</v>
      </c>
    </row>
    <row r="202" customFormat="false" ht="15" hidden="false" customHeight="false" outlineLevel="0" collapsed="false">
      <c r="A202" s="3" t="s">
        <v>900</v>
      </c>
      <c r="B202" s="3" t="s">
        <v>901</v>
      </c>
      <c r="C202" s="3" t="s">
        <v>497</v>
      </c>
      <c r="D202" s="7" t="n">
        <v>-0.74</v>
      </c>
      <c r="E202" s="3" t="s">
        <v>498</v>
      </c>
      <c r="F202" s="8" t="n">
        <v>45637</v>
      </c>
      <c r="G202" s="9" t="n">
        <v>45643.0928280705</v>
      </c>
      <c r="H202" s="3" t="n">
        <v>88.23</v>
      </c>
      <c r="I202" s="3" t="str">
        <f aca="false">IF(G202="","OPEN","RESOLVED")</f>
        <v>RESOLVED</v>
      </c>
      <c r="J202" s="3" t="n">
        <f aca="false">IF(C202="TIMING_MISMATCH_TIMEZONE",1,IF(ABS(D202)&gt;5000,4,IF(C202="FEE_VARIANCE_BREACH",120,IF(LEFT(C202,8)="ORPHANED",48,24))))</f>
        <v>120</v>
      </c>
      <c r="K202" s="3" t="str">
        <f aca="false">IF(H202="","",IF(H202&gt;J202,"BREACH","OK"))</f>
        <v>OK</v>
      </c>
    </row>
    <row r="203" customFormat="false" ht="15" hidden="false" customHeight="false" outlineLevel="0" collapsed="false">
      <c r="A203" s="3" t="s">
        <v>902</v>
      </c>
      <c r="B203" s="3" t="s">
        <v>903</v>
      </c>
      <c r="C203" s="3" t="s">
        <v>531</v>
      </c>
      <c r="D203" s="7" t="n">
        <v>0</v>
      </c>
      <c r="E203" s="3" t="s">
        <v>512</v>
      </c>
      <c r="F203" s="8" t="n">
        <v>45637</v>
      </c>
      <c r="G203" s="9" t="n">
        <v>45637.4222386798</v>
      </c>
      <c r="H203" s="3" t="n">
        <v>0.13</v>
      </c>
      <c r="I203" s="3" t="str">
        <f aca="false">IF(G203="","OPEN","RESOLVED")</f>
        <v>RESOLVED</v>
      </c>
      <c r="J203" s="3" t="n">
        <f aca="false">IF(C203="TIMING_MISMATCH_TIMEZONE",1,IF(ABS(D203)&gt;5000,4,IF(C203="FEE_VARIANCE_BREACH",120,IF(LEFT(C203,8)="ORPHANED",48,24))))</f>
        <v>1</v>
      </c>
      <c r="K203" s="3" t="str">
        <f aca="false">IF(H203="","",IF(H203&gt;J203,"BREACH","OK"))</f>
        <v>OK</v>
      </c>
    </row>
    <row r="204" customFormat="false" ht="15" hidden="false" customHeight="false" outlineLevel="0" collapsed="false">
      <c r="A204" s="3" t="s">
        <v>904</v>
      </c>
      <c r="B204" s="3" t="s">
        <v>905</v>
      </c>
      <c r="C204" s="3" t="s">
        <v>531</v>
      </c>
      <c r="D204" s="7" t="n">
        <v>0</v>
      </c>
      <c r="E204" s="3" t="s">
        <v>512</v>
      </c>
      <c r="F204" s="8" t="n">
        <v>45637</v>
      </c>
      <c r="G204" s="9" t="n">
        <v>45637.4311358574</v>
      </c>
      <c r="H204" s="3" t="n">
        <v>0.35</v>
      </c>
      <c r="I204" s="3" t="str">
        <f aca="false">IF(G204="","OPEN","RESOLVED")</f>
        <v>RESOLVED</v>
      </c>
      <c r="J204" s="3" t="n">
        <f aca="false">IF(C204="TIMING_MISMATCH_TIMEZONE",1,IF(ABS(D204)&gt;5000,4,IF(C204="FEE_VARIANCE_BREACH",120,IF(LEFT(C204,8)="ORPHANED",48,24))))</f>
        <v>1</v>
      </c>
      <c r="K204" s="3" t="str">
        <f aca="false">IF(H204="","",IF(H204&gt;J204,"BREACH","OK"))</f>
        <v>OK</v>
      </c>
    </row>
    <row r="205" customFormat="false" ht="15" hidden="false" customHeight="false" outlineLevel="0" collapsed="false">
      <c r="A205" s="3" t="s">
        <v>906</v>
      </c>
      <c r="B205" s="3" t="s">
        <v>907</v>
      </c>
      <c r="C205" s="3" t="s">
        <v>531</v>
      </c>
      <c r="D205" s="7" t="n">
        <v>0</v>
      </c>
      <c r="E205" s="3" t="s">
        <v>512</v>
      </c>
      <c r="F205" s="8" t="n">
        <v>45637</v>
      </c>
      <c r="G205" s="9" t="n">
        <v>45637.4259326079</v>
      </c>
      <c r="H205" s="3" t="n">
        <v>0.22</v>
      </c>
      <c r="I205" s="3" t="str">
        <f aca="false">IF(G205="","OPEN","RESOLVED")</f>
        <v>RESOLVED</v>
      </c>
      <c r="J205" s="3" t="n">
        <f aca="false">IF(C205="TIMING_MISMATCH_TIMEZONE",1,IF(ABS(D205)&gt;5000,4,IF(C205="FEE_VARIANCE_BREACH",120,IF(LEFT(C205,8)="ORPHANED",48,24))))</f>
        <v>1</v>
      </c>
      <c r="K205" s="3" t="str">
        <f aca="false">IF(H205="","",IF(H205&gt;J205,"BREACH","OK"))</f>
        <v>OK</v>
      </c>
    </row>
    <row r="206" customFormat="false" ht="15" hidden="false" customHeight="false" outlineLevel="0" collapsed="false">
      <c r="A206" s="3" t="s">
        <v>908</v>
      </c>
      <c r="B206" s="3" t="s">
        <v>909</v>
      </c>
      <c r="C206" s="3" t="s">
        <v>511</v>
      </c>
      <c r="D206" s="7" t="n">
        <v>41.79</v>
      </c>
      <c r="E206" s="3" t="s">
        <v>512</v>
      </c>
      <c r="F206" s="8" t="n">
        <v>45637</v>
      </c>
      <c r="G206" s="9" t="n">
        <v>45638.5390710575</v>
      </c>
      <c r="H206" s="3" t="n">
        <v>26.94</v>
      </c>
      <c r="I206" s="3" t="str">
        <f aca="false">IF(G206="","OPEN","RESOLVED")</f>
        <v>RESOLVED</v>
      </c>
      <c r="J206" s="3" t="n">
        <f aca="false">IF(C206="TIMING_MISMATCH_TIMEZONE",1,IF(ABS(D206)&gt;5000,4,IF(C206="FEE_VARIANCE_BREACH",120,IF(LEFT(C206,8)="ORPHANED",48,24))))</f>
        <v>48</v>
      </c>
      <c r="K206" s="3" t="str">
        <f aca="false">IF(H206="","",IF(H206&gt;J206,"BREACH","OK"))</f>
        <v>OK</v>
      </c>
    </row>
    <row r="207" customFormat="false" ht="15" hidden="false" customHeight="false" outlineLevel="0" collapsed="false">
      <c r="A207" s="3" t="s">
        <v>910</v>
      </c>
      <c r="B207" s="3" t="s">
        <v>911</v>
      </c>
      <c r="C207" s="3" t="s">
        <v>531</v>
      </c>
      <c r="D207" s="7" t="n">
        <v>0</v>
      </c>
      <c r="E207" s="3" t="s">
        <v>512</v>
      </c>
      <c r="F207" s="8" t="n">
        <v>45637</v>
      </c>
      <c r="G207" s="9" t="n">
        <v>45637.4200306058</v>
      </c>
      <c r="H207" s="3" t="n">
        <v>0.08</v>
      </c>
      <c r="I207" s="3" t="str">
        <f aca="false">IF(G207="","OPEN","RESOLVED")</f>
        <v>RESOLVED</v>
      </c>
      <c r="J207" s="3" t="n">
        <f aca="false">IF(C207="TIMING_MISMATCH_TIMEZONE",1,IF(ABS(D207)&gt;5000,4,IF(C207="FEE_VARIANCE_BREACH",120,IF(LEFT(C207,8)="ORPHANED",48,24))))</f>
        <v>1</v>
      </c>
      <c r="K207" s="3" t="str">
        <f aca="false">IF(H207="","",IF(H207&gt;J207,"BREACH","OK"))</f>
        <v>OK</v>
      </c>
    </row>
    <row r="208" customFormat="false" ht="15" hidden="false" customHeight="false" outlineLevel="0" collapsed="false">
      <c r="A208" s="3" t="s">
        <v>912</v>
      </c>
      <c r="B208" s="3" t="s">
        <v>913</v>
      </c>
      <c r="C208" s="3" t="s">
        <v>531</v>
      </c>
      <c r="D208" s="7" t="n">
        <v>-0.01</v>
      </c>
      <c r="E208" s="3" t="s">
        <v>512</v>
      </c>
      <c r="F208" s="8" t="n">
        <v>45638</v>
      </c>
      <c r="G208" s="9" t="n">
        <v>45638.4248513249</v>
      </c>
      <c r="H208" s="3" t="n">
        <v>0.2</v>
      </c>
      <c r="I208" s="3" t="str">
        <f aca="false">IF(G208="","OPEN","RESOLVED")</f>
        <v>RESOLVED</v>
      </c>
      <c r="J208" s="3" t="n">
        <f aca="false">IF(C208="TIMING_MISMATCH_TIMEZONE",1,IF(ABS(D208)&gt;5000,4,IF(C208="FEE_VARIANCE_BREACH",120,IF(LEFT(C208,8)="ORPHANED",48,24))))</f>
        <v>1</v>
      </c>
      <c r="K208" s="3" t="str">
        <f aca="false">IF(H208="","",IF(H208&gt;J208,"BREACH","OK"))</f>
        <v>OK</v>
      </c>
    </row>
    <row r="209" customFormat="false" ht="15" hidden="false" customHeight="false" outlineLevel="0" collapsed="false">
      <c r="A209" s="3" t="s">
        <v>914</v>
      </c>
      <c r="B209" s="3" t="s">
        <v>915</v>
      </c>
      <c r="C209" s="3" t="s">
        <v>511</v>
      </c>
      <c r="D209" s="7" t="n">
        <v>135.66</v>
      </c>
      <c r="E209" s="3" t="s">
        <v>512</v>
      </c>
      <c r="F209" s="8" t="n">
        <v>45638</v>
      </c>
      <c r="G209" s="9" t="n">
        <v>45638.9949469621</v>
      </c>
      <c r="H209" s="3" t="n">
        <v>13.88</v>
      </c>
      <c r="I209" s="3" t="str">
        <f aca="false">IF(G209="","OPEN","RESOLVED")</f>
        <v>RESOLVED</v>
      </c>
      <c r="J209" s="3" t="n">
        <f aca="false">IF(C209="TIMING_MISMATCH_TIMEZONE",1,IF(ABS(D209)&gt;5000,4,IF(C209="FEE_VARIANCE_BREACH",120,IF(LEFT(C209,8)="ORPHANED",48,24))))</f>
        <v>48</v>
      </c>
      <c r="K209" s="3" t="str">
        <f aca="false">IF(H209="","",IF(H209&gt;J209,"BREACH","OK"))</f>
        <v>OK</v>
      </c>
    </row>
    <row r="210" customFormat="false" ht="15" hidden="false" customHeight="false" outlineLevel="0" collapsed="false">
      <c r="A210" s="3" t="s">
        <v>916</v>
      </c>
      <c r="B210" s="3" t="s">
        <v>917</v>
      </c>
      <c r="C210" s="3" t="s">
        <v>497</v>
      </c>
      <c r="D210" s="7" t="n">
        <v>-0.94</v>
      </c>
      <c r="E210" s="3" t="s">
        <v>498</v>
      </c>
      <c r="F210" s="8" t="n">
        <v>45638</v>
      </c>
      <c r="G210" s="9" t="n">
        <v>45638.41875</v>
      </c>
      <c r="H210" s="3" t="n">
        <v>0.05</v>
      </c>
      <c r="I210" s="3" t="str">
        <f aca="false">IF(G210="","OPEN","RESOLVED")</f>
        <v>RESOLVED</v>
      </c>
      <c r="J210" s="3" t="n">
        <f aca="false">IF(C210="TIMING_MISMATCH_TIMEZONE",1,IF(ABS(D210)&gt;5000,4,IF(C210="FEE_VARIANCE_BREACH",120,IF(LEFT(C210,8)="ORPHANED",48,24))))</f>
        <v>120</v>
      </c>
      <c r="K210" s="3" t="str">
        <f aca="false">IF(H210="","",IF(H210&gt;J210,"BREACH","OK"))</f>
        <v>OK</v>
      </c>
    </row>
    <row r="211" customFormat="false" ht="15" hidden="false" customHeight="false" outlineLevel="0" collapsed="false">
      <c r="A211" s="3" t="s">
        <v>918</v>
      </c>
      <c r="B211" s="3" t="s">
        <v>919</v>
      </c>
      <c r="C211" s="3" t="s">
        <v>531</v>
      </c>
      <c r="D211" s="7" t="n">
        <v>0</v>
      </c>
      <c r="E211" s="3" t="s">
        <v>512</v>
      </c>
      <c r="F211" s="8" t="n">
        <v>45638</v>
      </c>
      <c r="G211" s="9" t="n">
        <v>45638.4277843431</v>
      </c>
      <c r="H211" s="3" t="n">
        <v>0.27</v>
      </c>
      <c r="I211" s="3" t="str">
        <f aca="false">IF(G211="","OPEN","RESOLVED")</f>
        <v>RESOLVED</v>
      </c>
      <c r="J211" s="3" t="n">
        <f aca="false">IF(C211="TIMING_MISMATCH_TIMEZONE",1,IF(ABS(D211)&gt;5000,4,IF(C211="FEE_VARIANCE_BREACH",120,IF(LEFT(C211,8)="ORPHANED",48,24))))</f>
        <v>1</v>
      </c>
      <c r="K211" s="3" t="str">
        <f aca="false">IF(H211="","",IF(H211&gt;J211,"BREACH","OK"))</f>
        <v>OK</v>
      </c>
    </row>
    <row r="212" customFormat="false" ht="15" hidden="false" customHeight="false" outlineLevel="0" collapsed="false">
      <c r="A212" s="3" t="s">
        <v>920</v>
      </c>
      <c r="B212" s="3" t="s">
        <v>921</v>
      </c>
      <c r="C212" s="3" t="s">
        <v>531</v>
      </c>
      <c r="D212" s="7" t="n">
        <v>0</v>
      </c>
      <c r="E212" s="3" t="s">
        <v>512</v>
      </c>
      <c r="F212" s="8" t="n">
        <v>45638</v>
      </c>
      <c r="G212" s="9" t="n">
        <v>45638.41875</v>
      </c>
      <c r="H212" s="3" t="n">
        <v>0.05</v>
      </c>
      <c r="I212" s="3" t="str">
        <f aca="false">IF(G212="","OPEN","RESOLVED")</f>
        <v>RESOLVED</v>
      </c>
      <c r="J212" s="3" t="n">
        <f aca="false">IF(C212="TIMING_MISMATCH_TIMEZONE",1,IF(ABS(D212)&gt;5000,4,IF(C212="FEE_VARIANCE_BREACH",120,IF(LEFT(C212,8)="ORPHANED",48,24))))</f>
        <v>1</v>
      </c>
      <c r="K212" s="3" t="str">
        <f aca="false">IF(H212="","",IF(H212&gt;J212,"BREACH","OK"))</f>
        <v>OK</v>
      </c>
    </row>
    <row r="213" customFormat="false" ht="15" hidden="false" customHeight="false" outlineLevel="0" collapsed="false">
      <c r="A213" s="3" t="s">
        <v>922</v>
      </c>
      <c r="B213" s="3" t="s">
        <v>923</v>
      </c>
      <c r="C213" s="3" t="s">
        <v>531</v>
      </c>
      <c r="D213" s="7" t="n">
        <v>0</v>
      </c>
      <c r="E213" s="3" t="s">
        <v>512</v>
      </c>
      <c r="F213" s="8" t="n">
        <v>45638</v>
      </c>
      <c r="G213" s="9" t="n">
        <v>45638.4228064662</v>
      </c>
      <c r="H213" s="3" t="n">
        <v>0.15</v>
      </c>
      <c r="I213" s="3" t="str">
        <f aca="false">IF(G213="","OPEN","RESOLVED")</f>
        <v>RESOLVED</v>
      </c>
      <c r="J213" s="3" t="n">
        <f aca="false">IF(C213="TIMING_MISMATCH_TIMEZONE",1,IF(ABS(D213)&gt;5000,4,IF(C213="FEE_VARIANCE_BREACH",120,IF(LEFT(C213,8)="ORPHANED",48,24))))</f>
        <v>1</v>
      </c>
      <c r="K213" s="3" t="str">
        <f aca="false">IF(H213="","",IF(H213&gt;J213,"BREACH","OK"))</f>
        <v>OK</v>
      </c>
    </row>
    <row r="214" customFormat="false" ht="15" hidden="false" customHeight="false" outlineLevel="0" collapsed="false">
      <c r="A214" s="3" t="s">
        <v>924</v>
      </c>
      <c r="B214" s="3" t="s">
        <v>925</v>
      </c>
      <c r="C214" s="3" t="s">
        <v>497</v>
      </c>
      <c r="D214" s="7" t="n">
        <v>-2.4</v>
      </c>
      <c r="E214" s="3" t="s">
        <v>498</v>
      </c>
      <c r="F214" s="8" t="n">
        <v>45638</v>
      </c>
      <c r="G214" s="9" t="n">
        <v>45644.7669403066</v>
      </c>
      <c r="H214" s="3" t="n">
        <v>104.41</v>
      </c>
      <c r="I214" s="3" t="str">
        <f aca="false">IF(G214="","OPEN","RESOLVED")</f>
        <v>RESOLVED</v>
      </c>
      <c r="J214" s="3" t="n">
        <f aca="false">IF(C214="TIMING_MISMATCH_TIMEZONE",1,IF(ABS(D214)&gt;5000,4,IF(C214="FEE_VARIANCE_BREACH",120,IF(LEFT(C214,8)="ORPHANED",48,24))))</f>
        <v>120</v>
      </c>
      <c r="K214" s="3" t="str">
        <f aca="false">IF(H214="","",IF(H214&gt;J214,"BREACH","OK"))</f>
        <v>OK</v>
      </c>
    </row>
    <row r="215" customFormat="false" ht="15" hidden="false" customHeight="false" outlineLevel="0" collapsed="false">
      <c r="A215" s="3" t="s">
        <v>926</v>
      </c>
      <c r="B215" s="3" t="s">
        <v>927</v>
      </c>
      <c r="C215" s="3" t="s">
        <v>497</v>
      </c>
      <c r="D215" s="7" t="n">
        <v>-0.86</v>
      </c>
      <c r="E215" s="3" t="s">
        <v>498</v>
      </c>
      <c r="F215" s="8" t="n">
        <v>45638</v>
      </c>
      <c r="G215" s="9" t="n">
        <v>45644.663904441</v>
      </c>
      <c r="H215" s="3" t="n">
        <v>101.93</v>
      </c>
      <c r="I215" s="3" t="str">
        <f aca="false">IF(G215="","OPEN","RESOLVED")</f>
        <v>RESOLVED</v>
      </c>
      <c r="J215" s="3" t="n">
        <f aca="false">IF(C215="TIMING_MISMATCH_TIMEZONE",1,IF(ABS(D215)&gt;5000,4,IF(C215="FEE_VARIANCE_BREACH",120,IF(LEFT(C215,8)="ORPHANED",48,24))))</f>
        <v>120</v>
      </c>
      <c r="K215" s="3" t="str">
        <f aca="false">IF(H215="","",IF(H215&gt;J215,"BREACH","OK"))</f>
        <v>OK</v>
      </c>
    </row>
    <row r="216" customFormat="false" ht="15" hidden="false" customHeight="false" outlineLevel="0" collapsed="false">
      <c r="A216" s="3" t="s">
        <v>928</v>
      </c>
      <c r="B216" s="3" t="s">
        <v>929</v>
      </c>
      <c r="C216" s="3" t="s">
        <v>531</v>
      </c>
      <c r="D216" s="7" t="n">
        <v>0</v>
      </c>
      <c r="E216" s="3" t="s">
        <v>512</v>
      </c>
      <c r="F216" s="8" t="n">
        <v>45638</v>
      </c>
      <c r="G216" s="9" t="n">
        <v>45638.4331257057</v>
      </c>
      <c r="H216" s="3" t="n">
        <v>0.4</v>
      </c>
      <c r="I216" s="3" t="str">
        <f aca="false">IF(G216="","OPEN","RESOLVED")</f>
        <v>RESOLVED</v>
      </c>
      <c r="J216" s="3" t="n">
        <f aca="false">IF(C216="TIMING_MISMATCH_TIMEZONE",1,IF(ABS(D216)&gt;5000,4,IF(C216="FEE_VARIANCE_BREACH",120,IF(LEFT(C216,8)="ORPHANED",48,24))))</f>
        <v>1</v>
      </c>
      <c r="K216" s="3" t="str">
        <f aca="false">IF(H216="","",IF(H216&gt;J216,"BREACH","OK"))</f>
        <v>OK</v>
      </c>
    </row>
    <row r="217" customFormat="false" ht="15" hidden="false" customHeight="false" outlineLevel="0" collapsed="false">
      <c r="A217" s="3" t="s">
        <v>930</v>
      </c>
      <c r="B217" s="3" t="s">
        <v>931</v>
      </c>
      <c r="C217" s="3" t="s">
        <v>503</v>
      </c>
      <c r="D217" s="7" t="n">
        <v>-124.91</v>
      </c>
      <c r="E217" s="3" t="s">
        <v>504</v>
      </c>
      <c r="F217" s="8" t="n">
        <v>45638</v>
      </c>
      <c r="G217" s="9" t="n">
        <v>45639.5812266797</v>
      </c>
      <c r="H217" s="3" t="n">
        <v>27.95</v>
      </c>
      <c r="I217" s="3" t="str">
        <f aca="false">IF(G217="","OPEN","RESOLVED")</f>
        <v>RESOLVED</v>
      </c>
      <c r="J217" s="3" t="n">
        <f aca="false">IF(C217="TIMING_MISMATCH_TIMEZONE",1,IF(ABS(D217)&gt;5000,4,IF(C217="FEE_VARIANCE_BREACH",120,IF(LEFT(C217,8)="ORPHANED",48,24))))</f>
        <v>48</v>
      </c>
      <c r="K217" s="3" t="str">
        <f aca="false">IF(H217="","",IF(H217&gt;J217,"BREACH","OK"))</f>
        <v>OK</v>
      </c>
    </row>
    <row r="218" customFormat="false" ht="15" hidden="false" customHeight="false" outlineLevel="0" collapsed="false">
      <c r="A218" s="3" t="s">
        <v>932</v>
      </c>
      <c r="B218" s="3" t="s">
        <v>933</v>
      </c>
      <c r="C218" s="3" t="s">
        <v>497</v>
      </c>
      <c r="D218" s="7" t="n">
        <v>-0.76</v>
      </c>
      <c r="E218" s="3" t="s">
        <v>498</v>
      </c>
      <c r="F218" s="8" t="n">
        <v>45638</v>
      </c>
      <c r="G218" s="9" t="n">
        <v>45642.7660782135</v>
      </c>
      <c r="H218" s="3" t="n">
        <v>56.39</v>
      </c>
      <c r="I218" s="3" t="str">
        <f aca="false">IF(G218="","OPEN","RESOLVED")</f>
        <v>RESOLVED</v>
      </c>
      <c r="J218" s="3" t="n">
        <f aca="false">IF(C218="TIMING_MISMATCH_TIMEZONE",1,IF(ABS(D218)&gt;5000,4,IF(C218="FEE_VARIANCE_BREACH",120,IF(LEFT(C218,8)="ORPHANED",48,24))))</f>
        <v>120</v>
      </c>
      <c r="K218" s="3" t="str">
        <f aca="false">IF(H218="","",IF(H218&gt;J218,"BREACH","OK"))</f>
        <v>OK</v>
      </c>
    </row>
    <row r="219" customFormat="false" ht="15" hidden="false" customHeight="false" outlineLevel="0" collapsed="false">
      <c r="A219" s="3" t="s">
        <v>934</v>
      </c>
      <c r="B219" s="3" t="s">
        <v>935</v>
      </c>
      <c r="C219" s="3" t="s">
        <v>531</v>
      </c>
      <c r="D219" s="7" t="n">
        <v>0</v>
      </c>
      <c r="E219" s="3" t="s">
        <v>512</v>
      </c>
      <c r="F219" s="8" t="n">
        <v>45638</v>
      </c>
      <c r="G219" s="9" t="n">
        <v>45638.4283355664</v>
      </c>
      <c r="H219" s="3" t="n">
        <v>0.28</v>
      </c>
      <c r="I219" s="3" t="str">
        <f aca="false">IF(G219="","OPEN","RESOLVED")</f>
        <v>RESOLVED</v>
      </c>
      <c r="J219" s="3" t="n">
        <f aca="false">IF(C219="TIMING_MISMATCH_TIMEZONE",1,IF(ABS(D219)&gt;5000,4,IF(C219="FEE_VARIANCE_BREACH",120,IF(LEFT(C219,8)="ORPHANED",48,24))))</f>
        <v>1</v>
      </c>
      <c r="K219" s="3" t="str">
        <f aca="false">IF(H219="","",IF(H219&gt;J219,"BREACH","OK"))</f>
        <v>OK</v>
      </c>
    </row>
    <row r="220" customFormat="false" ht="15" hidden="false" customHeight="false" outlineLevel="0" collapsed="false">
      <c r="A220" s="3" t="s">
        <v>936</v>
      </c>
      <c r="B220" s="3" t="s">
        <v>937</v>
      </c>
      <c r="C220" s="3" t="s">
        <v>531</v>
      </c>
      <c r="D220" s="7" t="n">
        <v>0</v>
      </c>
      <c r="E220" s="3" t="s">
        <v>512</v>
      </c>
      <c r="F220" s="8" t="n">
        <v>45638</v>
      </c>
      <c r="G220" s="9" t="n">
        <v>45638.4214906995</v>
      </c>
      <c r="H220" s="3" t="n">
        <v>0.12</v>
      </c>
      <c r="I220" s="3" t="str">
        <f aca="false">IF(G220="","OPEN","RESOLVED")</f>
        <v>RESOLVED</v>
      </c>
      <c r="J220" s="3" t="n">
        <f aca="false">IF(C220="TIMING_MISMATCH_TIMEZONE",1,IF(ABS(D220)&gt;5000,4,IF(C220="FEE_VARIANCE_BREACH",120,IF(LEFT(C220,8)="ORPHANED",48,24))))</f>
        <v>1</v>
      </c>
      <c r="K220" s="3" t="str">
        <f aca="false">IF(H220="","",IF(H220&gt;J220,"BREACH","OK"))</f>
        <v>OK</v>
      </c>
    </row>
    <row r="221" customFormat="false" ht="15" hidden="false" customHeight="false" outlineLevel="0" collapsed="false">
      <c r="A221" s="3" t="s">
        <v>938</v>
      </c>
      <c r="B221" s="3" t="s">
        <v>939</v>
      </c>
      <c r="C221" s="3" t="s">
        <v>531</v>
      </c>
      <c r="D221" s="7" t="n">
        <v>0</v>
      </c>
      <c r="E221" s="3" t="s">
        <v>512</v>
      </c>
      <c r="F221" s="8" t="n">
        <v>45638</v>
      </c>
      <c r="G221" s="9" t="n">
        <v>45638.4279025124</v>
      </c>
      <c r="H221" s="3" t="n">
        <v>0.27</v>
      </c>
      <c r="I221" s="3" t="str">
        <f aca="false">IF(G221="","OPEN","RESOLVED")</f>
        <v>RESOLVED</v>
      </c>
      <c r="J221" s="3" t="n">
        <f aca="false">IF(C221="TIMING_MISMATCH_TIMEZONE",1,IF(ABS(D221)&gt;5000,4,IF(C221="FEE_VARIANCE_BREACH",120,IF(LEFT(C221,8)="ORPHANED",48,24))))</f>
        <v>1</v>
      </c>
      <c r="K221" s="3" t="str">
        <f aca="false">IF(H221="","",IF(H221&gt;J221,"BREACH","OK"))</f>
        <v>OK</v>
      </c>
    </row>
    <row r="222" customFormat="false" ht="15" hidden="false" customHeight="false" outlineLevel="0" collapsed="false">
      <c r="A222" s="3" t="s">
        <v>940</v>
      </c>
      <c r="B222" s="3" t="s">
        <v>941</v>
      </c>
      <c r="C222" s="3" t="s">
        <v>511</v>
      </c>
      <c r="D222" s="7" t="n">
        <v>449.08</v>
      </c>
      <c r="E222" s="3" t="s">
        <v>512</v>
      </c>
      <c r="F222" s="8" t="n">
        <v>45638</v>
      </c>
      <c r="G222" s="9" t="n">
        <v>45639.3061996856</v>
      </c>
      <c r="H222" s="3" t="n">
        <v>21.35</v>
      </c>
      <c r="I222" s="3" t="str">
        <f aca="false">IF(G222="","OPEN","RESOLVED")</f>
        <v>RESOLVED</v>
      </c>
      <c r="J222" s="3" t="n">
        <f aca="false">IF(C222="TIMING_MISMATCH_TIMEZONE",1,IF(ABS(D222)&gt;5000,4,IF(C222="FEE_VARIANCE_BREACH",120,IF(LEFT(C222,8)="ORPHANED",48,24))))</f>
        <v>48</v>
      </c>
      <c r="K222" s="3" t="str">
        <f aca="false">IF(H222="","",IF(H222&gt;J222,"BREACH","OK"))</f>
        <v>OK</v>
      </c>
    </row>
    <row r="223" customFormat="false" ht="15" hidden="false" customHeight="false" outlineLevel="0" collapsed="false">
      <c r="A223" s="3" t="s">
        <v>942</v>
      </c>
      <c r="B223" s="3" t="s">
        <v>943</v>
      </c>
      <c r="C223" s="3" t="s">
        <v>531</v>
      </c>
      <c r="D223" s="7" t="n">
        <v>0</v>
      </c>
      <c r="E223" s="3" t="s">
        <v>512</v>
      </c>
      <c r="F223" s="8" t="n">
        <v>45638</v>
      </c>
      <c r="G223" s="9" t="n">
        <v>45638.4279220087</v>
      </c>
      <c r="H223" s="3" t="n">
        <v>0.27</v>
      </c>
      <c r="I223" s="3" t="str">
        <f aca="false">IF(G223="","OPEN","RESOLVED")</f>
        <v>RESOLVED</v>
      </c>
      <c r="J223" s="3" t="n">
        <f aca="false">IF(C223="TIMING_MISMATCH_TIMEZONE",1,IF(ABS(D223)&gt;5000,4,IF(C223="FEE_VARIANCE_BREACH",120,IF(LEFT(C223,8)="ORPHANED",48,24))))</f>
        <v>1</v>
      </c>
      <c r="K223" s="3" t="str">
        <f aca="false">IF(H223="","",IF(H223&gt;J223,"BREACH","OK"))</f>
        <v>OK</v>
      </c>
    </row>
    <row r="224" customFormat="false" ht="15" hidden="false" customHeight="false" outlineLevel="0" collapsed="false">
      <c r="A224" s="3" t="s">
        <v>944</v>
      </c>
      <c r="B224" s="3" t="s">
        <v>945</v>
      </c>
      <c r="C224" s="3" t="s">
        <v>503</v>
      </c>
      <c r="D224" s="7" t="n">
        <v>-278.9</v>
      </c>
      <c r="E224" s="3" t="s">
        <v>504</v>
      </c>
      <c r="F224" s="8" t="n">
        <v>45638</v>
      </c>
      <c r="G224" s="9" t="n">
        <v>45639.5243802348</v>
      </c>
      <c r="H224" s="3" t="n">
        <v>26.59</v>
      </c>
      <c r="I224" s="3" t="str">
        <f aca="false">IF(G224="","OPEN","RESOLVED")</f>
        <v>RESOLVED</v>
      </c>
      <c r="J224" s="3" t="n">
        <f aca="false">IF(C224="TIMING_MISMATCH_TIMEZONE",1,IF(ABS(D224)&gt;5000,4,IF(C224="FEE_VARIANCE_BREACH",120,IF(LEFT(C224,8)="ORPHANED",48,24))))</f>
        <v>48</v>
      </c>
      <c r="K224" s="3" t="str">
        <f aca="false">IF(H224="","",IF(H224&gt;J224,"BREACH","OK"))</f>
        <v>OK</v>
      </c>
    </row>
    <row r="225" customFormat="false" ht="15" hidden="false" customHeight="false" outlineLevel="0" collapsed="false">
      <c r="A225" s="3" t="s">
        <v>946</v>
      </c>
      <c r="B225" s="3" t="s">
        <v>947</v>
      </c>
      <c r="C225" s="3" t="s">
        <v>503</v>
      </c>
      <c r="D225" s="7" t="n">
        <v>-238.08</v>
      </c>
      <c r="E225" s="3" t="s">
        <v>504</v>
      </c>
      <c r="F225" s="8" t="n">
        <v>45638</v>
      </c>
      <c r="G225" s="9" t="n">
        <v>45639.7059519875</v>
      </c>
      <c r="H225" s="3" t="n">
        <v>30.94</v>
      </c>
      <c r="I225" s="3" t="str">
        <f aca="false">IF(G225="","OPEN","RESOLVED")</f>
        <v>RESOLVED</v>
      </c>
      <c r="J225" s="3" t="n">
        <f aca="false">IF(C225="TIMING_MISMATCH_TIMEZONE",1,IF(ABS(D225)&gt;5000,4,IF(C225="FEE_VARIANCE_BREACH",120,IF(LEFT(C225,8)="ORPHANED",48,24))))</f>
        <v>48</v>
      </c>
      <c r="K225" s="3" t="str">
        <f aca="false">IF(H225="","",IF(H225&gt;J225,"BREACH","OK"))</f>
        <v>OK</v>
      </c>
    </row>
    <row r="226" customFormat="false" ht="15" hidden="false" customHeight="false" outlineLevel="0" collapsed="false">
      <c r="A226" s="3" t="s">
        <v>948</v>
      </c>
      <c r="B226" s="3" t="s">
        <v>949</v>
      </c>
      <c r="C226" s="3" t="s">
        <v>517</v>
      </c>
      <c r="D226" s="7" t="n">
        <v>-12</v>
      </c>
      <c r="E226" s="3" t="s">
        <v>518</v>
      </c>
      <c r="F226" s="8" t="n">
        <v>45638</v>
      </c>
      <c r="G226" s="9" t="n">
        <v>45638.6574067484</v>
      </c>
      <c r="H226" s="3" t="n">
        <v>5.78</v>
      </c>
      <c r="I226" s="3" t="str">
        <f aca="false">IF(G226="","OPEN","RESOLVED")</f>
        <v>RESOLVED</v>
      </c>
      <c r="J226" s="3" t="n">
        <f aca="false">IF(C226="TIMING_MISMATCH_TIMEZONE",1,IF(ABS(D226)&gt;5000,4,IF(C226="FEE_VARIANCE_BREACH",120,IF(LEFT(C226,8)="ORPHANED",48,24))))</f>
        <v>24</v>
      </c>
      <c r="K226" s="3" t="str">
        <f aca="false">IF(H226="","",IF(H226&gt;J226,"BREACH","OK"))</f>
        <v>OK</v>
      </c>
    </row>
    <row r="227" customFormat="false" ht="15" hidden="false" customHeight="false" outlineLevel="0" collapsed="false">
      <c r="A227" s="3" t="s">
        <v>950</v>
      </c>
      <c r="B227" s="3" t="s">
        <v>951</v>
      </c>
      <c r="C227" s="3" t="s">
        <v>511</v>
      </c>
      <c r="D227" s="7" t="n">
        <v>109.1</v>
      </c>
      <c r="E227" s="3" t="s">
        <v>512</v>
      </c>
      <c r="F227" s="8" t="n">
        <v>45638</v>
      </c>
      <c r="G227" s="9" t="n">
        <v>45639.1262907991</v>
      </c>
      <c r="H227" s="3" t="n">
        <v>17.03</v>
      </c>
      <c r="I227" s="3" t="str">
        <f aca="false">IF(G227="","OPEN","RESOLVED")</f>
        <v>RESOLVED</v>
      </c>
      <c r="J227" s="3" t="n">
        <f aca="false">IF(C227="TIMING_MISMATCH_TIMEZONE",1,IF(ABS(D227)&gt;5000,4,IF(C227="FEE_VARIANCE_BREACH",120,IF(LEFT(C227,8)="ORPHANED",48,24))))</f>
        <v>48</v>
      </c>
      <c r="K227" s="3" t="str">
        <f aca="false">IF(H227="","",IF(H227&gt;J227,"BREACH","OK"))</f>
        <v>OK</v>
      </c>
    </row>
    <row r="228" customFormat="false" ht="15" hidden="false" customHeight="false" outlineLevel="0" collapsed="false">
      <c r="A228" s="3" t="s">
        <v>952</v>
      </c>
      <c r="B228" s="3" t="s">
        <v>953</v>
      </c>
      <c r="C228" s="3" t="s">
        <v>531</v>
      </c>
      <c r="D228" s="7" t="n">
        <v>0</v>
      </c>
      <c r="E228" s="3" t="s">
        <v>512</v>
      </c>
      <c r="F228" s="8" t="n">
        <v>45638</v>
      </c>
      <c r="G228" s="9" t="n">
        <v>45638.4282014896</v>
      </c>
      <c r="H228" s="3" t="n">
        <v>0.28</v>
      </c>
      <c r="I228" s="3" t="str">
        <f aca="false">IF(G228="","OPEN","RESOLVED")</f>
        <v>RESOLVED</v>
      </c>
      <c r="J228" s="3" t="n">
        <f aca="false">IF(C228="TIMING_MISMATCH_TIMEZONE",1,IF(ABS(D228)&gt;5000,4,IF(C228="FEE_VARIANCE_BREACH",120,IF(LEFT(C228,8)="ORPHANED",48,24))))</f>
        <v>1</v>
      </c>
      <c r="K228" s="3" t="str">
        <f aca="false">IF(H228="","",IF(H228&gt;J228,"BREACH","OK"))</f>
        <v>OK</v>
      </c>
    </row>
    <row r="229" customFormat="false" ht="15" hidden="false" customHeight="false" outlineLevel="0" collapsed="false">
      <c r="A229" s="3" t="s">
        <v>954</v>
      </c>
      <c r="B229" s="3" t="s">
        <v>955</v>
      </c>
      <c r="C229" s="3" t="s">
        <v>531</v>
      </c>
      <c r="D229" s="7" t="n">
        <v>0</v>
      </c>
      <c r="E229" s="3" t="s">
        <v>512</v>
      </c>
      <c r="F229" s="8" t="n">
        <v>45638</v>
      </c>
      <c r="G229" s="9" t="n">
        <v>45638.4202651482</v>
      </c>
      <c r="H229" s="3" t="n">
        <v>0.09</v>
      </c>
      <c r="I229" s="3" t="str">
        <f aca="false">IF(G229="","OPEN","RESOLVED")</f>
        <v>RESOLVED</v>
      </c>
      <c r="J229" s="3" t="n">
        <f aca="false">IF(C229="TIMING_MISMATCH_TIMEZONE",1,IF(ABS(D229)&gt;5000,4,IF(C229="FEE_VARIANCE_BREACH",120,IF(LEFT(C229,8)="ORPHANED",48,24))))</f>
        <v>1</v>
      </c>
      <c r="K229" s="3" t="str">
        <f aca="false">IF(H229="","",IF(H229&gt;J229,"BREACH","OK"))</f>
        <v>OK</v>
      </c>
    </row>
    <row r="230" customFormat="false" ht="15" hidden="false" customHeight="false" outlineLevel="0" collapsed="false">
      <c r="A230" s="3" t="s">
        <v>956</v>
      </c>
      <c r="B230" s="3" t="s">
        <v>957</v>
      </c>
      <c r="C230" s="3" t="s">
        <v>511</v>
      </c>
      <c r="D230" s="7" t="n">
        <v>1820.14</v>
      </c>
      <c r="E230" s="3" t="s">
        <v>512</v>
      </c>
      <c r="F230" s="8" t="n">
        <v>45638</v>
      </c>
      <c r="G230" s="9" t="n">
        <v>45638.5513035769</v>
      </c>
      <c r="H230" s="3" t="n">
        <v>3.23</v>
      </c>
      <c r="I230" s="3" t="str">
        <f aca="false">IF(G230="","OPEN","RESOLVED")</f>
        <v>RESOLVED</v>
      </c>
      <c r="J230" s="3" t="n">
        <f aca="false">IF(C230="TIMING_MISMATCH_TIMEZONE",1,IF(ABS(D230)&gt;5000,4,IF(C230="FEE_VARIANCE_BREACH",120,IF(LEFT(C230,8)="ORPHANED",48,24))))</f>
        <v>48</v>
      </c>
      <c r="K230" s="3" t="str">
        <f aca="false">IF(H230="","",IF(H230&gt;J230,"BREACH","OK"))</f>
        <v>OK</v>
      </c>
    </row>
    <row r="231" customFormat="false" ht="15" hidden="false" customHeight="false" outlineLevel="0" collapsed="false">
      <c r="A231" s="3" t="s">
        <v>958</v>
      </c>
      <c r="B231" s="3" t="s">
        <v>959</v>
      </c>
      <c r="C231" s="3" t="s">
        <v>531</v>
      </c>
      <c r="D231" s="7" t="n">
        <v>0</v>
      </c>
      <c r="E231" s="3" t="s">
        <v>512</v>
      </c>
      <c r="F231" s="8" t="n">
        <v>45639</v>
      </c>
      <c r="G231" s="9" t="n">
        <v>45639.4202460082</v>
      </c>
      <c r="H231" s="3" t="n">
        <v>0.09</v>
      </c>
      <c r="I231" s="3" t="str">
        <f aca="false">IF(G231="","OPEN","RESOLVED")</f>
        <v>RESOLVED</v>
      </c>
      <c r="J231" s="3" t="n">
        <f aca="false">IF(C231="TIMING_MISMATCH_TIMEZONE",1,IF(ABS(D231)&gt;5000,4,IF(C231="FEE_VARIANCE_BREACH",120,IF(LEFT(C231,8)="ORPHANED",48,24))))</f>
        <v>1</v>
      </c>
      <c r="K231" s="3" t="str">
        <f aca="false">IF(H231="","",IF(H231&gt;J231,"BREACH","OK"))</f>
        <v>OK</v>
      </c>
    </row>
    <row r="232" customFormat="false" ht="15" hidden="false" customHeight="false" outlineLevel="0" collapsed="false">
      <c r="A232" s="3" t="s">
        <v>960</v>
      </c>
      <c r="B232" s="3" t="s">
        <v>961</v>
      </c>
      <c r="C232" s="3" t="s">
        <v>531</v>
      </c>
      <c r="D232" s="7" t="n">
        <v>0</v>
      </c>
      <c r="E232" s="3" t="s">
        <v>512</v>
      </c>
      <c r="F232" s="8" t="n">
        <v>45639</v>
      </c>
      <c r="G232" s="9" t="n">
        <v>45639.4300671065</v>
      </c>
      <c r="H232" s="3" t="n">
        <v>0.32</v>
      </c>
      <c r="I232" s="3" t="str">
        <f aca="false">IF(G232="","OPEN","RESOLVED")</f>
        <v>RESOLVED</v>
      </c>
      <c r="J232" s="3" t="n">
        <f aca="false">IF(C232="TIMING_MISMATCH_TIMEZONE",1,IF(ABS(D232)&gt;5000,4,IF(C232="FEE_VARIANCE_BREACH",120,IF(LEFT(C232,8)="ORPHANED",48,24))))</f>
        <v>1</v>
      </c>
      <c r="K232" s="3" t="str">
        <f aca="false">IF(H232="","",IF(H232&gt;J232,"BREACH","OK"))</f>
        <v>OK</v>
      </c>
    </row>
    <row r="233" customFormat="false" ht="15" hidden="false" customHeight="false" outlineLevel="0" collapsed="false">
      <c r="A233" s="3" t="s">
        <v>962</v>
      </c>
      <c r="B233" s="3" t="s">
        <v>963</v>
      </c>
      <c r="C233" s="3" t="s">
        <v>503</v>
      </c>
      <c r="D233" s="7" t="n">
        <v>-42.01</v>
      </c>
      <c r="E233" s="3" t="s">
        <v>504</v>
      </c>
      <c r="F233" s="8" t="n">
        <v>45639</v>
      </c>
      <c r="G233" s="9" t="n">
        <v>45645.8467934916</v>
      </c>
      <c r="H233" s="3" t="n">
        <v>106.32</v>
      </c>
      <c r="I233" s="3" t="str">
        <f aca="false">IF(G233="","OPEN","RESOLVED")</f>
        <v>RESOLVED</v>
      </c>
      <c r="J233" s="3" t="n">
        <f aca="false">IF(C233="TIMING_MISMATCH_TIMEZONE",1,IF(ABS(D233)&gt;5000,4,IF(C233="FEE_VARIANCE_BREACH",120,IF(LEFT(C233,8)="ORPHANED",48,24))))</f>
        <v>48</v>
      </c>
      <c r="K233" s="3" t="str">
        <f aca="false">IF(H233="","",IF(H233&gt;J233,"BREACH","OK"))</f>
        <v>BREACH</v>
      </c>
    </row>
    <row r="234" customFormat="false" ht="15" hidden="false" customHeight="false" outlineLevel="0" collapsed="false">
      <c r="A234" s="3" t="s">
        <v>964</v>
      </c>
      <c r="B234" s="3" t="s">
        <v>965</v>
      </c>
      <c r="C234" s="3" t="s">
        <v>517</v>
      </c>
      <c r="D234" s="7" t="n">
        <v>-3</v>
      </c>
      <c r="E234" s="3" t="s">
        <v>518</v>
      </c>
      <c r="F234" s="8" t="n">
        <v>45639</v>
      </c>
      <c r="G234" s="9" t="n">
        <v>45642.914693684</v>
      </c>
      <c r="H234" s="3" t="n">
        <v>35.95</v>
      </c>
      <c r="I234" s="3" t="str">
        <f aca="false">IF(G234="","OPEN","RESOLVED")</f>
        <v>RESOLVED</v>
      </c>
      <c r="J234" s="3" t="n">
        <f aca="false">IF(C234="TIMING_MISMATCH_TIMEZONE",1,IF(ABS(D234)&gt;5000,4,IF(C234="FEE_VARIANCE_BREACH",120,IF(LEFT(C234,8)="ORPHANED",48,24))))</f>
        <v>24</v>
      </c>
      <c r="K234" s="3" t="str">
        <f aca="false">IF(H234="","",IF(H234&gt;J234,"BREACH","OK"))</f>
        <v>BREACH</v>
      </c>
    </row>
    <row r="235" customFormat="false" ht="15" hidden="false" customHeight="false" outlineLevel="0" collapsed="false">
      <c r="A235" s="3" t="s">
        <v>966</v>
      </c>
      <c r="B235" s="3" t="s">
        <v>967</v>
      </c>
      <c r="C235" s="3" t="s">
        <v>497</v>
      </c>
      <c r="D235" s="7" t="n">
        <v>-0.65</v>
      </c>
      <c r="E235" s="3" t="s">
        <v>498</v>
      </c>
      <c r="F235" s="8" t="n">
        <v>45639</v>
      </c>
      <c r="G235" s="9" t="n">
        <v>45644.3879843758</v>
      </c>
      <c r="H235" s="3" t="n">
        <v>71.31</v>
      </c>
      <c r="I235" s="3" t="str">
        <f aca="false">IF(G235="","OPEN","RESOLVED")</f>
        <v>RESOLVED</v>
      </c>
      <c r="J235" s="3" t="n">
        <f aca="false">IF(C235="TIMING_MISMATCH_TIMEZONE",1,IF(ABS(D235)&gt;5000,4,IF(C235="FEE_VARIANCE_BREACH",120,IF(LEFT(C235,8)="ORPHANED",48,24))))</f>
        <v>120</v>
      </c>
      <c r="K235" s="3" t="str">
        <f aca="false">IF(H235="","",IF(H235&gt;J235,"BREACH","OK"))</f>
        <v>OK</v>
      </c>
    </row>
    <row r="236" customFormat="false" ht="15" hidden="false" customHeight="false" outlineLevel="0" collapsed="false">
      <c r="A236" s="3" t="s">
        <v>968</v>
      </c>
      <c r="B236" s="3" t="s">
        <v>969</v>
      </c>
      <c r="C236" s="3" t="s">
        <v>531</v>
      </c>
      <c r="D236" s="7" t="n">
        <v>0</v>
      </c>
      <c r="E236" s="3" t="s">
        <v>512</v>
      </c>
      <c r="F236" s="8" t="n">
        <v>45639</v>
      </c>
      <c r="G236" s="9" t="n">
        <v>45639.4211737975</v>
      </c>
      <c r="H236" s="3" t="n">
        <v>0.11</v>
      </c>
      <c r="I236" s="3" t="str">
        <f aca="false">IF(G236="","OPEN","RESOLVED")</f>
        <v>RESOLVED</v>
      </c>
      <c r="J236" s="3" t="n">
        <f aca="false">IF(C236="TIMING_MISMATCH_TIMEZONE",1,IF(ABS(D236)&gt;5000,4,IF(C236="FEE_VARIANCE_BREACH",120,IF(LEFT(C236,8)="ORPHANED",48,24))))</f>
        <v>1</v>
      </c>
      <c r="K236" s="3" t="str">
        <f aca="false">IF(H236="","",IF(H236&gt;J236,"BREACH","OK"))</f>
        <v>OK</v>
      </c>
    </row>
    <row r="237" customFormat="false" ht="15" hidden="false" customHeight="false" outlineLevel="0" collapsed="false">
      <c r="A237" s="3" t="s">
        <v>970</v>
      </c>
      <c r="B237" s="3" t="s">
        <v>971</v>
      </c>
      <c r="C237" s="3" t="s">
        <v>511</v>
      </c>
      <c r="D237" s="7" t="n">
        <v>641.43</v>
      </c>
      <c r="E237" s="3" t="s">
        <v>512</v>
      </c>
      <c r="F237" s="8" t="n">
        <v>45639</v>
      </c>
      <c r="G237" s="9" t="n">
        <v>45642.8665152115</v>
      </c>
      <c r="H237" s="3" t="n">
        <v>34.8</v>
      </c>
      <c r="I237" s="3" t="str">
        <f aca="false">IF(G237="","OPEN","RESOLVED")</f>
        <v>RESOLVED</v>
      </c>
      <c r="J237" s="3" t="n">
        <f aca="false">IF(C237="TIMING_MISMATCH_TIMEZONE",1,IF(ABS(D237)&gt;5000,4,IF(C237="FEE_VARIANCE_BREACH",120,IF(LEFT(C237,8)="ORPHANED",48,24))))</f>
        <v>48</v>
      </c>
      <c r="K237" s="3" t="str">
        <f aca="false">IF(H237="","",IF(H237&gt;J237,"BREACH","OK"))</f>
        <v>OK</v>
      </c>
    </row>
    <row r="238" customFormat="false" ht="15" hidden="false" customHeight="false" outlineLevel="0" collapsed="false">
      <c r="A238" s="3" t="s">
        <v>972</v>
      </c>
      <c r="B238" s="3" t="s">
        <v>973</v>
      </c>
      <c r="C238" s="3" t="s">
        <v>531</v>
      </c>
      <c r="D238" s="7" t="n">
        <v>0</v>
      </c>
      <c r="E238" s="3" t="s">
        <v>512</v>
      </c>
      <c r="F238" s="8" t="n">
        <v>45639</v>
      </c>
      <c r="G238" s="9" t="n">
        <v>45639.41875</v>
      </c>
      <c r="H238" s="3" t="n">
        <v>0.05</v>
      </c>
      <c r="I238" s="3" t="str">
        <f aca="false">IF(G238="","OPEN","RESOLVED")</f>
        <v>RESOLVED</v>
      </c>
      <c r="J238" s="3" t="n">
        <f aca="false">IF(C238="TIMING_MISMATCH_TIMEZONE",1,IF(ABS(D238)&gt;5000,4,IF(C238="FEE_VARIANCE_BREACH",120,IF(LEFT(C238,8)="ORPHANED",48,24))))</f>
        <v>1</v>
      </c>
      <c r="K238" s="3" t="str">
        <f aca="false">IF(H238="","",IF(H238&gt;J238,"BREACH","OK"))</f>
        <v>OK</v>
      </c>
    </row>
    <row r="239" customFormat="false" ht="15" hidden="false" customHeight="false" outlineLevel="0" collapsed="false">
      <c r="A239" s="3" t="s">
        <v>974</v>
      </c>
      <c r="B239" s="3" t="s">
        <v>975</v>
      </c>
      <c r="C239" s="3" t="s">
        <v>511</v>
      </c>
      <c r="D239" s="7" t="n">
        <v>146.47</v>
      </c>
      <c r="E239" s="3" t="s">
        <v>512</v>
      </c>
      <c r="F239" s="8" t="n">
        <v>45639</v>
      </c>
      <c r="G239" s="9" t="n">
        <v>45642.5084747743</v>
      </c>
      <c r="H239" s="3" t="n">
        <v>26.2</v>
      </c>
      <c r="I239" s="3" t="str">
        <f aca="false">IF(G239="","OPEN","RESOLVED")</f>
        <v>RESOLVED</v>
      </c>
      <c r="J239" s="3" t="n">
        <f aca="false">IF(C239="TIMING_MISMATCH_TIMEZONE",1,IF(ABS(D239)&gt;5000,4,IF(C239="FEE_VARIANCE_BREACH",120,IF(LEFT(C239,8)="ORPHANED",48,24))))</f>
        <v>48</v>
      </c>
      <c r="K239" s="3" t="str">
        <f aca="false">IF(H239="","",IF(H239&gt;J239,"BREACH","OK"))</f>
        <v>OK</v>
      </c>
    </row>
    <row r="240" customFormat="false" ht="15" hidden="false" customHeight="false" outlineLevel="0" collapsed="false">
      <c r="A240" s="3" t="s">
        <v>976</v>
      </c>
      <c r="B240" s="3" t="s">
        <v>977</v>
      </c>
      <c r="C240" s="3" t="s">
        <v>497</v>
      </c>
      <c r="D240" s="7" t="n">
        <v>-0.64</v>
      </c>
      <c r="E240" s="3" t="s">
        <v>498</v>
      </c>
      <c r="F240" s="8" t="n">
        <v>45639</v>
      </c>
      <c r="G240" s="9" t="n">
        <v>45642.511355373</v>
      </c>
      <c r="H240" s="3" t="n">
        <v>26.27</v>
      </c>
      <c r="I240" s="3" t="str">
        <f aca="false">IF(G240="","OPEN","RESOLVED")</f>
        <v>RESOLVED</v>
      </c>
      <c r="J240" s="3" t="n">
        <f aca="false">IF(C240="TIMING_MISMATCH_TIMEZONE",1,IF(ABS(D240)&gt;5000,4,IF(C240="FEE_VARIANCE_BREACH",120,IF(LEFT(C240,8)="ORPHANED",48,24))))</f>
        <v>120</v>
      </c>
      <c r="K240" s="3" t="str">
        <f aca="false">IF(H240="","",IF(H240&gt;J240,"BREACH","OK"))</f>
        <v>OK</v>
      </c>
    </row>
    <row r="241" customFormat="false" ht="15" hidden="false" customHeight="false" outlineLevel="0" collapsed="false">
      <c r="A241" s="3" t="s">
        <v>978</v>
      </c>
      <c r="B241" s="3" t="s">
        <v>979</v>
      </c>
      <c r="C241" s="3" t="s">
        <v>531</v>
      </c>
      <c r="D241" s="7" t="n">
        <v>0</v>
      </c>
      <c r="E241" s="3" t="s">
        <v>512</v>
      </c>
      <c r="F241" s="8" t="n">
        <v>45639</v>
      </c>
      <c r="G241" s="9" t="n">
        <v>45639.4269411819</v>
      </c>
      <c r="H241" s="3" t="n">
        <v>0.25</v>
      </c>
      <c r="I241" s="3" t="str">
        <f aca="false">IF(G241="","OPEN","RESOLVED")</f>
        <v>RESOLVED</v>
      </c>
      <c r="J241" s="3" t="n">
        <f aca="false">IF(C241="TIMING_MISMATCH_TIMEZONE",1,IF(ABS(D241)&gt;5000,4,IF(C241="FEE_VARIANCE_BREACH",120,IF(LEFT(C241,8)="ORPHANED",48,24))))</f>
        <v>1</v>
      </c>
      <c r="K241" s="3" t="str">
        <f aca="false">IF(H241="","",IF(H241&gt;J241,"BREACH","OK"))</f>
        <v>OK</v>
      </c>
    </row>
    <row r="242" customFormat="false" ht="15" hidden="false" customHeight="false" outlineLevel="0" collapsed="false">
      <c r="A242" s="3" t="s">
        <v>980</v>
      </c>
      <c r="B242" s="3" t="s">
        <v>981</v>
      </c>
      <c r="C242" s="3" t="s">
        <v>531</v>
      </c>
      <c r="D242" s="7" t="n">
        <v>0</v>
      </c>
      <c r="E242" s="3" t="s">
        <v>512</v>
      </c>
      <c r="F242" s="8" t="n">
        <v>45639</v>
      </c>
      <c r="G242" s="9" t="n">
        <v>45639.41875</v>
      </c>
      <c r="H242" s="3" t="n">
        <v>0.05</v>
      </c>
      <c r="I242" s="3" t="str">
        <f aca="false">IF(G242="","OPEN","RESOLVED")</f>
        <v>RESOLVED</v>
      </c>
      <c r="J242" s="3" t="n">
        <f aca="false">IF(C242="TIMING_MISMATCH_TIMEZONE",1,IF(ABS(D242)&gt;5000,4,IF(C242="FEE_VARIANCE_BREACH",120,IF(LEFT(C242,8)="ORPHANED",48,24))))</f>
        <v>1</v>
      </c>
      <c r="K242" s="3" t="str">
        <f aca="false">IF(H242="","",IF(H242&gt;J242,"BREACH","OK"))</f>
        <v>OK</v>
      </c>
    </row>
    <row r="243" customFormat="false" ht="15" hidden="false" customHeight="false" outlineLevel="0" collapsed="false">
      <c r="A243" s="3" t="s">
        <v>982</v>
      </c>
      <c r="B243" s="3" t="s">
        <v>983</v>
      </c>
      <c r="C243" s="3" t="s">
        <v>531</v>
      </c>
      <c r="D243" s="7" t="n">
        <v>0</v>
      </c>
      <c r="E243" s="3" t="s">
        <v>512</v>
      </c>
      <c r="F243" s="8" t="n">
        <v>45639</v>
      </c>
      <c r="G243" s="9" t="n">
        <v>45639.4284558462</v>
      </c>
      <c r="H243" s="3" t="n">
        <v>0.28</v>
      </c>
      <c r="I243" s="3" t="str">
        <f aca="false">IF(G243="","OPEN","RESOLVED")</f>
        <v>RESOLVED</v>
      </c>
      <c r="J243" s="3" t="n">
        <f aca="false">IF(C243="TIMING_MISMATCH_TIMEZONE",1,IF(ABS(D243)&gt;5000,4,IF(C243="FEE_VARIANCE_BREACH",120,IF(LEFT(C243,8)="ORPHANED",48,24))))</f>
        <v>1</v>
      </c>
      <c r="K243" s="3" t="str">
        <f aca="false">IF(H243="","",IF(H243&gt;J243,"BREACH","OK"))</f>
        <v>OK</v>
      </c>
    </row>
    <row r="244" customFormat="false" ht="15" hidden="false" customHeight="false" outlineLevel="0" collapsed="false">
      <c r="A244" s="3" t="s">
        <v>984</v>
      </c>
      <c r="B244" s="3" t="s">
        <v>985</v>
      </c>
      <c r="C244" s="3" t="s">
        <v>497</v>
      </c>
      <c r="D244" s="7" t="n">
        <v>-1.04</v>
      </c>
      <c r="E244" s="3" t="s">
        <v>498</v>
      </c>
      <c r="F244" s="8" t="n">
        <v>45639</v>
      </c>
      <c r="G244" s="9" t="n">
        <v>45649.0406994336</v>
      </c>
      <c r="H244" s="3" t="n">
        <v>134.98</v>
      </c>
      <c r="I244" s="3" t="str">
        <f aca="false">IF(G244="","OPEN","RESOLVED")</f>
        <v>RESOLVED</v>
      </c>
      <c r="J244" s="3" t="n">
        <f aca="false">IF(C244="TIMING_MISMATCH_TIMEZONE",1,IF(ABS(D244)&gt;5000,4,IF(C244="FEE_VARIANCE_BREACH",120,IF(LEFT(C244,8)="ORPHANED",48,24))))</f>
        <v>120</v>
      </c>
      <c r="K244" s="3" t="str">
        <f aca="false">IF(H244="","",IF(H244&gt;J244,"BREACH","OK"))</f>
        <v>BREACH</v>
      </c>
    </row>
    <row r="245" customFormat="false" ht="15" hidden="false" customHeight="false" outlineLevel="0" collapsed="false">
      <c r="A245" s="3" t="s">
        <v>986</v>
      </c>
      <c r="B245" s="3" t="s">
        <v>987</v>
      </c>
      <c r="C245" s="3" t="s">
        <v>517</v>
      </c>
      <c r="D245" s="7" t="n">
        <v>-12</v>
      </c>
      <c r="E245" s="3" t="s">
        <v>518</v>
      </c>
      <c r="F245" s="8" t="n">
        <v>45639</v>
      </c>
      <c r="G245" s="9" t="n">
        <v>45643.4191632099</v>
      </c>
      <c r="H245" s="3" t="n">
        <v>48.06</v>
      </c>
      <c r="I245" s="3" t="str">
        <f aca="false">IF(G245="","OPEN","RESOLVED")</f>
        <v>RESOLVED</v>
      </c>
      <c r="J245" s="3" t="n">
        <f aca="false">IF(C245="TIMING_MISMATCH_TIMEZONE",1,IF(ABS(D245)&gt;5000,4,IF(C245="FEE_VARIANCE_BREACH",120,IF(LEFT(C245,8)="ORPHANED",48,24))))</f>
        <v>24</v>
      </c>
      <c r="K245" s="3" t="str">
        <f aca="false">IF(H245="","",IF(H245&gt;J245,"BREACH","OK"))</f>
        <v>BREACH</v>
      </c>
    </row>
    <row r="246" customFormat="false" ht="15" hidden="false" customHeight="false" outlineLevel="0" collapsed="false">
      <c r="A246" s="3" t="s">
        <v>988</v>
      </c>
      <c r="B246" s="3" t="s">
        <v>989</v>
      </c>
      <c r="C246" s="3" t="s">
        <v>503</v>
      </c>
      <c r="D246" s="7" t="n">
        <v>-207.5</v>
      </c>
      <c r="E246" s="3" t="s">
        <v>504</v>
      </c>
      <c r="F246" s="8" t="n">
        <v>45639</v>
      </c>
      <c r="G246" s="9" t="n">
        <v>45643.4709819263</v>
      </c>
      <c r="H246" s="3" t="n">
        <v>49.3</v>
      </c>
      <c r="I246" s="3" t="str">
        <f aca="false">IF(G246="","OPEN","RESOLVED")</f>
        <v>RESOLVED</v>
      </c>
      <c r="J246" s="3" t="n">
        <f aca="false">IF(C246="TIMING_MISMATCH_TIMEZONE",1,IF(ABS(D246)&gt;5000,4,IF(C246="FEE_VARIANCE_BREACH",120,IF(LEFT(C246,8)="ORPHANED",48,24))))</f>
        <v>48</v>
      </c>
      <c r="K246" s="3" t="str">
        <f aca="false">IF(H246="","",IF(H246&gt;J246,"BREACH","OK"))</f>
        <v>BREACH</v>
      </c>
    </row>
    <row r="247" customFormat="false" ht="15" hidden="false" customHeight="false" outlineLevel="0" collapsed="false">
      <c r="A247" s="3" t="s">
        <v>990</v>
      </c>
      <c r="B247" s="3" t="s">
        <v>991</v>
      </c>
      <c r="C247" s="3" t="s">
        <v>511</v>
      </c>
      <c r="D247" s="7" t="n">
        <v>111.21</v>
      </c>
      <c r="E247" s="3" t="s">
        <v>512</v>
      </c>
      <c r="F247" s="8" t="n">
        <v>45639</v>
      </c>
      <c r="G247" s="9" t="n">
        <v>45642.8908629625</v>
      </c>
      <c r="H247" s="3" t="n">
        <v>35.38</v>
      </c>
      <c r="I247" s="3" t="str">
        <f aca="false">IF(G247="","OPEN","RESOLVED")</f>
        <v>RESOLVED</v>
      </c>
      <c r="J247" s="3" t="n">
        <f aca="false">IF(C247="TIMING_MISMATCH_TIMEZONE",1,IF(ABS(D247)&gt;5000,4,IF(C247="FEE_VARIANCE_BREACH",120,IF(LEFT(C247,8)="ORPHANED",48,24))))</f>
        <v>48</v>
      </c>
      <c r="K247" s="3" t="str">
        <f aca="false">IF(H247="","",IF(H247&gt;J247,"BREACH","OK"))</f>
        <v>OK</v>
      </c>
    </row>
    <row r="248" customFormat="false" ht="15" hidden="false" customHeight="false" outlineLevel="0" collapsed="false">
      <c r="A248" s="3" t="s">
        <v>992</v>
      </c>
      <c r="B248" s="3" t="s">
        <v>993</v>
      </c>
      <c r="C248" s="3" t="s">
        <v>511</v>
      </c>
      <c r="D248" s="7" t="n">
        <v>632.65</v>
      </c>
      <c r="E248" s="3" t="s">
        <v>512</v>
      </c>
      <c r="F248" s="8" t="n">
        <v>45642</v>
      </c>
      <c r="G248" s="9" t="n">
        <v>45644.222050853</v>
      </c>
      <c r="H248" s="3" t="n">
        <v>43.33</v>
      </c>
      <c r="I248" s="3" t="str">
        <f aca="false">IF(G248="","OPEN","RESOLVED")</f>
        <v>RESOLVED</v>
      </c>
      <c r="J248" s="3" t="n">
        <f aca="false">IF(C248="TIMING_MISMATCH_TIMEZONE",1,IF(ABS(D248)&gt;5000,4,IF(C248="FEE_VARIANCE_BREACH",120,IF(LEFT(C248,8)="ORPHANED",48,24))))</f>
        <v>48</v>
      </c>
      <c r="K248" s="3" t="str">
        <f aca="false">IF(H248="","",IF(H248&gt;J248,"BREACH","OK"))</f>
        <v>OK</v>
      </c>
    </row>
    <row r="249" customFormat="false" ht="15" hidden="false" customHeight="false" outlineLevel="0" collapsed="false">
      <c r="A249" s="3" t="s">
        <v>994</v>
      </c>
      <c r="B249" s="3" t="s">
        <v>995</v>
      </c>
      <c r="C249" s="3" t="s">
        <v>531</v>
      </c>
      <c r="D249" s="7" t="n">
        <v>0</v>
      </c>
      <c r="E249" s="3" t="s">
        <v>512</v>
      </c>
      <c r="F249" s="8" t="n">
        <v>45642</v>
      </c>
      <c r="G249" s="9" t="n">
        <v>45642.4321719136</v>
      </c>
      <c r="H249" s="3" t="n">
        <v>0.37</v>
      </c>
      <c r="I249" s="3" t="str">
        <f aca="false">IF(G249="","OPEN","RESOLVED")</f>
        <v>RESOLVED</v>
      </c>
      <c r="J249" s="3" t="n">
        <f aca="false">IF(C249="TIMING_MISMATCH_TIMEZONE",1,IF(ABS(D249)&gt;5000,4,IF(C249="FEE_VARIANCE_BREACH",120,IF(LEFT(C249,8)="ORPHANED",48,24))))</f>
        <v>1</v>
      </c>
      <c r="K249" s="3" t="str">
        <f aca="false">IF(H249="","",IF(H249&gt;J249,"BREACH","OK"))</f>
        <v>OK</v>
      </c>
    </row>
    <row r="250" customFormat="false" ht="15" hidden="false" customHeight="false" outlineLevel="0" collapsed="false">
      <c r="A250" s="3" t="s">
        <v>996</v>
      </c>
      <c r="B250" s="3" t="s">
        <v>997</v>
      </c>
      <c r="C250" s="3" t="s">
        <v>531</v>
      </c>
      <c r="D250" s="7" t="n">
        <v>0</v>
      </c>
      <c r="E250" s="3" t="s">
        <v>512</v>
      </c>
      <c r="F250" s="8" t="n">
        <v>45642</v>
      </c>
      <c r="G250" s="9" t="n">
        <v>45642.4314116272</v>
      </c>
      <c r="H250" s="3" t="n">
        <v>0.35</v>
      </c>
      <c r="I250" s="3" t="str">
        <f aca="false">IF(G250="","OPEN","RESOLVED")</f>
        <v>RESOLVED</v>
      </c>
      <c r="J250" s="3" t="n">
        <f aca="false">IF(C250="TIMING_MISMATCH_TIMEZONE",1,IF(ABS(D250)&gt;5000,4,IF(C250="FEE_VARIANCE_BREACH",120,IF(LEFT(C250,8)="ORPHANED",48,24))))</f>
        <v>1</v>
      </c>
      <c r="K250" s="3" t="str">
        <f aca="false">IF(H250="","",IF(H250&gt;J250,"BREACH","OK"))</f>
        <v>OK</v>
      </c>
    </row>
    <row r="251" customFormat="false" ht="15" hidden="false" customHeight="false" outlineLevel="0" collapsed="false">
      <c r="A251" s="3" t="s">
        <v>998</v>
      </c>
      <c r="B251" s="3" t="s">
        <v>999</v>
      </c>
      <c r="C251" s="3" t="s">
        <v>531</v>
      </c>
      <c r="D251" s="7" t="n">
        <v>0</v>
      </c>
      <c r="E251" s="3" t="s">
        <v>512</v>
      </c>
      <c r="F251" s="8" t="n">
        <v>45642</v>
      </c>
      <c r="G251" s="9" t="n">
        <v>45642.41875</v>
      </c>
      <c r="H251" s="3" t="n">
        <v>0.05</v>
      </c>
      <c r="I251" s="3" t="str">
        <f aca="false">IF(G251="","OPEN","RESOLVED")</f>
        <v>RESOLVED</v>
      </c>
      <c r="J251" s="3" t="n">
        <f aca="false">IF(C251="TIMING_MISMATCH_TIMEZONE",1,IF(ABS(D251)&gt;5000,4,IF(C251="FEE_VARIANCE_BREACH",120,IF(LEFT(C251,8)="ORPHANED",48,24))))</f>
        <v>1</v>
      </c>
      <c r="K251" s="3" t="str">
        <f aca="false">IF(H251="","",IF(H251&gt;J251,"BREACH","OK"))</f>
        <v>OK</v>
      </c>
    </row>
    <row r="252" customFormat="false" ht="15" hidden="false" customHeight="false" outlineLevel="0" collapsed="false">
      <c r="A252" s="3" t="s">
        <v>1000</v>
      </c>
      <c r="B252" s="3" t="s">
        <v>1001</v>
      </c>
      <c r="C252" s="3" t="s">
        <v>531</v>
      </c>
      <c r="D252" s="7" t="n">
        <v>0</v>
      </c>
      <c r="E252" s="3" t="s">
        <v>512</v>
      </c>
      <c r="F252" s="8" t="n">
        <v>45642</v>
      </c>
      <c r="G252" s="9" t="n">
        <v>45642.4224621838</v>
      </c>
      <c r="H252" s="3" t="n">
        <v>0.14</v>
      </c>
      <c r="I252" s="3" t="str">
        <f aca="false">IF(G252="","OPEN","RESOLVED")</f>
        <v>RESOLVED</v>
      </c>
      <c r="J252" s="3" t="n">
        <f aca="false">IF(C252="TIMING_MISMATCH_TIMEZONE",1,IF(ABS(D252)&gt;5000,4,IF(C252="FEE_VARIANCE_BREACH",120,IF(LEFT(C252,8)="ORPHANED",48,24))))</f>
        <v>1</v>
      </c>
      <c r="K252" s="3" t="str">
        <f aca="false">IF(H252="","",IF(H252&gt;J252,"BREACH","OK"))</f>
        <v>OK</v>
      </c>
    </row>
    <row r="253" customFormat="false" ht="15" hidden="false" customHeight="false" outlineLevel="0" collapsed="false">
      <c r="A253" s="3" t="s">
        <v>1002</v>
      </c>
      <c r="B253" s="3" t="s">
        <v>1003</v>
      </c>
      <c r="C253" s="3" t="s">
        <v>531</v>
      </c>
      <c r="D253" s="7" t="n">
        <v>0</v>
      </c>
      <c r="E253" s="3" t="s">
        <v>512</v>
      </c>
      <c r="F253" s="8" t="n">
        <v>45642</v>
      </c>
      <c r="G253" s="9" t="n">
        <v>45642.4284295882</v>
      </c>
      <c r="H253" s="3" t="n">
        <v>0.28</v>
      </c>
      <c r="I253" s="3" t="str">
        <f aca="false">IF(G253="","OPEN","RESOLVED")</f>
        <v>RESOLVED</v>
      </c>
      <c r="J253" s="3" t="n">
        <f aca="false">IF(C253="TIMING_MISMATCH_TIMEZONE",1,IF(ABS(D253)&gt;5000,4,IF(C253="FEE_VARIANCE_BREACH",120,IF(LEFT(C253,8)="ORPHANED",48,24))))</f>
        <v>1</v>
      </c>
      <c r="K253" s="3" t="str">
        <f aca="false">IF(H253="","",IF(H253&gt;J253,"BREACH","OK"))</f>
        <v>OK</v>
      </c>
    </row>
    <row r="254" customFormat="false" ht="15" hidden="false" customHeight="false" outlineLevel="0" collapsed="false">
      <c r="A254" s="3" t="s">
        <v>1004</v>
      </c>
      <c r="B254" s="3" t="s">
        <v>1005</v>
      </c>
      <c r="C254" s="3" t="s">
        <v>531</v>
      </c>
      <c r="D254" s="7" t="n">
        <v>0</v>
      </c>
      <c r="E254" s="3" t="s">
        <v>512</v>
      </c>
      <c r="F254" s="8" t="n">
        <v>45642</v>
      </c>
      <c r="G254" s="9" t="n">
        <v>45642.4279812373</v>
      </c>
      <c r="H254" s="3" t="n">
        <v>0.27</v>
      </c>
      <c r="I254" s="3" t="str">
        <f aca="false">IF(G254="","OPEN","RESOLVED")</f>
        <v>RESOLVED</v>
      </c>
      <c r="J254" s="3" t="n">
        <f aca="false">IF(C254="TIMING_MISMATCH_TIMEZONE",1,IF(ABS(D254)&gt;5000,4,IF(C254="FEE_VARIANCE_BREACH",120,IF(LEFT(C254,8)="ORPHANED",48,24))))</f>
        <v>1</v>
      </c>
      <c r="K254" s="3" t="str">
        <f aca="false">IF(H254="","",IF(H254&gt;J254,"BREACH","OK"))</f>
        <v>OK</v>
      </c>
    </row>
    <row r="255" customFormat="false" ht="15" hidden="false" customHeight="false" outlineLevel="0" collapsed="false">
      <c r="A255" s="3" t="s">
        <v>1006</v>
      </c>
      <c r="B255" s="3" t="s">
        <v>1007</v>
      </c>
      <c r="C255" s="3" t="s">
        <v>531</v>
      </c>
      <c r="D255" s="7" t="n">
        <v>0</v>
      </c>
      <c r="E255" s="3" t="s">
        <v>512</v>
      </c>
      <c r="F255" s="8" t="n">
        <v>45642</v>
      </c>
      <c r="G255" s="9" t="n">
        <v>45642.4237402139</v>
      </c>
      <c r="H255" s="3" t="n">
        <v>0.17</v>
      </c>
      <c r="I255" s="3" t="str">
        <f aca="false">IF(G255="","OPEN","RESOLVED")</f>
        <v>RESOLVED</v>
      </c>
      <c r="J255" s="3" t="n">
        <f aca="false">IF(C255="TIMING_MISMATCH_TIMEZONE",1,IF(ABS(D255)&gt;5000,4,IF(C255="FEE_VARIANCE_BREACH",120,IF(LEFT(C255,8)="ORPHANED",48,24))))</f>
        <v>1</v>
      </c>
      <c r="K255" s="3" t="str">
        <f aca="false">IF(H255="","",IF(H255&gt;J255,"BREACH","OK"))</f>
        <v>OK</v>
      </c>
    </row>
    <row r="256" customFormat="false" ht="15" hidden="false" customHeight="false" outlineLevel="0" collapsed="false">
      <c r="A256" s="3" t="s">
        <v>1008</v>
      </c>
      <c r="B256" s="3" t="s">
        <v>1009</v>
      </c>
      <c r="C256" s="3" t="s">
        <v>531</v>
      </c>
      <c r="D256" s="7" t="n">
        <v>0</v>
      </c>
      <c r="E256" s="3" t="s">
        <v>512</v>
      </c>
      <c r="F256" s="8" t="n">
        <v>45642</v>
      </c>
      <c r="G256" s="9" t="n">
        <v>45642.4287917093</v>
      </c>
      <c r="H256" s="3" t="n">
        <v>0.29</v>
      </c>
      <c r="I256" s="3" t="str">
        <f aca="false">IF(G256="","OPEN","RESOLVED")</f>
        <v>RESOLVED</v>
      </c>
      <c r="J256" s="3" t="n">
        <f aca="false">IF(C256="TIMING_MISMATCH_TIMEZONE",1,IF(ABS(D256)&gt;5000,4,IF(C256="FEE_VARIANCE_BREACH",120,IF(LEFT(C256,8)="ORPHANED",48,24))))</f>
        <v>1</v>
      </c>
      <c r="K256" s="3" t="str">
        <f aca="false">IF(H256="","",IF(H256&gt;J256,"BREACH","OK"))</f>
        <v>OK</v>
      </c>
    </row>
    <row r="257" customFormat="false" ht="15" hidden="false" customHeight="false" outlineLevel="0" collapsed="false">
      <c r="A257" s="3" t="s">
        <v>1010</v>
      </c>
      <c r="B257" s="3" t="s">
        <v>1011</v>
      </c>
      <c r="C257" s="3" t="s">
        <v>531</v>
      </c>
      <c r="D257" s="7" t="n">
        <v>0</v>
      </c>
      <c r="E257" s="3" t="s">
        <v>512</v>
      </c>
      <c r="F257" s="8" t="n">
        <v>45642</v>
      </c>
      <c r="G257" s="9" t="n">
        <v>45642.4241290495</v>
      </c>
      <c r="H257" s="3" t="n">
        <v>0.18</v>
      </c>
      <c r="I257" s="3" t="str">
        <f aca="false">IF(G257="","OPEN","RESOLVED")</f>
        <v>RESOLVED</v>
      </c>
      <c r="J257" s="3" t="n">
        <f aca="false">IF(C257="TIMING_MISMATCH_TIMEZONE",1,IF(ABS(D257)&gt;5000,4,IF(C257="FEE_VARIANCE_BREACH",120,IF(LEFT(C257,8)="ORPHANED",48,24))))</f>
        <v>1</v>
      </c>
      <c r="K257" s="3" t="str">
        <f aca="false">IF(H257="","",IF(H257&gt;J257,"BREACH","OK"))</f>
        <v>OK</v>
      </c>
    </row>
    <row r="258" customFormat="false" ht="15" hidden="false" customHeight="false" outlineLevel="0" collapsed="false">
      <c r="A258" s="3" t="s">
        <v>1012</v>
      </c>
      <c r="B258" s="3" t="s">
        <v>1013</v>
      </c>
      <c r="C258" s="3" t="s">
        <v>497</v>
      </c>
      <c r="D258" s="7" t="n">
        <v>-0.56</v>
      </c>
      <c r="E258" s="3" t="s">
        <v>498</v>
      </c>
      <c r="F258" s="8" t="n">
        <v>45642</v>
      </c>
      <c r="G258" s="9" t="n">
        <v>45644.2429860862</v>
      </c>
      <c r="H258" s="3" t="n">
        <v>43.83</v>
      </c>
      <c r="I258" s="3" t="str">
        <f aca="false">IF(G258="","OPEN","RESOLVED")</f>
        <v>RESOLVED</v>
      </c>
      <c r="J258" s="3" t="n">
        <f aca="false">IF(C258="TIMING_MISMATCH_TIMEZONE",1,IF(ABS(D258)&gt;5000,4,IF(C258="FEE_VARIANCE_BREACH",120,IF(LEFT(C258,8)="ORPHANED",48,24))))</f>
        <v>120</v>
      </c>
      <c r="K258" s="3" t="str">
        <f aca="false">IF(H258="","",IF(H258&gt;J258,"BREACH","OK"))</f>
        <v>OK</v>
      </c>
    </row>
    <row r="259" customFormat="false" ht="15" hidden="false" customHeight="false" outlineLevel="0" collapsed="false">
      <c r="A259" s="3" t="s">
        <v>1014</v>
      </c>
      <c r="B259" s="3" t="s">
        <v>1015</v>
      </c>
      <c r="C259" s="3" t="s">
        <v>497</v>
      </c>
      <c r="D259" s="7" t="n">
        <v>-1.28</v>
      </c>
      <c r="E259" s="3" t="s">
        <v>498</v>
      </c>
      <c r="F259" s="8" t="n">
        <v>45642</v>
      </c>
      <c r="G259" s="9" t="n">
        <v>45649.0773266286</v>
      </c>
      <c r="H259" s="3" t="n">
        <v>111.86</v>
      </c>
      <c r="I259" s="3" t="str">
        <f aca="false">IF(G259="","OPEN","RESOLVED")</f>
        <v>RESOLVED</v>
      </c>
      <c r="J259" s="3" t="n">
        <f aca="false">IF(C259="TIMING_MISMATCH_TIMEZONE",1,IF(ABS(D259)&gt;5000,4,IF(C259="FEE_VARIANCE_BREACH",120,IF(LEFT(C259,8)="ORPHANED",48,24))))</f>
        <v>120</v>
      </c>
      <c r="K259" s="3" t="str">
        <f aca="false">IF(H259="","",IF(H259&gt;J259,"BREACH","OK"))</f>
        <v>OK</v>
      </c>
    </row>
    <row r="260" customFormat="false" ht="15" hidden="false" customHeight="false" outlineLevel="0" collapsed="false">
      <c r="A260" s="3" t="s">
        <v>1016</v>
      </c>
      <c r="B260" s="3" t="s">
        <v>1017</v>
      </c>
      <c r="C260" s="3" t="s">
        <v>503</v>
      </c>
      <c r="D260" s="7" t="n">
        <v>-95.05</v>
      </c>
      <c r="E260" s="3" t="s">
        <v>504</v>
      </c>
      <c r="F260" s="8" t="n">
        <v>45642</v>
      </c>
      <c r="G260" s="9" t="n">
        <v>45645.8685437617</v>
      </c>
      <c r="H260" s="3" t="n">
        <v>82.85</v>
      </c>
      <c r="I260" s="3" t="str">
        <f aca="false">IF(G260="","OPEN","RESOLVED")</f>
        <v>RESOLVED</v>
      </c>
      <c r="J260" s="3" t="n">
        <f aca="false">IF(C260="TIMING_MISMATCH_TIMEZONE",1,IF(ABS(D260)&gt;5000,4,IF(C260="FEE_VARIANCE_BREACH",120,IF(LEFT(C260,8)="ORPHANED",48,24))))</f>
        <v>48</v>
      </c>
      <c r="K260" s="3" t="str">
        <f aca="false">IF(H260="","",IF(H260&gt;J260,"BREACH","OK"))</f>
        <v>BREACH</v>
      </c>
    </row>
    <row r="261" customFormat="false" ht="15" hidden="false" customHeight="false" outlineLevel="0" collapsed="false">
      <c r="A261" s="3" t="s">
        <v>1018</v>
      </c>
      <c r="B261" s="3" t="s">
        <v>1019</v>
      </c>
      <c r="C261" s="3" t="s">
        <v>511</v>
      </c>
      <c r="D261" s="7" t="n">
        <v>769.84</v>
      </c>
      <c r="E261" s="3" t="s">
        <v>512</v>
      </c>
      <c r="F261" s="8" t="n">
        <v>45642</v>
      </c>
      <c r="G261" s="9" t="n">
        <v>45643.0476634734</v>
      </c>
      <c r="H261" s="3" t="n">
        <v>15.14</v>
      </c>
      <c r="I261" s="3" t="str">
        <f aca="false">IF(G261="","OPEN","RESOLVED")</f>
        <v>RESOLVED</v>
      </c>
      <c r="J261" s="3" t="n">
        <f aca="false">IF(C261="TIMING_MISMATCH_TIMEZONE",1,IF(ABS(D261)&gt;5000,4,IF(C261="FEE_VARIANCE_BREACH",120,IF(LEFT(C261,8)="ORPHANED",48,24))))</f>
        <v>48</v>
      </c>
      <c r="K261" s="3" t="str">
        <f aca="false">IF(H261="","",IF(H261&gt;J261,"BREACH","OK"))</f>
        <v>OK</v>
      </c>
    </row>
    <row r="262" customFormat="false" ht="15" hidden="false" customHeight="false" outlineLevel="0" collapsed="false">
      <c r="A262" s="3" t="s">
        <v>1020</v>
      </c>
      <c r="B262" s="3" t="s">
        <v>1021</v>
      </c>
      <c r="C262" s="3" t="s">
        <v>531</v>
      </c>
      <c r="D262" s="7" t="n">
        <v>0</v>
      </c>
      <c r="E262" s="3" t="s">
        <v>512</v>
      </c>
      <c r="F262" s="8" t="n">
        <v>45642</v>
      </c>
      <c r="G262" s="9" t="n">
        <v>45642.4196093428</v>
      </c>
      <c r="H262" s="3" t="n">
        <v>0.07</v>
      </c>
      <c r="I262" s="3" t="str">
        <f aca="false">IF(G262="","OPEN","RESOLVED")</f>
        <v>RESOLVED</v>
      </c>
      <c r="J262" s="3" t="n">
        <f aca="false">IF(C262="TIMING_MISMATCH_TIMEZONE",1,IF(ABS(D262)&gt;5000,4,IF(C262="FEE_VARIANCE_BREACH",120,IF(LEFT(C262,8)="ORPHANED",48,24))))</f>
        <v>1</v>
      </c>
      <c r="K262" s="3" t="str">
        <f aca="false">IF(H262="","",IF(H262&gt;J262,"BREACH","OK"))</f>
        <v>OK</v>
      </c>
    </row>
    <row r="263" customFormat="false" ht="15" hidden="false" customHeight="false" outlineLevel="0" collapsed="false">
      <c r="A263" s="3" t="s">
        <v>1022</v>
      </c>
      <c r="B263" s="3" t="s">
        <v>1023</v>
      </c>
      <c r="C263" s="3" t="s">
        <v>511</v>
      </c>
      <c r="D263" s="7" t="n">
        <v>669.96</v>
      </c>
      <c r="E263" s="3" t="s">
        <v>512</v>
      </c>
      <c r="F263" s="8" t="n">
        <v>45642</v>
      </c>
      <c r="G263" s="9" t="n">
        <v>45644.5274881171</v>
      </c>
      <c r="H263" s="3" t="n">
        <v>50.66</v>
      </c>
      <c r="I263" s="3" t="str">
        <f aca="false">IF(G263="","OPEN","RESOLVED")</f>
        <v>RESOLVED</v>
      </c>
      <c r="J263" s="3" t="n">
        <f aca="false">IF(C263="TIMING_MISMATCH_TIMEZONE",1,IF(ABS(D263)&gt;5000,4,IF(C263="FEE_VARIANCE_BREACH",120,IF(LEFT(C263,8)="ORPHANED",48,24))))</f>
        <v>48</v>
      </c>
      <c r="K263" s="3" t="str">
        <f aca="false">IF(H263="","",IF(H263&gt;J263,"BREACH","OK"))</f>
        <v>BREACH</v>
      </c>
    </row>
    <row r="264" customFormat="false" ht="15" hidden="false" customHeight="false" outlineLevel="0" collapsed="false">
      <c r="A264" s="3" t="s">
        <v>1024</v>
      </c>
      <c r="B264" s="3" t="s">
        <v>1025</v>
      </c>
      <c r="C264" s="3" t="s">
        <v>517</v>
      </c>
      <c r="D264" s="7" t="n">
        <v>-45</v>
      </c>
      <c r="E264" s="3" t="s">
        <v>518</v>
      </c>
      <c r="F264" s="8" t="n">
        <v>45642</v>
      </c>
      <c r="G264" s="9" t="n">
        <v>45643.4783040771</v>
      </c>
      <c r="H264" s="3" t="n">
        <v>25.48</v>
      </c>
      <c r="I264" s="3" t="str">
        <f aca="false">IF(G264="","OPEN","RESOLVED")</f>
        <v>RESOLVED</v>
      </c>
      <c r="J264" s="3" t="n">
        <f aca="false">IF(C264="TIMING_MISMATCH_TIMEZONE",1,IF(ABS(D264)&gt;5000,4,IF(C264="FEE_VARIANCE_BREACH",120,IF(LEFT(C264,8)="ORPHANED",48,24))))</f>
        <v>24</v>
      </c>
      <c r="K264" s="3" t="str">
        <f aca="false">IF(H264="","",IF(H264&gt;J264,"BREACH","OK"))</f>
        <v>BREACH</v>
      </c>
    </row>
    <row r="265" customFormat="false" ht="15" hidden="false" customHeight="false" outlineLevel="0" collapsed="false">
      <c r="A265" s="3" t="s">
        <v>1026</v>
      </c>
      <c r="B265" s="3" t="s">
        <v>1027</v>
      </c>
      <c r="C265" s="3" t="s">
        <v>497</v>
      </c>
      <c r="D265" s="7" t="n">
        <v>-3.88</v>
      </c>
      <c r="E265" s="3" t="s">
        <v>498</v>
      </c>
      <c r="F265" s="8" t="n">
        <v>45642</v>
      </c>
      <c r="G265" s="9" t="n">
        <v>45645.2011188487</v>
      </c>
      <c r="H265" s="3" t="n">
        <v>66.83</v>
      </c>
      <c r="I265" s="3" t="str">
        <f aca="false">IF(G265="","OPEN","RESOLVED")</f>
        <v>RESOLVED</v>
      </c>
      <c r="J265" s="3" t="n">
        <f aca="false">IF(C265="TIMING_MISMATCH_TIMEZONE",1,IF(ABS(D265)&gt;5000,4,IF(C265="FEE_VARIANCE_BREACH",120,IF(LEFT(C265,8)="ORPHANED",48,24))))</f>
        <v>120</v>
      </c>
      <c r="K265" s="3" t="str">
        <f aca="false">IF(H265="","",IF(H265&gt;J265,"BREACH","OK"))</f>
        <v>OK</v>
      </c>
    </row>
    <row r="266" customFormat="false" ht="15" hidden="false" customHeight="false" outlineLevel="0" collapsed="false">
      <c r="A266" s="3" t="s">
        <v>1028</v>
      </c>
      <c r="B266" s="3" t="s">
        <v>1029</v>
      </c>
      <c r="C266" s="3" t="s">
        <v>531</v>
      </c>
      <c r="D266" s="7" t="n">
        <v>0</v>
      </c>
      <c r="E266" s="3" t="s">
        <v>512</v>
      </c>
      <c r="F266" s="8" t="n">
        <v>45642</v>
      </c>
      <c r="G266" s="9" t="n">
        <v>45642.4235976847</v>
      </c>
      <c r="H266" s="3" t="n">
        <v>0.17</v>
      </c>
      <c r="I266" s="3" t="str">
        <f aca="false">IF(G266="","OPEN","RESOLVED")</f>
        <v>RESOLVED</v>
      </c>
      <c r="J266" s="3" t="n">
        <f aca="false">IF(C266="TIMING_MISMATCH_TIMEZONE",1,IF(ABS(D266)&gt;5000,4,IF(C266="FEE_VARIANCE_BREACH",120,IF(LEFT(C266,8)="ORPHANED",48,24))))</f>
        <v>1</v>
      </c>
      <c r="K266" s="3" t="str">
        <f aca="false">IF(H266="","",IF(H266&gt;J266,"BREACH","OK"))</f>
        <v>OK</v>
      </c>
    </row>
    <row r="267" customFormat="false" ht="15" hidden="false" customHeight="false" outlineLevel="0" collapsed="false">
      <c r="A267" s="3" t="s">
        <v>1030</v>
      </c>
      <c r="B267" s="3" t="s">
        <v>1031</v>
      </c>
      <c r="C267" s="3" t="s">
        <v>497</v>
      </c>
      <c r="D267" s="7" t="n">
        <v>-1.69</v>
      </c>
      <c r="E267" s="3" t="s">
        <v>498</v>
      </c>
      <c r="F267" s="8" t="n">
        <v>45642</v>
      </c>
      <c r="G267" s="9" t="n">
        <v>45646.3289301726</v>
      </c>
      <c r="H267" s="3" t="n">
        <v>93.89</v>
      </c>
      <c r="I267" s="3" t="str">
        <f aca="false">IF(G267="","OPEN","RESOLVED")</f>
        <v>RESOLVED</v>
      </c>
      <c r="J267" s="3" t="n">
        <f aca="false">IF(C267="TIMING_MISMATCH_TIMEZONE",1,IF(ABS(D267)&gt;5000,4,IF(C267="FEE_VARIANCE_BREACH",120,IF(LEFT(C267,8)="ORPHANED",48,24))))</f>
        <v>120</v>
      </c>
      <c r="K267" s="3" t="str">
        <f aca="false">IF(H267="","",IF(H267&gt;J267,"BREACH","OK"))</f>
        <v>OK</v>
      </c>
    </row>
    <row r="268" customFormat="false" ht="15" hidden="false" customHeight="false" outlineLevel="0" collapsed="false">
      <c r="A268" s="3" t="s">
        <v>1032</v>
      </c>
      <c r="B268" s="3" t="s">
        <v>1033</v>
      </c>
      <c r="C268" s="3" t="s">
        <v>531</v>
      </c>
      <c r="D268" s="7" t="n">
        <v>0</v>
      </c>
      <c r="E268" s="3" t="s">
        <v>512</v>
      </c>
      <c r="F268" s="8" t="n">
        <v>45642</v>
      </c>
      <c r="G268" s="9" t="n">
        <v>45642.4311962723</v>
      </c>
      <c r="H268" s="3" t="n">
        <v>0.35</v>
      </c>
      <c r="I268" s="3" t="str">
        <f aca="false">IF(G268="","OPEN","RESOLVED")</f>
        <v>RESOLVED</v>
      </c>
      <c r="J268" s="3" t="n">
        <f aca="false">IF(C268="TIMING_MISMATCH_TIMEZONE",1,IF(ABS(D268)&gt;5000,4,IF(C268="FEE_VARIANCE_BREACH",120,IF(LEFT(C268,8)="ORPHANED",48,24))))</f>
        <v>1</v>
      </c>
      <c r="K268" s="3" t="str">
        <f aca="false">IF(H268="","",IF(H268&gt;J268,"BREACH","OK"))</f>
        <v>OK</v>
      </c>
    </row>
    <row r="269" customFormat="false" ht="15" hidden="false" customHeight="false" outlineLevel="0" collapsed="false">
      <c r="A269" s="3" t="s">
        <v>1034</v>
      </c>
      <c r="B269" s="3" t="s">
        <v>1035</v>
      </c>
      <c r="C269" s="3" t="s">
        <v>531</v>
      </c>
      <c r="D269" s="7" t="n">
        <v>0</v>
      </c>
      <c r="E269" s="3" t="s">
        <v>512</v>
      </c>
      <c r="F269" s="8" t="n">
        <v>45642</v>
      </c>
      <c r="G269" s="9" t="n">
        <v>45642.4310238905</v>
      </c>
      <c r="H269" s="3" t="n">
        <v>0.34</v>
      </c>
      <c r="I269" s="3" t="str">
        <f aca="false">IF(G269="","OPEN","RESOLVED")</f>
        <v>RESOLVED</v>
      </c>
      <c r="J269" s="3" t="n">
        <f aca="false">IF(C269="TIMING_MISMATCH_TIMEZONE",1,IF(ABS(D269)&gt;5000,4,IF(C269="FEE_VARIANCE_BREACH",120,IF(LEFT(C269,8)="ORPHANED",48,24))))</f>
        <v>1</v>
      </c>
      <c r="K269" s="3" t="str">
        <f aca="false">IF(H269="","",IF(H269&gt;J269,"BREACH","OK"))</f>
        <v>OK</v>
      </c>
    </row>
    <row r="270" customFormat="false" ht="15" hidden="false" customHeight="false" outlineLevel="0" collapsed="false">
      <c r="A270" s="3" t="s">
        <v>1036</v>
      </c>
      <c r="B270" s="3" t="s">
        <v>1037</v>
      </c>
      <c r="C270" s="3" t="s">
        <v>511</v>
      </c>
      <c r="D270" s="7" t="n">
        <v>37.18</v>
      </c>
      <c r="E270" s="3" t="s">
        <v>512</v>
      </c>
      <c r="F270" s="8" t="n">
        <v>45642</v>
      </c>
      <c r="G270" s="9" t="n">
        <v>45642.5429659342</v>
      </c>
      <c r="H270" s="3" t="n">
        <v>3.03</v>
      </c>
      <c r="I270" s="3" t="str">
        <f aca="false">IF(G270="","OPEN","RESOLVED")</f>
        <v>RESOLVED</v>
      </c>
      <c r="J270" s="3" t="n">
        <f aca="false">IF(C270="TIMING_MISMATCH_TIMEZONE",1,IF(ABS(D270)&gt;5000,4,IF(C270="FEE_VARIANCE_BREACH",120,IF(LEFT(C270,8)="ORPHANED",48,24))))</f>
        <v>48</v>
      </c>
      <c r="K270" s="3" t="str">
        <f aca="false">IF(H270="","",IF(H270&gt;J270,"BREACH","OK"))</f>
        <v>OK</v>
      </c>
    </row>
    <row r="271" customFormat="false" ht="15" hidden="false" customHeight="false" outlineLevel="0" collapsed="false">
      <c r="A271" s="3" t="s">
        <v>1038</v>
      </c>
      <c r="B271" s="3" t="s">
        <v>1039</v>
      </c>
      <c r="C271" s="3" t="s">
        <v>497</v>
      </c>
      <c r="D271" s="7" t="n">
        <v>-0.93</v>
      </c>
      <c r="E271" s="3" t="s">
        <v>498</v>
      </c>
      <c r="F271" s="8" t="n">
        <v>45642</v>
      </c>
      <c r="G271" s="9" t="n">
        <v>45645.7781882968</v>
      </c>
      <c r="H271" s="3" t="n">
        <v>80.68</v>
      </c>
      <c r="I271" s="3" t="str">
        <f aca="false">IF(G271="","OPEN","RESOLVED")</f>
        <v>RESOLVED</v>
      </c>
      <c r="J271" s="3" t="n">
        <f aca="false">IF(C271="TIMING_MISMATCH_TIMEZONE",1,IF(ABS(D271)&gt;5000,4,IF(C271="FEE_VARIANCE_BREACH",120,IF(LEFT(C271,8)="ORPHANED",48,24))))</f>
        <v>120</v>
      </c>
      <c r="K271" s="3" t="str">
        <f aca="false">IF(H271="","",IF(H271&gt;J271,"BREACH","OK"))</f>
        <v>OK</v>
      </c>
    </row>
    <row r="272" customFormat="false" ht="15" hidden="false" customHeight="false" outlineLevel="0" collapsed="false">
      <c r="A272" s="3" t="s">
        <v>1040</v>
      </c>
      <c r="B272" s="3" t="s">
        <v>1041</v>
      </c>
      <c r="C272" s="3" t="s">
        <v>531</v>
      </c>
      <c r="D272" s="7" t="n">
        <v>0</v>
      </c>
      <c r="E272" s="3" t="s">
        <v>512</v>
      </c>
      <c r="F272" s="8" t="n">
        <v>45642</v>
      </c>
      <c r="G272" s="9" t="n">
        <v>45642.4237848708</v>
      </c>
      <c r="H272" s="3" t="n">
        <v>0.17</v>
      </c>
      <c r="I272" s="3" t="str">
        <f aca="false">IF(G272="","OPEN","RESOLVED")</f>
        <v>RESOLVED</v>
      </c>
      <c r="J272" s="3" t="n">
        <f aca="false">IF(C272="TIMING_MISMATCH_TIMEZONE",1,IF(ABS(D272)&gt;5000,4,IF(C272="FEE_VARIANCE_BREACH",120,IF(LEFT(C272,8)="ORPHANED",48,24))))</f>
        <v>1</v>
      </c>
      <c r="K272" s="3" t="str">
        <f aca="false">IF(H272="","",IF(H272&gt;J272,"BREACH","OK"))</f>
        <v>OK</v>
      </c>
    </row>
    <row r="273" customFormat="false" ht="15" hidden="false" customHeight="false" outlineLevel="0" collapsed="false">
      <c r="A273" s="3" t="s">
        <v>1042</v>
      </c>
      <c r="B273" s="3" t="s">
        <v>1043</v>
      </c>
      <c r="C273" s="3" t="s">
        <v>531</v>
      </c>
      <c r="D273" s="7" t="n">
        <v>0</v>
      </c>
      <c r="E273" s="3" t="s">
        <v>512</v>
      </c>
      <c r="F273" s="8" t="n">
        <v>45642</v>
      </c>
      <c r="G273" s="9" t="n">
        <v>45642.4224008832</v>
      </c>
      <c r="H273" s="3" t="n">
        <v>0.14</v>
      </c>
      <c r="I273" s="3" t="str">
        <f aca="false">IF(G273="","OPEN","RESOLVED")</f>
        <v>RESOLVED</v>
      </c>
      <c r="J273" s="3" t="n">
        <f aca="false">IF(C273="TIMING_MISMATCH_TIMEZONE",1,IF(ABS(D273)&gt;5000,4,IF(C273="FEE_VARIANCE_BREACH",120,IF(LEFT(C273,8)="ORPHANED",48,24))))</f>
        <v>1</v>
      </c>
      <c r="K273" s="3" t="str">
        <f aca="false">IF(H273="","",IF(H273&gt;J273,"BREACH","OK"))</f>
        <v>OK</v>
      </c>
    </row>
    <row r="274" customFormat="false" ht="15" hidden="false" customHeight="false" outlineLevel="0" collapsed="false">
      <c r="A274" s="3" t="s">
        <v>1044</v>
      </c>
      <c r="B274" s="3" t="s">
        <v>1045</v>
      </c>
      <c r="C274" s="3" t="s">
        <v>531</v>
      </c>
      <c r="D274" s="7" t="n">
        <v>0</v>
      </c>
      <c r="E274" s="3" t="s">
        <v>512</v>
      </c>
      <c r="F274" s="8" t="n">
        <v>45642</v>
      </c>
      <c r="G274" s="9" t="n">
        <v>45642.4188118001</v>
      </c>
      <c r="H274" s="3" t="n">
        <v>0.05</v>
      </c>
      <c r="I274" s="3" t="str">
        <f aca="false">IF(G274="","OPEN","RESOLVED")</f>
        <v>RESOLVED</v>
      </c>
      <c r="J274" s="3" t="n">
        <f aca="false">IF(C274="TIMING_MISMATCH_TIMEZONE",1,IF(ABS(D274)&gt;5000,4,IF(C274="FEE_VARIANCE_BREACH",120,IF(LEFT(C274,8)="ORPHANED",48,24))))</f>
        <v>1</v>
      </c>
      <c r="K274" s="3" t="str">
        <f aca="false">IF(H274="","",IF(H274&gt;J274,"BREACH","OK"))</f>
        <v>OK</v>
      </c>
    </row>
    <row r="275" customFormat="false" ht="15" hidden="false" customHeight="false" outlineLevel="0" collapsed="false">
      <c r="A275" s="3" t="s">
        <v>1046</v>
      </c>
      <c r="B275" s="3" t="s">
        <v>1047</v>
      </c>
      <c r="C275" s="3" t="s">
        <v>517</v>
      </c>
      <c r="D275" s="7" t="n">
        <v>-12</v>
      </c>
      <c r="E275" s="3" t="s">
        <v>518</v>
      </c>
      <c r="F275" s="8" t="n">
        <v>45642</v>
      </c>
      <c r="G275" s="9" t="n">
        <v>45643.8707970015</v>
      </c>
      <c r="H275" s="3" t="n">
        <v>34.9</v>
      </c>
      <c r="I275" s="3" t="str">
        <f aca="false">IF(G275="","OPEN","RESOLVED")</f>
        <v>RESOLVED</v>
      </c>
      <c r="J275" s="3" t="n">
        <f aca="false">IF(C275="TIMING_MISMATCH_TIMEZONE",1,IF(ABS(D275)&gt;5000,4,IF(C275="FEE_VARIANCE_BREACH",120,IF(LEFT(C275,8)="ORPHANED",48,24))))</f>
        <v>24</v>
      </c>
      <c r="K275" s="3" t="str">
        <f aca="false">IF(H275="","",IF(H275&gt;J275,"BREACH","OK"))</f>
        <v>BREACH</v>
      </c>
    </row>
    <row r="276" customFormat="false" ht="15" hidden="false" customHeight="false" outlineLevel="0" collapsed="false">
      <c r="A276" s="3" t="s">
        <v>1048</v>
      </c>
      <c r="B276" s="3" t="s">
        <v>1049</v>
      </c>
      <c r="C276" s="3" t="s">
        <v>531</v>
      </c>
      <c r="D276" s="7" t="n">
        <v>0</v>
      </c>
      <c r="E276" s="3" t="s">
        <v>512</v>
      </c>
      <c r="F276" s="8" t="n">
        <v>45642</v>
      </c>
      <c r="G276" s="9" t="n">
        <v>45642.4279785351</v>
      </c>
      <c r="H276" s="3" t="n">
        <v>0.27</v>
      </c>
      <c r="I276" s="3" t="str">
        <f aca="false">IF(G276="","OPEN","RESOLVED")</f>
        <v>RESOLVED</v>
      </c>
      <c r="J276" s="3" t="n">
        <f aca="false">IF(C276="TIMING_MISMATCH_TIMEZONE",1,IF(ABS(D276)&gt;5000,4,IF(C276="FEE_VARIANCE_BREACH",120,IF(LEFT(C276,8)="ORPHANED",48,24))))</f>
        <v>1</v>
      </c>
      <c r="K276" s="3" t="str">
        <f aca="false">IF(H276="","",IF(H276&gt;J276,"BREACH","OK"))</f>
        <v>OK</v>
      </c>
    </row>
    <row r="277" customFormat="false" ht="15" hidden="false" customHeight="false" outlineLevel="0" collapsed="false">
      <c r="A277" s="3" t="s">
        <v>1050</v>
      </c>
      <c r="B277" s="3" t="s">
        <v>1051</v>
      </c>
      <c r="C277" s="3" t="s">
        <v>531</v>
      </c>
      <c r="D277" s="7" t="n">
        <v>0</v>
      </c>
      <c r="E277" s="3" t="s">
        <v>512</v>
      </c>
      <c r="F277" s="8" t="n">
        <v>45642</v>
      </c>
      <c r="G277" s="9" t="n">
        <v>45642.4210232524</v>
      </c>
      <c r="H277" s="3" t="n">
        <v>0.1</v>
      </c>
      <c r="I277" s="3" t="str">
        <f aca="false">IF(G277="","OPEN","RESOLVED")</f>
        <v>RESOLVED</v>
      </c>
      <c r="J277" s="3" t="n">
        <f aca="false">IF(C277="TIMING_MISMATCH_TIMEZONE",1,IF(ABS(D277)&gt;5000,4,IF(C277="FEE_VARIANCE_BREACH",120,IF(LEFT(C277,8)="ORPHANED",48,24))))</f>
        <v>1</v>
      </c>
      <c r="K277" s="3" t="str">
        <f aca="false">IF(H277="","",IF(H277&gt;J277,"BREACH","OK"))</f>
        <v>OK</v>
      </c>
    </row>
    <row r="278" customFormat="false" ht="15" hidden="false" customHeight="false" outlineLevel="0" collapsed="false">
      <c r="A278" s="3" t="s">
        <v>1052</v>
      </c>
      <c r="B278" s="3" t="s">
        <v>1053</v>
      </c>
      <c r="C278" s="3" t="s">
        <v>531</v>
      </c>
      <c r="D278" s="7" t="n">
        <v>0</v>
      </c>
      <c r="E278" s="3" t="s">
        <v>512</v>
      </c>
      <c r="F278" s="8" t="n">
        <v>45642</v>
      </c>
      <c r="G278" s="9" t="n">
        <v>45642.4251967648</v>
      </c>
      <c r="H278" s="3" t="n">
        <v>0.2</v>
      </c>
      <c r="I278" s="3" t="str">
        <f aca="false">IF(G278="","OPEN","RESOLVED")</f>
        <v>RESOLVED</v>
      </c>
      <c r="J278" s="3" t="n">
        <f aca="false">IF(C278="TIMING_MISMATCH_TIMEZONE",1,IF(ABS(D278)&gt;5000,4,IF(C278="FEE_VARIANCE_BREACH",120,IF(LEFT(C278,8)="ORPHANED",48,24))))</f>
        <v>1</v>
      </c>
      <c r="K278" s="3" t="str">
        <f aca="false">IF(H278="","",IF(H278&gt;J278,"BREACH","OK"))</f>
        <v>OK</v>
      </c>
    </row>
    <row r="279" customFormat="false" ht="15" hidden="false" customHeight="false" outlineLevel="0" collapsed="false">
      <c r="A279" s="3" t="s">
        <v>1054</v>
      </c>
      <c r="B279" s="3" t="s">
        <v>1055</v>
      </c>
      <c r="C279" s="3" t="s">
        <v>531</v>
      </c>
      <c r="D279" s="7" t="n">
        <v>0</v>
      </c>
      <c r="E279" s="3" t="s">
        <v>512</v>
      </c>
      <c r="F279" s="8" t="n">
        <v>45642</v>
      </c>
      <c r="G279" s="9" t="n">
        <v>45642.4261333893</v>
      </c>
      <c r="H279" s="3" t="n">
        <v>0.23</v>
      </c>
      <c r="I279" s="3" t="str">
        <f aca="false">IF(G279="","OPEN","RESOLVED")</f>
        <v>RESOLVED</v>
      </c>
      <c r="J279" s="3" t="n">
        <f aca="false">IF(C279="TIMING_MISMATCH_TIMEZONE",1,IF(ABS(D279)&gt;5000,4,IF(C279="FEE_VARIANCE_BREACH",120,IF(LEFT(C279,8)="ORPHANED",48,24))))</f>
        <v>1</v>
      </c>
      <c r="K279" s="3" t="str">
        <f aca="false">IF(H279="","",IF(H279&gt;J279,"BREACH","OK"))</f>
        <v>OK</v>
      </c>
    </row>
    <row r="280" customFormat="false" ht="15" hidden="false" customHeight="false" outlineLevel="0" collapsed="false">
      <c r="A280" s="3" t="s">
        <v>1056</v>
      </c>
      <c r="B280" s="3" t="s">
        <v>1057</v>
      </c>
      <c r="C280" s="3" t="s">
        <v>531</v>
      </c>
      <c r="D280" s="7" t="n">
        <v>0</v>
      </c>
      <c r="E280" s="3" t="s">
        <v>512</v>
      </c>
      <c r="F280" s="8" t="n">
        <v>45642</v>
      </c>
      <c r="G280" s="9" t="n">
        <v>45642.421548661</v>
      </c>
      <c r="H280" s="3" t="n">
        <v>0.12</v>
      </c>
      <c r="I280" s="3" t="str">
        <f aca="false">IF(G280="","OPEN","RESOLVED")</f>
        <v>RESOLVED</v>
      </c>
      <c r="J280" s="3" t="n">
        <f aca="false">IF(C280="TIMING_MISMATCH_TIMEZONE",1,IF(ABS(D280)&gt;5000,4,IF(C280="FEE_VARIANCE_BREACH",120,IF(LEFT(C280,8)="ORPHANED",48,24))))</f>
        <v>1</v>
      </c>
      <c r="K280" s="3" t="str">
        <f aca="false">IF(H280="","",IF(H280&gt;J280,"BREACH","OK"))</f>
        <v>OK</v>
      </c>
    </row>
    <row r="281" customFormat="false" ht="15" hidden="false" customHeight="false" outlineLevel="0" collapsed="false">
      <c r="A281" s="3" t="s">
        <v>1058</v>
      </c>
      <c r="B281" s="3" t="s">
        <v>1059</v>
      </c>
      <c r="C281" s="3" t="s">
        <v>531</v>
      </c>
      <c r="D281" s="7" t="n">
        <v>0</v>
      </c>
      <c r="E281" s="3" t="s">
        <v>512</v>
      </c>
      <c r="F281" s="8" t="n">
        <v>45642</v>
      </c>
      <c r="G281" s="9" t="n">
        <v>45642.4256824763</v>
      </c>
      <c r="H281" s="3" t="n">
        <v>0.22</v>
      </c>
      <c r="I281" s="3" t="str">
        <f aca="false">IF(G281="","OPEN","RESOLVED")</f>
        <v>RESOLVED</v>
      </c>
      <c r="J281" s="3" t="n">
        <f aca="false">IF(C281="TIMING_MISMATCH_TIMEZONE",1,IF(ABS(D281)&gt;5000,4,IF(C281="FEE_VARIANCE_BREACH",120,IF(LEFT(C281,8)="ORPHANED",48,24))))</f>
        <v>1</v>
      </c>
      <c r="K281" s="3" t="str">
        <f aca="false">IF(H281="","",IF(H281&gt;J281,"BREACH","OK"))</f>
        <v>OK</v>
      </c>
    </row>
    <row r="282" customFormat="false" ht="15" hidden="false" customHeight="false" outlineLevel="0" collapsed="false">
      <c r="A282" s="3" t="s">
        <v>1060</v>
      </c>
      <c r="B282" s="3" t="s">
        <v>1061</v>
      </c>
      <c r="C282" s="3" t="s">
        <v>531</v>
      </c>
      <c r="D282" s="7" t="n">
        <v>0</v>
      </c>
      <c r="E282" s="3" t="s">
        <v>512</v>
      </c>
      <c r="F282" s="8" t="n">
        <v>45642</v>
      </c>
      <c r="G282" s="9" t="n">
        <v>45642.4262458467</v>
      </c>
      <c r="H282" s="3" t="n">
        <v>0.23</v>
      </c>
      <c r="I282" s="3" t="str">
        <f aca="false">IF(G282="","OPEN","RESOLVED")</f>
        <v>RESOLVED</v>
      </c>
      <c r="J282" s="3" t="n">
        <f aca="false">IF(C282="TIMING_MISMATCH_TIMEZONE",1,IF(ABS(D282)&gt;5000,4,IF(C282="FEE_VARIANCE_BREACH",120,IF(LEFT(C282,8)="ORPHANED",48,24))))</f>
        <v>1</v>
      </c>
      <c r="K282" s="3" t="str">
        <f aca="false">IF(H282="","",IF(H282&gt;J282,"BREACH","OK"))</f>
        <v>OK</v>
      </c>
    </row>
    <row r="283" customFormat="false" ht="15" hidden="false" customHeight="false" outlineLevel="0" collapsed="false">
      <c r="A283" s="3" t="s">
        <v>1062</v>
      </c>
      <c r="B283" s="3" t="s">
        <v>1063</v>
      </c>
      <c r="C283" s="3" t="s">
        <v>497</v>
      </c>
      <c r="D283" s="7" t="n">
        <v>-3.14</v>
      </c>
      <c r="E283" s="3" t="s">
        <v>498</v>
      </c>
      <c r="F283" s="8" t="n">
        <v>45642</v>
      </c>
      <c r="G283" s="9" t="n">
        <v>45645.9372727636</v>
      </c>
      <c r="H283" s="3" t="n">
        <v>84.49</v>
      </c>
      <c r="I283" s="3" t="str">
        <f aca="false">IF(G283="","OPEN","RESOLVED")</f>
        <v>RESOLVED</v>
      </c>
      <c r="J283" s="3" t="n">
        <f aca="false">IF(C283="TIMING_MISMATCH_TIMEZONE",1,IF(ABS(D283)&gt;5000,4,IF(C283="FEE_VARIANCE_BREACH",120,IF(LEFT(C283,8)="ORPHANED",48,24))))</f>
        <v>120</v>
      </c>
      <c r="K283" s="3" t="str">
        <f aca="false">IF(H283="","",IF(H283&gt;J283,"BREACH","OK"))</f>
        <v>OK</v>
      </c>
    </row>
    <row r="284" customFormat="false" ht="15" hidden="false" customHeight="false" outlineLevel="0" collapsed="false">
      <c r="A284" s="3" t="s">
        <v>1064</v>
      </c>
      <c r="B284" s="3" t="s">
        <v>1065</v>
      </c>
      <c r="C284" s="3" t="s">
        <v>497</v>
      </c>
      <c r="D284" s="7" t="n">
        <v>-1.39</v>
      </c>
      <c r="E284" s="3" t="s">
        <v>498</v>
      </c>
      <c r="F284" s="8" t="n">
        <v>45642</v>
      </c>
      <c r="G284" s="9" t="n">
        <v>45646.7745670476</v>
      </c>
      <c r="H284" s="3" t="n">
        <v>104.59</v>
      </c>
      <c r="I284" s="3" t="str">
        <f aca="false">IF(G284="","OPEN","RESOLVED")</f>
        <v>RESOLVED</v>
      </c>
      <c r="J284" s="3" t="n">
        <f aca="false">IF(C284="TIMING_MISMATCH_TIMEZONE",1,IF(ABS(D284)&gt;5000,4,IF(C284="FEE_VARIANCE_BREACH",120,IF(LEFT(C284,8)="ORPHANED",48,24))))</f>
        <v>120</v>
      </c>
      <c r="K284" s="3" t="str">
        <f aca="false">IF(H284="","",IF(H284&gt;J284,"BREACH","OK"))</f>
        <v>OK</v>
      </c>
    </row>
    <row r="285" customFormat="false" ht="15" hidden="false" customHeight="false" outlineLevel="0" collapsed="false">
      <c r="A285" s="3" t="s">
        <v>1066</v>
      </c>
      <c r="B285" s="3" t="s">
        <v>1067</v>
      </c>
      <c r="C285" s="3" t="s">
        <v>531</v>
      </c>
      <c r="D285" s="7" t="n">
        <v>0</v>
      </c>
      <c r="E285" s="3" t="s">
        <v>512</v>
      </c>
      <c r="F285" s="8" t="n">
        <v>45642</v>
      </c>
      <c r="G285" s="9" t="n">
        <v>45642.4200325431</v>
      </c>
      <c r="H285" s="3" t="n">
        <v>0.08</v>
      </c>
      <c r="I285" s="3" t="str">
        <f aca="false">IF(G285="","OPEN","RESOLVED")</f>
        <v>RESOLVED</v>
      </c>
      <c r="J285" s="3" t="n">
        <f aca="false">IF(C285="TIMING_MISMATCH_TIMEZONE",1,IF(ABS(D285)&gt;5000,4,IF(C285="FEE_VARIANCE_BREACH",120,IF(LEFT(C285,8)="ORPHANED",48,24))))</f>
        <v>1</v>
      </c>
      <c r="K285" s="3" t="str">
        <f aca="false">IF(H285="","",IF(H285&gt;J285,"BREACH","OK"))</f>
        <v>OK</v>
      </c>
    </row>
    <row r="286" customFormat="false" ht="15" hidden="false" customHeight="false" outlineLevel="0" collapsed="false">
      <c r="A286" s="3" t="s">
        <v>1068</v>
      </c>
      <c r="B286" s="3" t="s">
        <v>1069</v>
      </c>
      <c r="C286" s="3" t="s">
        <v>531</v>
      </c>
      <c r="D286" s="7" t="n">
        <v>0</v>
      </c>
      <c r="E286" s="3" t="s">
        <v>512</v>
      </c>
      <c r="F286" s="8" t="n">
        <v>45642</v>
      </c>
      <c r="G286" s="9" t="n">
        <v>45642.4275565589</v>
      </c>
      <c r="H286" s="3" t="n">
        <v>0.26</v>
      </c>
      <c r="I286" s="3" t="str">
        <f aca="false">IF(G286="","OPEN","RESOLVED")</f>
        <v>RESOLVED</v>
      </c>
      <c r="J286" s="3" t="n">
        <f aca="false">IF(C286="TIMING_MISMATCH_TIMEZONE",1,IF(ABS(D286)&gt;5000,4,IF(C286="FEE_VARIANCE_BREACH",120,IF(LEFT(C286,8)="ORPHANED",48,24))))</f>
        <v>1</v>
      </c>
      <c r="K286" s="3" t="str">
        <f aca="false">IF(H286="","",IF(H286&gt;J286,"BREACH","OK"))</f>
        <v>OK</v>
      </c>
    </row>
    <row r="287" customFormat="false" ht="15" hidden="false" customHeight="false" outlineLevel="0" collapsed="false">
      <c r="A287" s="3" t="s">
        <v>1070</v>
      </c>
      <c r="B287" s="3" t="s">
        <v>1071</v>
      </c>
      <c r="C287" s="3" t="s">
        <v>531</v>
      </c>
      <c r="D287" s="7" t="n">
        <v>0</v>
      </c>
      <c r="E287" s="3" t="s">
        <v>512</v>
      </c>
      <c r="F287" s="8" t="n">
        <v>45642</v>
      </c>
      <c r="G287" s="9" t="n">
        <v>45642.4242702209</v>
      </c>
      <c r="H287" s="3" t="n">
        <v>0.18</v>
      </c>
      <c r="I287" s="3" t="str">
        <f aca="false">IF(G287="","OPEN","RESOLVED")</f>
        <v>RESOLVED</v>
      </c>
      <c r="J287" s="3" t="n">
        <f aca="false">IF(C287="TIMING_MISMATCH_TIMEZONE",1,IF(ABS(D287)&gt;5000,4,IF(C287="FEE_VARIANCE_BREACH",120,IF(LEFT(C287,8)="ORPHANED",48,24))))</f>
        <v>1</v>
      </c>
      <c r="K287" s="3" t="str">
        <f aca="false">IF(H287="","",IF(H287&gt;J287,"BREACH","OK"))</f>
        <v>OK</v>
      </c>
    </row>
    <row r="288" customFormat="false" ht="15" hidden="false" customHeight="false" outlineLevel="0" collapsed="false">
      <c r="A288" s="3" t="s">
        <v>1072</v>
      </c>
      <c r="B288" s="3" t="s">
        <v>1073</v>
      </c>
      <c r="C288" s="3" t="s">
        <v>531</v>
      </c>
      <c r="D288" s="7" t="n">
        <v>0</v>
      </c>
      <c r="E288" s="3" t="s">
        <v>512</v>
      </c>
      <c r="F288" s="8" t="n">
        <v>45642</v>
      </c>
      <c r="G288" s="9" t="n">
        <v>45642.4247836788</v>
      </c>
      <c r="H288" s="3" t="n">
        <v>0.19</v>
      </c>
      <c r="I288" s="3" t="str">
        <f aca="false">IF(G288="","OPEN","RESOLVED")</f>
        <v>RESOLVED</v>
      </c>
      <c r="J288" s="3" t="n">
        <f aca="false">IF(C288="TIMING_MISMATCH_TIMEZONE",1,IF(ABS(D288)&gt;5000,4,IF(C288="FEE_VARIANCE_BREACH",120,IF(LEFT(C288,8)="ORPHANED",48,24))))</f>
        <v>1</v>
      </c>
      <c r="K288" s="3" t="str">
        <f aca="false">IF(H288="","",IF(H288&gt;J288,"BREACH","OK"))</f>
        <v>OK</v>
      </c>
    </row>
    <row r="289" customFormat="false" ht="15" hidden="false" customHeight="false" outlineLevel="0" collapsed="false">
      <c r="A289" s="3" t="s">
        <v>1074</v>
      </c>
      <c r="B289" s="3" t="s">
        <v>1075</v>
      </c>
      <c r="C289" s="3" t="s">
        <v>503</v>
      </c>
      <c r="D289" s="7" t="n">
        <v>-195.85</v>
      </c>
      <c r="E289" s="3" t="s">
        <v>504</v>
      </c>
      <c r="F289" s="8" t="n">
        <v>45642</v>
      </c>
      <c r="G289" s="9" t="n">
        <v>45645.2416129597</v>
      </c>
      <c r="H289" s="3" t="n">
        <v>67.8</v>
      </c>
      <c r="I289" s="3" t="str">
        <f aca="false">IF(G289="","OPEN","RESOLVED")</f>
        <v>RESOLVED</v>
      </c>
      <c r="J289" s="3" t="n">
        <f aca="false">IF(C289="TIMING_MISMATCH_TIMEZONE",1,IF(ABS(D289)&gt;5000,4,IF(C289="FEE_VARIANCE_BREACH",120,IF(LEFT(C289,8)="ORPHANED",48,24))))</f>
        <v>48</v>
      </c>
      <c r="K289" s="3" t="str">
        <f aca="false">IF(H289="","",IF(H289&gt;J289,"BREACH","OK"))</f>
        <v>BREACH</v>
      </c>
    </row>
    <row r="290" customFormat="false" ht="15" hidden="false" customHeight="false" outlineLevel="0" collapsed="false">
      <c r="A290" s="3" t="s">
        <v>1076</v>
      </c>
      <c r="B290" s="3" t="s">
        <v>1077</v>
      </c>
      <c r="C290" s="3" t="s">
        <v>511</v>
      </c>
      <c r="D290" s="7" t="n">
        <v>980.19</v>
      </c>
      <c r="E290" s="3" t="s">
        <v>512</v>
      </c>
      <c r="F290" s="8" t="n">
        <v>45642</v>
      </c>
      <c r="G290" s="9" t="n">
        <v>45645.3090158297</v>
      </c>
      <c r="H290" s="3" t="n">
        <v>69.42</v>
      </c>
      <c r="I290" s="3" t="str">
        <f aca="false">IF(G290="","OPEN","RESOLVED")</f>
        <v>RESOLVED</v>
      </c>
      <c r="J290" s="3" t="n">
        <f aca="false">IF(C290="TIMING_MISMATCH_TIMEZONE",1,IF(ABS(D290)&gt;5000,4,IF(C290="FEE_VARIANCE_BREACH",120,IF(LEFT(C290,8)="ORPHANED",48,24))))</f>
        <v>48</v>
      </c>
      <c r="K290" s="3" t="str">
        <f aca="false">IF(H290="","",IF(H290&gt;J290,"BREACH","OK"))</f>
        <v>BREACH</v>
      </c>
    </row>
    <row r="291" customFormat="false" ht="15" hidden="false" customHeight="false" outlineLevel="0" collapsed="false">
      <c r="A291" s="3" t="s">
        <v>1078</v>
      </c>
      <c r="B291" s="3" t="s">
        <v>1079</v>
      </c>
      <c r="C291" s="3" t="s">
        <v>531</v>
      </c>
      <c r="D291" s="7" t="n">
        <v>0</v>
      </c>
      <c r="E291" s="3" t="s">
        <v>512</v>
      </c>
      <c r="F291" s="8" t="n">
        <v>45642</v>
      </c>
      <c r="G291" s="9" t="n">
        <v>45642.425344353</v>
      </c>
      <c r="H291" s="3" t="n">
        <v>0.21</v>
      </c>
      <c r="I291" s="3" t="str">
        <f aca="false">IF(G291="","OPEN","RESOLVED")</f>
        <v>RESOLVED</v>
      </c>
      <c r="J291" s="3" t="n">
        <f aca="false">IF(C291="TIMING_MISMATCH_TIMEZONE",1,IF(ABS(D291)&gt;5000,4,IF(C291="FEE_VARIANCE_BREACH",120,IF(LEFT(C291,8)="ORPHANED",48,24))))</f>
        <v>1</v>
      </c>
      <c r="K291" s="3" t="str">
        <f aca="false">IF(H291="","",IF(H291&gt;J291,"BREACH","OK"))</f>
        <v>OK</v>
      </c>
    </row>
    <row r="292" customFormat="false" ht="15" hidden="false" customHeight="false" outlineLevel="0" collapsed="false">
      <c r="A292" s="3" t="s">
        <v>1080</v>
      </c>
      <c r="B292" s="3" t="s">
        <v>1081</v>
      </c>
      <c r="C292" s="3" t="s">
        <v>531</v>
      </c>
      <c r="D292" s="7" t="n">
        <v>0</v>
      </c>
      <c r="E292" s="3" t="s">
        <v>512</v>
      </c>
      <c r="F292" s="8" t="n">
        <v>45642</v>
      </c>
      <c r="G292" s="9" t="n">
        <v>45642.4241978268</v>
      </c>
      <c r="H292" s="3" t="n">
        <v>0.18</v>
      </c>
      <c r="I292" s="3" t="str">
        <f aca="false">IF(G292="","OPEN","RESOLVED")</f>
        <v>RESOLVED</v>
      </c>
      <c r="J292" s="3" t="n">
        <f aca="false">IF(C292="TIMING_MISMATCH_TIMEZONE",1,IF(ABS(D292)&gt;5000,4,IF(C292="FEE_VARIANCE_BREACH",120,IF(LEFT(C292,8)="ORPHANED",48,24))))</f>
        <v>1</v>
      </c>
      <c r="K292" s="3" t="str">
        <f aca="false">IF(H292="","",IF(H292&gt;J292,"BREACH","OK"))</f>
        <v>OK</v>
      </c>
    </row>
    <row r="293" customFormat="false" ht="15" hidden="false" customHeight="false" outlineLevel="0" collapsed="false">
      <c r="A293" s="3" t="s">
        <v>1082</v>
      </c>
      <c r="B293" s="3" t="s">
        <v>1083</v>
      </c>
      <c r="C293" s="3" t="s">
        <v>497</v>
      </c>
      <c r="D293" s="7" t="n">
        <v>-1.24</v>
      </c>
      <c r="E293" s="3" t="s">
        <v>498</v>
      </c>
      <c r="F293" s="8" t="n">
        <v>45642</v>
      </c>
      <c r="G293" s="9" t="n">
        <v>45645.7402163864</v>
      </c>
      <c r="H293" s="3" t="n">
        <v>79.77</v>
      </c>
      <c r="I293" s="3" t="str">
        <f aca="false">IF(G293="","OPEN","RESOLVED")</f>
        <v>RESOLVED</v>
      </c>
      <c r="J293" s="3" t="n">
        <f aca="false">IF(C293="TIMING_MISMATCH_TIMEZONE",1,IF(ABS(D293)&gt;5000,4,IF(C293="FEE_VARIANCE_BREACH",120,IF(LEFT(C293,8)="ORPHANED",48,24))))</f>
        <v>120</v>
      </c>
      <c r="K293" s="3" t="str">
        <f aca="false">IF(H293="","",IF(H293&gt;J293,"BREACH","OK"))</f>
        <v>OK</v>
      </c>
    </row>
    <row r="294" customFormat="false" ht="15" hidden="false" customHeight="false" outlineLevel="0" collapsed="false">
      <c r="A294" s="3" t="s">
        <v>1084</v>
      </c>
      <c r="B294" s="3" t="s">
        <v>1085</v>
      </c>
      <c r="C294" s="3" t="s">
        <v>531</v>
      </c>
      <c r="D294" s="7" t="n">
        <v>0</v>
      </c>
      <c r="E294" s="3" t="s">
        <v>512</v>
      </c>
      <c r="F294" s="8" t="n">
        <v>45642</v>
      </c>
      <c r="G294" s="9" t="n">
        <v>45642.41875</v>
      </c>
      <c r="H294" s="3" t="n">
        <v>0.05</v>
      </c>
      <c r="I294" s="3" t="str">
        <f aca="false">IF(G294="","OPEN","RESOLVED")</f>
        <v>RESOLVED</v>
      </c>
      <c r="J294" s="3" t="n">
        <f aca="false">IF(C294="TIMING_MISMATCH_TIMEZONE",1,IF(ABS(D294)&gt;5000,4,IF(C294="FEE_VARIANCE_BREACH",120,IF(LEFT(C294,8)="ORPHANED",48,24))))</f>
        <v>1</v>
      </c>
      <c r="K294" s="3" t="str">
        <f aca="false">IF(H294="","",IF(H294&gt;J294,"BREACH","OK"))</f>
        <v>OK</v>
      </c>
    </row>
    <row r="295" customFormat="false" ht="15" hidden="false" customHeight="false" outlineLevel="0" collapsed="false">
      <c r="A295" s="3" t="s">
        <v>1086</v>
      </c>
      <c r="B295" s="3" t="s">
        <v>1087</v>
      </c>
      <c r="C295" s="3" t="s">
        <v>503</v>
      </c>
      <c r="D295" s="7" t="n">
        <v>-446.6</v>
      </c>
      <c r="E295" s="3" t="s">
        <v>504</v>
      </c>
      <c r="F295" s="8" t="n">
        <v>45642</v>
      </c>
      <c r="G295" s="9" t="n">
        <v>45645.4157010612</v>
      </c>
      <c r="H295" s="3" t="n">
        <v>71.98</v>
      </c>
      <c r="I295" s="3" t="str">
        <f aca="false">IF(G295="","OPEN","RESOLVED")</f>
        <v>RESOLVED</v>
      </c>
      <c r="J295" s="3" t="n">
        <f aca="false">IF(C295="TIMING_MISMATCH_TIMEZONE",1,IF(ABS(D295)&gt;5000,4,IF(C295="FEE_VARIANCE_BREACH",120,IF(LEFT(C295,8)="ORPHANED",48,24))))</f>
        <v>48</v>
      </c>
      <c r="K295" s="3" t="str">
        <f aca="false">IF(H295="","",IF(H295&gt;J295,"BREACH","OK"))</f>
        <v>BREACH</v>
      </c>
    </row>
    <row r="296" customFormat="false" ht="15" hidden="false" customHeight="false" outlineLevel="0" collapsed="false">
      <c r="A296" s="3" t="s">
        <v>1088</v>
      </c>
      <c r="B296" s="3" t="s">
        <v>1089</v>
      </c>
      <c r="C296" s="3" t="s">
        <v>497</v>
      </c>
      <c r="D296" s="7" t="n">
        <v>-2.3</v>
      </c>
      <c r="E296" s="3" t="s">
        <v>498</v>
      </c>
      <c r="F296" s="8" t="n">
        <v>45642</v>
      </c>
      <c r="G296" s="9" t="n">
        <v>45649.2981635707</v>
      </c>
      <c r="H296" s="3" t="n">
        <v>117.16</v>
      </c>
      <c r="I296" s="3" t="str">
        <f aca="false">IF(G296="","OPEN","RESOLVED")</f>
        <v>RESOLVED</v>
      </c>
      <c r="J296" s="3" t="n">
        <f aca="false">IF(C296="TIMING_MISMATCH_TIMEZONE",1,IF(ABS(D296)&gt;5000,4,IF(C296="FEE_VARIANCE_BREACH",120,IF(LEFT(C296,8)="ORPHANED",48,24))))</f>
        <v>120</v>
      </c>
      <c r="K296" s="3" t="str">
        <f aca="false">IF(H296="","",IF(H296&gt;J296,"BREACH","OK"))</f>
        <v>OK</v>
      </c>
    </row>
    <row r="297" customFormat="false" ht="15" hidden="false" customHeight="false" outlineLevel="0" collapsed="false">
      <c r="A297" s="3" t="s">
        <v>1090</v>
      </c>
      <c r="B297" s="3" t="s">
        <v>1091</v>
      </c>
      <c r="C297" s="3" t="s">
        <v>497</v>
      </c>
      <c r="D297" s="7" t="n">
        <v>-8.26</v>
      </c>
      <c r="E297" s="3" t="s">
        <v>498</v>
      </c>
      <c r="F297" s="8" t="n">
        <v>45642</v>
      </c>
      <c r="G297" s="9" t="n">
        <v>45644.2938631518</v>
      </c>
      <c r="H297" s="3" t="n">
        <v>45.05</v>
      </c>
      <c r="I297" s="3" t="str">
        <f aca="false">IF(G297="","OPEN","RESOLVED")</f>
        <v>RESOLVED</v>
      </c>
      <c r="J297" s="3" t="n">
        <f aca="false">IF(C297="TIMING_MISMATCH_TIMEZONE",1,IF(ABS(D297)&gt;5000,4,IF(C297="FEE_VARIANCE_BREACH",120,IF(LEFT(C297,8)="ORPHANED",48,24))))</f>
        <v>120</v>
      </c>
      <c r="K297" s="3" t="str">
        <f aca="false">IF(H297="","",IF(H297&gt;J297,"BREACH","OK"))</f>
        <v>OK</v>
      </c>
    </row>
    <row r="298" customFormat="false" ht="15" hidden="false" customHeight="false" outlineLevel="0" collapsed="false">
      <c r="A298" s="3" t="s">
        <v>1092</v>
      </c>
      <c r="B298" s="3" t="s">
        <v>1093</v>
      </c>
      <c r="C298" s="3" t="s">
        <v>531</v>
      </c>
      <c r="D298" s="7" t="n">
        <v>0</v>
      </c>
      <c r="E298" s="3" t="s">
        <v>512</v>
      </c>
      <c r="F298" s="8" t="n">
        <v>45642</v>
      </c>
      <c r="G298" s="9" t="n">
        <v>45642.4236446715</v>
      </c>
      <c r="H298" s="3" t="n">
        <v>0.17</v>
      </c>
      <c r="I298" s="3" t="str">
        <f aca="false">IF(G298="","OPEN","RESOLVED")</f>
        <v>RESOLVED</v>
      </c>
      <c r="J298" s="3" t="n">
        <f aca="false">IF(C298="TIMING_MISMATCH_TIMEZONE",1,IF(ABS(D298)&gt;5000,4,IF(C298="FEE_VARIANCE_BREACH",120,IF(LEFT(C298,8)="ORPHANED",48,24))))</f>
        <v>1</v>
      </c>
      <c r="K298" s="3" t="str">
        <f aca="false">IF(H298="","",IF(H298&gt;J298,"BREACH","OK"))</f>
        <v>OK</v>
      </c>
    </row>
    <row r="299" customFormat="false" ht="15" hidden="false" customHeight="false" outlineLevel="0" collapsed="false">
      <c r="A299" s="3" t="s">
        <v>1094</v>
      </c>
      <c r="B299" s="3" t="s">
        <v>1095</v>
      </c>
      <c r="C299" s="3" t="s">
        <v>503</v>
      </c>
      <c r="D299" s="7" t="n">
        <v>-52.36</v>
      </c>
      <c r="E299" s="3" t="s">
        <v>504</v>
      </c>
      <c r="F299" s="8" t="n">
        <v>45642</v>
      </c>
      <c r="G299" s="9" t="n">
        <v>45645.3290709624</v>
      </c>
      <c r="H299" s="3" t="n">
        <v>69.9</v>
      </c>
      <c r="I299" s="3" t="str">
        <f aca="false">IF(G299="","OPEN","RESOLVED")</f>
        <v>RESOLVED</v>
      </c>
      <c r="J299" s="3" t="n">
        <f aca="false">IF(C299="TIMING_MISMATCH_TIMEZONE",1,IF(ABS(D299)&gt;5000,4,IF(C299="FEE_VARIANCE_BREACH",120,IF(LEFT(C299,8)="ORPHANED",48,24))))</f>
        <v>48</v>
      </c>
      <c r="K299" s="3" t="str">
        <f aca="false">IF(H299="","",IF(H299&gt;J299,"BREACH","OK"))</f>
        <v>BREACH</v>
      </c>
    </row>
    <row r="300" customFormat="false" ht="15" hidden="false" customHeight="false" outlineLevel="0" collapsed="false">
      <c r="A300" s="3" t="s">
        <v>1096</v>
      </c>
      <c r="B300" s="3" t="s">
        <v>1097</v>
      </c>
      <c r="C300" s="3" t="s">
        <v>531</v>
      </c>
      <c r="D300" s="7" t="n">
        <v>0</v>
      </c>
      <c r="E300" s="3" t="s">
        <v>512</v>
      </c>
      <c r="F300" s="8" t="n">
        <v>45642</v>
      </c>
      <c r="G300" s="9" t="n">
        <v>45642.4252387473</v>
      </c>
      <c r="H300" s="3" t="n">
        <v>0.21</v>
      </c>
      <c r="I300" s="3" t="str">
        <f aca="false">IF(G300="","OPEN","RESOLVED")</f>
        <v>RESOLVED</v>
      </c>
      <c r="J300" s="3" t="n">
        <f aca="false">IF(C300="TIMING_MISMATCH_TIMEZONE",1,IF(ABS(D300)&gt;5000,4,IF(C300="FEE_VARIANCE_BREACH",120,IF(LEFT(C300,8)="ORPHANED",48,24))))</f>
        <v>1</v>
      </c>
      <c r="K300" s="3" t="str">
        <f aca="false">IF(H300="","",IF(H300&gt;J300,"BREACH","OK"))</f>
        <v>OK</v>
      </c>
    </row>
    <row r="301" customFormat="false" ht="15" hidden="false" customHeight="false" outlineLevel="0" collapsed="false">
      <c r="A301" s="3" t="s">
        <v>1098</v>
      </c>
      <c r="B301" s="3" t="s">
        <v>1099</v>
      </c>
      <c r="C301" s="3" t="s">
        <v>511</v>
      </c>
      <c r="D301" s="7" t="n">
        <v>110.7</v>
      </c>
      <c r="E301" s="3" t="s">
        <v>512</v>
      </c>
      <c r="F301" s="8" t="n">
        <v>45642</v>
      </c>
      <c r="G301" s="9" t="n">
        <v>45643.4456407714</v>
      </c>
      <c r="H301" s="3" t="n">
        <v>24.7</v>
      </c>
      <c r="I301" s="3" t="str">
        <f aca="false">IF(G301="","OPEN","RESOLVED")</f>
        <v>RESOLVED</v>
      </c>
      <c r="J301" s="3" t="n">
        <f aca="false">IF(C301="TIMING_MISMATCH_TIMEZONE",1,IF(ABS(D301)&gt;5000,4,IF(C301="FEE_VARIANCE_BREACH",120,IF(LEFT(C301,8)="ORPHANED",48,24))))</f>
        <v>48</v>
      </c>
      <c r="K301" s="3" t="str">
        <f aca="false">IF(H301="","",IF(H301&gt;J301,"BREACH","OK"))</f>
        <v>OK</v>
      </c>
    </row>
    <row r="302" customFormat="false" ht="15" hidden="false" customHeight="false" outlineLevel="0" collapsed="false">
      <c r="A302" s="3" t="s">
        <v>1100</v>
      </c>
      <c r="B302" s="3" t="s">
        <v>1101</v>
      </c>
      <c r="C302" s="3" t="s">
        <v>531</v>
      </c>
      <c r="D302" s="7" t="n">
        <v>0</v>
      </c>
      <c r="E302" s="3" t="s">
        <v>512</v>
      </c>
      <c r="F302" s="8" t="n">
        <v>45642</v>
      </c>
      <c r="G302" s="9" t="n">
        <v>45642.4302751045</v>
      </c>
      <c r="H302" s="3" t="n">
        <v>0.33</v>
      </c>
      <c r="I302" s="3" t="str">
        <f aca="false">IF(G302="","OPEN","RESOLVED")</f>
        <v>RESOLVED</v>
      </c>
      <c r="J302" s="3" t="n">
        <f aca="false">IF(C302="TIMING_MISMATCH_TIMEZONE",1,IF(ABS(D302)&gt;5000,4,IF(C302="FEE_VARIANCE_BREACH",120,IF(LEFT(C302,8)="ORPHANED",48,24))))</f>
        <v>1</v>
      </c>
      <c r="K302" s="3" t="str">
        <f aca="false">IF(H302="","",IF(H302&gt;J302,"BREACH","OK"))</f>
        <v>OK</v>
      </c>
    </row>
    <row r="303" customFormat="false" ht="15" hidden="false" customHeight="false" outlineLevel="0" collapsed="false">
      <c r="A303" s="3" t="s">
        <v>1102</v>
      </c>
      <c r="B303" s="3" t="s">
        <v>1103</v>
      </c>
      <c r="C303" s="3" t="s">
        <v>503</v>
      </c>
      <c r="D303" s="7" t="n">
        <v>-54.24</v>
      </c>
      <c r="E303" s="3" t="s">
        <v>504</v>
      </c>
      <c r="F303" s="8" t="n">
        <v>45642</v>
      </c>
      <c r="G303" s="9" t="n">
        <v>45645.4031879675</v>
      </c>
      <c r="H303" s="3" t="n">
        <v>71.68</v>
      </c>
      <c r="I303" s="3" t="str">
        <f aca="false">IF(G303="","OPEN","RESOLVED")</f>
        <v>RESOLVED</v>
      </c>
      <c r="J303" s="3" t="n">
        <f aca="false">IF(C303="TIMING_MISMATCH_TIMEZONE",1,IF(ABS(D303)&gt;5000,4,IF(C303="FEE_VARIANCE_BREACH",120,IF(LEFT(C303,8)="ORPHANED",48,24))))</f>
        <v>48</v>
      </c>
      <c r="K303" s="3" t="str">
        <f aca="false">IF(H303="","",IF(H303&gt;J303,"BREACH","OK"))</f>
        <v>BREACH</v>
      </c>
    </row>
    <row r="304" customFormat="false" ht="15" hidden="false" customHeight="false" outlineLevel="0" collapsed="false">
      <c r="A304" s="3" t="s">
        <v>1104</v>
      </c>
      <c r="B304" s="3" t="s">
        <v>1105</v>
      </c>
      <c r="C304" s="3" t="s">
        <v>503</v>
      </c>
      <c r="D304" s="7" t="n">
        <v>-902.26</v>
      </c>
      <c r="E304" s="3" t="s">
        <v>504</v>
      </c>
      <c r="F304" s="8" t="n">
        <v>45642</v>
      </c>
      <c r="G304" s="9" t="n">
        <v>45643.9701552346</v>
      </c>
      <c r="H304" s="3" t="n">
        <v>37.28</v>
      </c>
      <c r="I304" s="3" t="str">
        <f aca="false">IF(G304="","OPEN","RESOLVED")</f>
        <v>RESOLVED</v>
      </c>
      <c r="J304" s="3" t="n">
        <f aca="false">IF(C304="TIMING_MISMATCH_TIMEZONE",1,IF(ABS(D304)&gt;5000,4,IF(C304="FEE_VARIANCE_BREACH",120,IF(LEFT(C304,8)="ORPHANED",48,24))))</f>
        <v>48</v>
      </c>
      <c r="K304" s="3" t="str">
        <f aca="false">IF(H304="","",IF(H304&gt;J304,"BREACH","OK"))</f>
        <v>OK</v>
      </c>
    </row>
    <row r="305" customFormat="false" ht="15" hidden="false" customHeight="false" outlineLevel="0" collapsed="false">
      <c r="A305" s="3" t="s">
        <v>1106</v>
      </c>
      <c r="B305" s="3" t="s">
        <v>1107</v>
      </c>
      <c r="C305" s="3" t="s">
        <v>511</v>
      </c>
      <c r="D305" s="7" t="n">
        <v>494.48</v>
      </c>
      <c r="E305" s="3" t="s">
        <v>512</v>
      </c>
      <c r="F305" s="8" t="n">
        <v>45642</v>
      </c>
      <c r="G305" s="9" t="n">
        <v>45644.0383773501</v>
      </c>
      <c r="H305" s="3" t="n">
        <v>38.92</v>
      </c>
      <c r="I305" s="3" t="str">
        <f aca="false">IF(G305="","OPEN","RESOLVED")</f>
        <v>RESOLVED</v>
      </c>
      <c r="J305" s="3" t="n">
        <f aca="false">IF(C305="TIMING_MISMATCH_TIMEZONE",1,IF(ABS(D305)&gt;5000,4,IF(C305="FEE_VARIANCE_BREACH",120,IF(LEFT(C305,8)="ORPHANED",48,24))))</f>
        <v>48</v>
      </c>
      <c r="K305" s="3" t="str">
        <f aca="false">IF(H305="","",IF(H305&gt;J305,"BREACH","OK"))</f>
        <v>OK</v>
      </c>
    </row>
    <row r="306" customFormat="false" ht="15" hidden="false" customHeight="false" outlineLevel="0" collapsed="false">
      <c r="A306" s="3" t="s">
        <v>1108</v>
      </c>
      <c r="B306" s="3" t="s">
        <v>1109</v>
      </c>
      <c r="C306" s="3" t="s">
        <v>531</v>
      </c>
      <c r="D306" s="7" t="n">
        <v>0</v>
      </c>
      <c r="E306" s="3" t="s">
        <v>512</v>
      </c>
      <c r="F306" s="8" t="n">
        <v>45642</v>
      </c>
      <c r="G306" s="9" t="n">
        <v>45642.4237074638</v>
      </c>
      <c r="H306" s="3" t="n">
        <v>0.17</v>
      </c>
      <c r="I306" s="3" t="str">
        <f aca="false">IF(G306="","OPEN","RESOLVED")</f>
        <v>RESOLVED</v>
      </c>
      <c r="J306" s="3" t="n">
        <f aca="false">IF(C306="TIMING_MISMATCH_TIMEZONE",1,IF(ABS(D306)&gt;5000,4,IF(C306="FEE_VARIANCE_BREACH",120,IF(LEFT(C306,8)="ORPHANED",48,24))))</f>
        <v>1</v>
      </c>
      <c r="K306" s="3" t="str">
        <f aca="false">IF(H306="","",IF(H306&gt;J306,"BREACH","OK"))</f>
        <v>OK</v>
      </c>
    </row>
    <row r="307" customFormat="false" ht="15" hidden="false" customHeight="false" outlineLevel="0" collapsed="false">
      <c r="A307" s="3" t="s">
        <v>1110</v>
      </c>
      <c r="B307" s="3" t="s">
        <v>1111</v>
      </c>
      <c r="C307" s="3" t="s">
        <v>503</v>
      </c>
      <c r="D307" s="7" t="n">
        <v>-95.54</v>
      </c>
      <c r="E307" s="3" t="s">
        <v>504</v>
      </c>
      <c r="F307" s="8" t="n">
        <v>45642</v>
      </c>
      <c r="G307" s="9" t="n">
        <v>45644.5886273174</v>
      </c>
      <c r="H307" s="3" t="n">
        <v>52.13</v>
      </c>
      <c r="I307" s="3" t="str">
        <f aca="false">IF(G307="","OPEN","RESOLVED")</f>
        <v>RESOLVED</v>
      </c>
      <c r="J307" s="3" t="n">
        <f aca="false">IF(C307="TIMING_MISMATCH_TIMEZONE",1,IF(ABS(D307)&gt;5000,4,IF(C307="FEE_VARIANCE_BREACH",120,IF(LEFT(C307,8)="ORPHANED",48,24))))</f>
        <v>48</v>
      </c>
      <c r="K307" s="3" t="str">
        <f aca="false">IF(H307="","",IF(H307&gt;J307,"BREACH","OK"))</f>
        <v>BREACH</v>
      </c>
    </row>
    <row r="308" customFormat="false" ht="15" hidden="false" customHeight="false" outlineLevel="0" collapsed="false">
      <c r="A308" s="3" t="s">
        <v>1112</v>
      </c>
      <c r="B308" s="3" t="s">
        <v>1113</v>
      </c>
      <c r="C308" s="3" t="s">
        <v>497</v>
      </c>
      <c r="D308" s="7" t="n">
        <v>-1.81</v>
      </c>
      <c r="E308" s="3" t="s">
        <v>498</v>
      </c>
      <c r="F308" s="8" t="n">
        <v>45642</v>
      </c>
      <c r="G308" s="9" t="n">
        <v>45650.7744662415</v>
      </c>
      <c r="H308" s="3" t="n">
        <v>152.59</v>
      </c>
      <c r="I308" s="3" t="str">
        <f aca="false">IF(G308="","OPEN","RESOLVED")</f>
        <v>RESOLVED</v>
      </c>
      <c r="J308" s="3" t="n">
        <f aca="false">IF(C308="TIMING_MISMATCH_TIMEZONE",1,IF(ABS(D308)&gt;5000,4,IF(C308="FEE_VARIANCE_BREACH",120,IF(LEFT(C308,8)="ORPHANED",48,24))))</f>
        <v>120</v>
      </c>
      <c r="K308" s="3" t="str">
        <f aca="false">IF(H308="","",IF(H308&gt;J308,"BREACH","OK"))</f>
        <v>BREACH</v>
      </c>
    </row>
    <row r="309" customFormat="false" ht="15" hidden="false" customHeight="false" outlineLevel="0" collapsed="false">
      <c r="A309" s="3" t="s">
        <v>1114</v>
      </c>
      <c r="B309" s="3" t="s">
        <v>1115</v>
      </c>
      <c r="C309" s="3" t="s">
        <v>531</v>
      </c>
      <c r="D309" s="7" t="n">
        <v>0</v>
      </c>
      <c r="E309" s="3" t="s">
        <v>512</v>
      </c>
      <c r="F309" s="8" t="n">
        <v>45642</v>
      </c>
      <c r="G309" s="9" t="n">
        <v>45642.419957506</v>
      </c>
      <c r="H309" s="3" t="n">
        <v>0.08</v>
      </c>
      <c r="I309" s="3" t="str">
        <f aca="false">IF(G309="","OPEN","RESOLVED")</f>
        <v>RESOLVED</v>
      </c>
      <c r="J309" s="3" t="n">
        <f aca="false">IF(C309="TIMING_MISMATCH_TIMEZONE",1,IF(ABS(D309)&gt;5000,4,IF(C309="FEE_VARIANCE_BREACH",120,IF(LEFT(C309,8)="ORPHANED",48,24))))</f>
        <v>1</v>
      </c>
      <c r="K309" s="3" t="str">
        <f aca="false">IF(H309="","",IF(H309&gt;J309,"BREACH","OK"))</f>
        <v>OK</v>
      </c>
    </row>
    <row r="310" customFormat="false" ht="15" hidden="false" customHeight="false" outlineLevel="0" collapsed="false">
      <c r="A310" s="3" t="s">
        <v>1116</v>
      </c>
      <c r="B310" s="3" t="s">
        <v>1117</v>
      </c>
      <c r="C310" s="3" t="s">
        <v>511</v>
      </c>
      <c r="D310" s="7" t="n">
        <v>226.32</v>
      </c>
      <c r="E310" s="3" t="s">
        <v>512</v>
      </c>
      <c r="F310" s="8" t="n">
        <v>45642</v>
      </c>
      <c r="G310" s="9" t="n">
        <v>45643.5533533547</v>
      </c>
      <c r="H310" s="3" t="n">
        <v>27.28</v>
      </c>
      <c r="I310" s="3" t="str">
        <f aca="false">IF(G310="","OPEN","RESOLVED")</f>
        <v>RESOLVED</v>
      </c>
      <c r="J310" s="3" t="n">
        <f aca="false">IF(C310="TIMING_MISMATCH_TIMEZONE",1,IF(ABS(D310)&gt;5000,4,IF(C310="FEE_VARIANCE_BREACH",120,IF(LEFT(C310,8)="ORPHANED",48,24))))</f>
        <v>48</v>
      </c>
      <c r="K310" s="3" t="str">
        <f aca="false">IF(H310="","",IF(H310&gt;J310,"BREACH","OK"))</f>
        <v>OK</v>
      </c>
    </row>
    <row r="311" customFormat="false" ht="15" hidden="false" customHeight="false" outlineLevel="0" collapsed="false">
      <c r="A311" s="3" t="s">
        <v>1118</v>
      </c>
      <c r="B311" s="3" t="s">
        <v>1119</v>
      </c>
      <c r="C311" s="3" t="s">
        <v>531</v>
      </c>
      <c r="D311" s="7" t="n">
        <v>0</v>
      </c>
      <c r="E311" s="3" t="s">
        <v>512</v>
      </c>
      <c r="F311" s="8" t="n">
        <v>45642</v>
      </c>
      <c r="G311" s="9" t="n">
        <v>45642.4202917311</v>
      </c>
      <c r="H311" s="3" t="n">
        <v>0.09</v>
      </c>
      <c r="I311" s="3" t="str">
        <f aca="false">IF(G311="","OPEN","RESOLVED")</f>
        <v>RESOLVED</v>
      </c>
      <c r="J311" s="3" t="n">
        <f aca="false">IF(C311="TIMING_MISMATCH_TIMEZONE",1,IF(ABS(D311)&gt;5000,4,IF(C311="FEE_VARIANCE_BREACH",120,IF(LEFT(C311,8)="ORPHANED",48,24))))</f>
        <v>1</v>
      </c>
      <c r="K311" s="3" t="str">
        <f aca="false">IF(H311="","",IF(H311&gt;J311,"BREACH","OK"))</f>
        <v>OK</v>
      </c>
    </row>
    <row r="312" customFormat="false" ht="15" hidden="false" customHeight="false" outlineLevel="0" collapsed="false">
      <c r="A312" s="3" t="s">
        <v>1120</v>
      </c>
      <c r="B312" s="3" t="s">
        <v>1121</v>
      </c>
      <c r="C312" s="3" t="s">
        <v>531</v>
      </c>
      <c r="D312" s="7" t="n">
        <v>0</v>
      </c>
      <c r="E312" s="3" t="s">
        <v>512</v>
      </c>
      <c r="F312" s="8" t="n">
        <v>45642</v>
      </c>
      <c r="G312" s="9" t="n">
        <v>45642.4222923873</v>
      </c>
      <c r="H312" s="3" t="n">
        <v>0.14</v>
      </c>
      <c r="I312" s="3" t="str">
        <f aca="false">IF(G312="","OPEN","RESOLVED")</f>
        <v>RESOLVED</v>
      </c>
      <c r="J312" s="3" t="n">
        <f aca="false">IF(C312="TIMING_MISMATCH_TIMEZONE",1,IF(ABS(D312)&gt;5000,4,IF(C312="FEE_VARIANCE_BREACH",120,IF(LEFT(C312,8)="ORPHANED",48,24))))</f>
        <v>1</v>
      </c>
      <c r="K312" s="3" t="str">
        <f aca="false">IF(H312="","",IF(H312&gt;J312,"BREACH","OK"))</f>
        <v>OK</v>
      </c>
    </row>
    <row r="313" customFormat="false" ht="15" hidden="false" customHeight="false" outlineLevel="0" collapsed="false">
      <c r="A313" s="3" t="s">
        <v>1122</v>
      </c>
      <c r="B313" s="3" t="s">
        <v>1123</v>
      </c>
      <c r="C313" s="3" t="s">
        <v>497</v>
      </c>
      <c r="D313" s="7" t="n">
        <v>-1.08</v>
      </c>
      <c r="E313" s="3" t="s">
        <v>498</v>
      </c>
      <c r="F313" s="8" t="n">
        <v>45642</v>
      </c>
      <c r="G313" s="9" t="n">
        <v>45645.3617202168</v>
      </c>
      <c r="H313" s="3" t="n">
        <v>70.68</v>
      </c>
      <c r="I313" s="3" t="str">
        <f aca="false">IF(G313="","OPEN","RESOLVED")</f>
        <v>RESOLVED</v>
      </c>
      <c r="J313" s="3" t="n">
        <f aca="false">IF(C313="TIMING_MISMATCH_TIMEZONE",1,IF(ABS(D313)&gt;5000,4,IF(C313="FEE_VARIANCE_BREACH",120,IF(LEFT(C313,8)="ORPHANED",48,24))))</f>
        <v>120</v>
      </c>
      <c r="K313" s="3" t="str">
        <f aca="false">IF(H313="","",IF(H313&gt;J313,"BREACH","OK"))</f>
        <v>OK</v>
      </c>
    </row>
    <row r="314" customFormat="false" ht="15" hidden="false" customHeight="false" outlineLevel="0" collapsed="false">
      <c r="A314" s="3" t="s">
        <v>1124</v>
      </c>
      <c r="B314" s="3" t="s">
        <v>1125</v>
      </c>
      <c r="C314" s="3" t="s">
        <v>511</v>
      </c>
      <c r="D314" s="7" t="n">
        <v>1643.49</v>
      </c>
      <c r="E314" s="3" t="s">
        <v>512</v>
      </c>
      <c r="F314" s="8" t="n">
        <v>45642</v>
      </c>
      <c r="G314" s="9" t="n">
        <v>45643.2378283665</v>
      </c>
      <c r="H314" s="3" t="n">
        <v>19.71</v>
      </c>
      <c r="I314" s="3" t="str">
        <f aca="false">IF(G314="","OPEN","RESOLVED")</f>
        <v>RESOLVED</v>
      </c>
      <c r="J314" s="3" t="n">
        <f aca="false">IF(C314="TIMING_MISMATCH_TIMEZONE",1,IF(ABS(D314)&gt;5000,4,IF(C314="FEE_VARIANCE_BREACH",120,IF(LEFT(C314,8)="ORPHANED",48,24))))</f>
        <v>48</v>
      </c>
      <c r="K314" s="3" t="str">
        <f aca="false">IF(H314="","",IF(H314&gt;J314,"BREACH","OK"))</f>
        <v>OK</v>
      </c>
    </row>
    <row r="315" customFormat="false" ht="15" hidden="false" customHeight="false" outlineLevel="0" collapsed="false">
      <c r="A315" s="3" t="s">
        <v>1126</v>
      </c>
      <c r="B315" s="3" t="s">
        <v>1127</v>
      </c>
      <c r="C315" s="3" t="s">
        <v>531</v>
      </c>
      <c r="D315" s="7" t="n">
        <v>0</v>
      </c>
      <c r="E315" s="3" t="s">
        <v>512</v>
      </c>
      <c r="F315" s="8" t="n">
        <v>45642</v>
      </c>
      <c r="G315" s="9" t="n">
        <v>45642.4335160425</v>
      </c>
      <c r="H315" s="3" t="n">
        <v>0.4</v>
      </c>
      <c r="I315" s="3" t="str">
        <f aca="false">IF(G315="","OPEN","RESOLVED")</f>
        <v>RESOLVED</v>
      </c>
      <c r="J315" s="3" t="n">
        <f aca="false">IF(C315="TIMING_MISMATCH_TIMEZONE",1,IF(ABS(D315)&gt;5000,4,IF(C315="FEE_VARIANCE_BREACH",120,IF(LEFT(C315,8)="ORPHANED",48,24))))</f>
        <v>1</v>
      </c>
      <c r="K315" s="3" t="str">
        <f aca="false">IF(H315="","",IF(H315&gt;J315,"BREACH","OK"))</f>
        <v>OK</v>
      </c>
    </row>
    <row r="316" customFormat="false" ht="15" hidden="false" customHeight="false" outlineLevel="0" collapsed="false">
      <c r="A316" s="3" t="s">
        <v>1128</v>
      </c>
      <c r="B316" s="3" t="s">
        <v>1129</v>
      </c>
      <c r="C316" s="3" t="s">
        <v>531</v>
      </c>
      <c r="D316" s="7" t="n">
        <v>0</v>
      </c>
      <c r="E316" s="3" t="s">
        <v>512</v>
      </c>
      <c r="F316" s="8" t="n">
        <v>45642</v>
      </c>
      <c r="G316" s="9" t="n">
        <v>45642.4273601426</v>
      </c>
      <c r="H316" s="3" t="n">
        <v>0.26</v>
      </c>
      <c r="I316" s="3" t="str">
        <f aca="false">IF(G316="","OPEN","RESOLVED")</f>
        <v>RESOLVED</v>
      </c>
      <c r="J316" s="3" t="n">
        <f aca="false">IF(C316="TIMING_MISMATCH_TIMEZONE",1,IF(ABS(D316)&gt;5000,4,IF(C316="FEE_VARIANCE_BREACH",120,IF(LEFT(C316,8)="ORPHANED",48,24))))</f>
        <v>1</v>
      </c>
      <c r="K316" s="3" t="str">
        <f aca="false">IF(H316="","",IF(H316&gt;J316,"BREACH","OK"))</f>
        <v>OK</v>
      </c>
    </row>
    <row r="317" customFormat="false" ht="15" hidden="false" customHeight="false" outlineLevel="0" collapsed="false">
      <c r="A317" s="3" t="s">
        <v>1130</v>
      </c>
      <c r="B317" s="3" t="s">
        <v>1131</v>
      </c>
      <c r="C317" s="3" t="s">
        <v>531</v>
      </c>
      <c r="D317" s="7" t="n">
        <v>0</v>
      </c>
      <c r="E317" s="3" t="s">
        <v>512</v>
      </c>
      <c r="F317" s="8" t="n">
        <v>45642</v>
      </c>
      <c r="G317" s="9" t="n">
        <v>45642.4219838983</v>
      </c>
      <c r="H317" s="3" t="n">
        <v>0.13</v>
      </c>
      <c r="I317" s="3" t="str">
        <f aca="false">IF(G317="","OPEN","RESOLVED")</f>
        <v>RESOLVED</v>
      </c>
      <c r="J317" s="3" t="n">
        <f aca="false">IF(C317="TIMING_MISMATCH_TIMEZONE",1,IF(ABS(D317)&gt;5000,4,IF(C317="FEE_VARIANCE_BREACH",120,IF(LEFT(C317,8)="ORPHANED",48,24))))</f>
        <v>1</v>
      </c>
      <c r="K317" s="3" t="str">
        <f aca="false">IF(H317="","",IF(H317&gt;J317,"BREACH","OK"))</f>
        <v>OK</v>
      </c>
    </row>
    <row r="318" customFormat="false" ht="15" hidden="false" customHeight="false" outlineLevel="0" collapsed="false">
      <c r="A318" s="3" t="s">
        <v>1132</v>
      </c>
      <c r="B318" s="3" t="s">
        <v>1133</v>
      </c>
      <c r="C318" s="3" t="s">
        <v>511</v>
      </c>
      <c r="D318" s="7" t="n">
        <v>397.49</v>
      </c>
      <c r="E318" s="3" t="s">
        <v>512</v>
      </c>
      <c r="F318" s="8" t="n">
        <v>45642</v>
      </c>
      <c r="G318" s="9" t="n">
        <v>45643.952528753</v>
      </c>
      <c r="H318" s="3" t="n">
        <v>36.86</v>
      </c>
      <c r="I318" s="3" t="str">
        <f aca="false">IF(G318="","OPEN","RESOLVED")</f>
        <v>RESOLVED</v>
      </c>
      <c r="J318" s="3" t="n">
        <f aca="false">IF(C318="TIMING_MISMATCH_TIMEZONE",1,IF(ABS(D318)&gt;5000,4,IF(C318="FEE_VARIANCE_BREACH",120,IF(LEFT(C318,8)="ORPHANED",48,24))))</f>
        <v>48</v>
      </c>
      <c r="K318" s="3" t="str">
        <f aca="false">IF(H318="","",IF(H318&gt;J318,"BREACH","OK"))</f>
        <v>OK</v>
      </c>
    </row>
    <row r="319" customFormat="false" ht="15" hidden="false" customHeight="false" outlineLevel="0" collapsed="false">
      <c r="A319" s="3" t="s">
        <v>1134</v>
      </c>
      <c r="B319" s="3" t="s">
        <v>1135</v>
      </c>
      <c r="C319" s="3" t="s">
        <v>531</v>
      </c>
      <c r="D319" s="7" t="n">
        <v>0</v>
      </c>
      <c r="E319" s="3" t="s">
        <v>512</v>
      </c>
      <c r="F319" s="8" t="n">
        <v>45642</v>
      </c>
      <c r="G319" s="9" t="n">
        <v>45642.4260258618</v>
      </c>
      <c r="H319" s="3" t="n">
        <v>0.22</v>
      </c>
      <c r="I319" s="3" t="str">
        <f aca="false">IF(G319="","OPEN","RESOLVED")</f>
        <v>RESOLVED</v>
      </c>
      <c r="J319" s="3" t="n">
        <f aca="false">IF(C319="TIMING_MISMATCH_TIMEZONE",1,IF(ABS(D319)&gt;5000,4,IF(C319="FEE_VARIANCE_BREACH",120,IF(LEFT(C319,8)="ORPHANED",48,24))))</f>
        <v>1</v>
      </c>
      <c r="K319" s="3" t="str">
        <f aca="false">IF(H319="","",IF(H319&gt;J319,"BREACH","OK"))</f>
        <v>OK</v>
      </c>
    </row>
    <row r="320" customFormat="false" ht="15" hidden="false" customHeight="false" outlineLevel="0" collapsed="false">
      <c r="A320" s="3" t="s">
        <v>1136</v>
      </c>
      <c r="B320" s="3" t="s">
        <v>1137</v>
      </c>
      <c r="C320" s="3" t="s">
        <v>497</v>
      </c>
      <c r="D320" s="7" t="n">
        <v>-1.9</v>
      </c>
      <c r="E320" s="3" t="s">
        <v>498</v>
      </c>
      <c r="F320" s="8" t="n">
        <v>45642</v>
      </c>
      <c r="G320" s="9" t="n">
        <v>45645.7172255888</v>
      </c>
      <c r="H320" s="3" t="n">
        <v>79.21</v>
      </c>
      <c r="I320" s="3" t="str">
        <f aca="false">IF(G320="","OPEN","RESOLVED")</f>
        <v>RESOLVED</v>
      </c>
      <c r="J320" s="3" t="n">
        <f aca="false">IF(C320="TIMING_MISMATCH_TIMEZONE",1,IF(ABS(D320)&gt;5000,4,IF(C320="FEE_VARIANCE_BREACH",120,IF(LEFT(C320,8)="ORPHANED",48,24))))</f>
        <v>120</v>
      </c>
      <c r="K320" s="3" t="str">
        <f aca="false">IF(H320="","",IF(H320&gt;J320,"BREACH","OK"))</f>
        <v>OK</v>
      </c>
    </row>
    <row r="321" customFormat="false" ht="15" hidden="false" customHeight="false" outlineLevel="0" collapsed="false">
      <c r="A321" s="3" t="s">
        <v>1138</v>
      </c>
      <c r="B321" s="3" t="s">
        <v>1139</v>
      </c>
      <c r="C321" s="3" t="s">
        <v>503</v>
      </c>
      <c r="D321" s="7" t="n">
        <v>-753.38</v>
      </c>
      <c r="E321" s="3" t="s">
        <v>504</v>
      </c>
      <c r="F321" s="8" t="n">
        <v>45642</v>
      </c>
      <c r="G321" s="9" t="n">
        <v>45644.8496424222</v>
      </c>
      <c r="H321" s="3" t="n">
        <v>58.39</v>
      </c>
      <c r="I321" s="3" t="str">
        <f aca="false">IF(G321="","OPEN","RESOLVED")</f>
        <v>RESOLVED</v>
      </c>
      <c r="J321" s="3" t="n">
        <f aca="false">IF(C321="TIMING_MISMATCH_TIMEZONE",1,IF(ABS(D321)&gt;5000,4,IF(C321="FEE_VARIANCE_BREACH",120,IF(LEFT(C321,8)="ORPHANED",48,24))))</f>
        <v>48</v>
      </c>
      <c r="K321" s="3" t="str">
        <f aca="false">IF(H321="","",IF(H321&gt;J321,"BREACH","OK"))</f>
        <v>BREACH</v>
      </c>
    </row>
    <row r="322" customFormat="false" ht="15" hidden="false" customHeight="false" outlineLevel="0" collapsed="false">
      <c r="A322" s="3" t="s">
        <v>1140</v>
      </c>
      <c r="B322" s="3" t="s">
        <v>1141</v>
      </c>
      <c r="C322" s="3" t="s">
        <v>531</v>
      </c>
      <c r="D322" s="7" t="n">
        <v>0</v>
      </c>
      <c r="E322" s="3" t="s">
        <v>512</v>
      </c>
      <c r="F322" s="8" t="n">
        <v>45642</v>
      </c>
      <c r="G322" s="9" t="n">
        <v>45642.4289956798</v>
      </c>
      <c r="H322" s="3" t="n">
        <v>0.3</v>
      </c>
      <c r="I322" s="3" t="str">
        <f aca="false">IF(G322="","OPEN","RESOLVED")</f>
        <v>RESOLVED</v>
      </c>
      <c r="J322" s="3" t="n">
        <f aca="false">IF(C322="TIMING_MISMATCH_TIMEZONE",1,IF(ABS(D322)&gt;5000,4,IF(C322="FEE_VARIANCE_BREACH",120,IF(LEFT(C322,8)="ORPHANED",48,24))))</f>
        <v>1</v>
      </c>
      <c r="K322" s="3" t="str">
        <f aca="false">IF(H322="","",IF(H322&gt;J322,"BREACH","OK"))</f>
        <v>OK</v>
      </c>
    </row>
    <row r="323" customFormat="false" ht="15" hidden="false" customHeight="false" outlineLevel="0" collapsed="false">
      <c r="A323" s="3" t="s">
        <v>1142</v>
      </c>
      <c r="B323" s="3" t="s">
        <v>1143</v>
      </c>
      <c r="C323" s="3" t="s">
        <v>531</v>
      </c>
      <c r="D323" s="7" t="n">
        <v>0</v>
      </c>
      <c r="E323" s="3" t="s">
        <v>512</v>
      </c>
      <c r="F323" s="8" t="n">
        <v>45642</v>
      </c>
      <c r="G323" s="9" t="n">
        <v>45642.4268188152</v>
      </c>
      <c r="H323" s="3" t="n">
        <v>0.24</v>
      </c>
      <c r="I323" s="3" t="str">
        <f aca="false">IF(G323="","OPEN","RESOLVED")</f>
        <v>RESOLVED</v>
      </c>
      <c r="J323" s="3" t="n">
        <f aca="false">IF(C323="TIMING_MISMATCH_TIMEZONE",1,IF(ABS(D323)&gt;5000,4,IF(C323="FEE_VARIANCE_BREACH",120,IF(LEFT(C323,8)="ORPHANED",48,24))))</f>
        <v>1</v>
      </c>
      <c r="K323" s="3" t="str">
        <f aca="false">IF(H323="","",IF(H323&gt;J323,"BREACH","OK"))</f>
        <v>OK</v>
      </c>
    </row>
    <row r="324" customFormat="false" ht="15" hidden="false" customHeight="false" outlineLevel="0" collapsed="false">
      <c r="A324" s="3" t="s">
        <v>1144</v>
      </c>
      <c r="B324" s="3" t="s">
        <v>1145</v>
      </c>
      <c r="C324" s="3" t="s">
        <v>511</v>
      </c>
      <c r="D324" s="7" t="n">
        <v>114.03</v>
      </c>
      <c r="E324" s="3" t="s">
        <v>512</v>
      </c>
      <c r="F324" s="8" t="n">
        <v>45642</v>
      </c>
      <c r="G324" s="9" t="n">
        <v>45642.8263103537</v>
      </c>
      <c r="H324" s="3" t="n">
        <v>9.83</v>
      </c>
      <c r="I324" s="3" t="str">
        <f aca="false">IF(G324="","OPEN","RESOLVED")</f>
        <v>RESOLVED</v>
      </c>
      <c r="J324" s="3" t="n">
        <f aca="false">IF(C324="TIMING_MISMATCH_TIMEZONE",1,IF(ABS(D324)&gt;5000,4,IF(C324="FEE_VARIANCE_BREACH",120,IF(LEFT(C324,8)="ORPHANED",48,24))))</f>
        <v>48</v>
      </c>
      <c r="K324" s="3" t="str">
        <f aca="false">IF(H324="","",IF(H324&gt;J324,"BREACH","OK"))</f>
        <v>OK</v>
      </c>
    </row>
    <row r="325" customFormat="false" ht="15" hidden="false" customHeight="false" outlineLevel="0" collapsed="false">
      <c r="A325" s="3" t="s">
        <v>1146</v>
      </c>
      <c r="B325" s="3" t="s">
        <v>1147</v>
      </c>
      <c r="C325" s="3" t="s">
        <v>531</v>
      </c>
      <c r="D325" s="7" t="n">
        <v>0</v>
      </c>
      <c r="E325" s="3" t="s">
        <v>512</v>
      </c>
      <c r="F325" s="8" t="n">
        <v>45642</v>
      </c>
      <c r="G325" s="9" t="n">
        <v>45642.4343874988</v>
      </c>
      <c r="H325" s="3" t="n">
        <v>0.43</v>
      </c>
      <c r="I325" s="3" t="str">
        <f aca="false">IF(G325="","OPEN","RESOLVED")</f>
        <v>RESOLVED</v>
      </c>
      <c r="J325" s="3" t="n">
        <f aca="false">IF(C325="TIMING_MISMATCH_TIMEZONE",1,IF(ABS(D325)&gt;5000,4,IF(C325="FEE_VARIANCE_BREACH",120,IF(LEFT(C325,8)="ORPHANED",48,24))))</f>
        <v>1</v>
      </c>
      <c r="K325" s="3" t="str">
        <f aca="false">IF(H325="","",IF(H325&gt;J325,"BREACH","OK"))</f>
        <v>OK</v>
      </c>
    </row>
    <row r="326" customFormat="false" ht="15" hidden="false" customHeight="false" outlineLevel="0" collapsed="false">
      <c r="A326" s="3" t="s">
        <v>1148</v>
      </c>
      <c r="B326" s="3" t="s">
        <v>1149</v>
      </c>
      <c r="C326" s="3" t="s">
        <v>497</v>
      </c>
      <c r="D326" s="7" t="n">
        <v>-0.75</v>
      </c>
      <c r="E326" s="3" t="s">
        <v>498</v>
      </c>
      <c r="F326" s="8" t="n">
        <v>45642</v>
      </c>
      <c r="G326" s="9" t="n">
        <v>45645.898406224</v>
      </c>
      <c r="H326" s="3" t="n">
        <v>83.56</v>
      </c>
      <c r="I326" s="3" t="str">
        <f aca="false">IF(G326="","OPEN","RESOLVED")</f>
        <v>RESOLVED</v>
      </c>
      <c r="J326" s="3" t="n">
        <f aca="false">IF(C326="TIMING_MISMATCH_TIMEZONE",1,IF(ABS(D326)&gt;5000,4,IF(C326="FEE_VARIANCE_BREACH",120,IF(LEFT(C326,8)="ORPHANED",48,24))))</f>
        <v>120</v>
      </c>
      <c r="K326" s="3" t="str">
        <f aca="false">IF(H326="","",IF(H326&gt;J326,"BREACH","OK"))</f>
        <v>OK</v>
      </c>
    </row>
    <row r="327" customFormat="false" ht="15" hidden="false" customHeight="false" outlineLevel="0" collapsed="false">
      <c r="A327" s="3" t="s">
        <v>1150</v>
      </c>
      <c r="B327" s="3" t="s">
        <v>1151</v>
      </c>
      <c r="C327" s="3" t="s">
        <v>531</v>
      </c>
      <c r="D327" s="7" t="n">
        <v>0</v>
      </c>
      <c r="E327" s="3" t="s">
        <v>512</v>
      </c>
      <c r="F327" s="8" t="n">
        <v>45642</v>
      </c>
      <c r="G327" s="9" t="n">
        <v>45642.4261164309</v>
      </c>
      <c r="H327" s="3" t="n">
        <v>0.23</v>
      </c>
      <c r="I327" s="3" t="str">
        <f aca="false">IF(G327="","OPEN","RESOLVED")</f>
        <v>RESOLVED</v>
      </c>
      <c r="J327" s="3" t="n">
        <f aca="false">IF(C327="TIMING_MISMATCH_TIMEZONE",1,IF(ABS(D327)&gt;5000,4,IF(C327="FEE_VARIANCE_BREACH",120,IF(LEFT(C327,8)="ORPHANED",48,24))))</f>
        <v>1</v>
      </c>
      <c r="K327" s="3" t="str">
        <f aca="false">IF(H327="","",IF(H327&gt;J327,"BREACH","OK"))</f>
        <v>OK</v>
      </c>
    </row>
    <row r="328" customFormat="false" ht="15" hidden="false" customHeight="false" outlineLevel="0" collapsed="false">
      <c r="A328" s="3" t="s">
        <v>1152</v>
      </c>
      <c r="B328" s="3" t="s">
        <v>1153</v>
      </c>
      <c r="C328" s="3" t="s">
        <v>531</v>
      </c>
      <c r="D328" s="7" t="n">
        <v>0</v>
      </c>
      <c r="E328" s="3" t="s">
        <v>512</v>
      </c>
      <c r="F328" s="8" t="n">
        <v>45643</v>
      </c>
      <c r="G328" s="9" t="n">
        <v>45643.423605898</v>
      </c>
      <c r="H328" s="3" t="n">
        <v>0.17</v>
      </c>
      <c r="I328" s="3" t="str">
        <f aca="false">IF(G328="","OPEN","RESOLVED")</f>
        <v>RESOLVED</v>
      </c>
      <c r="J328" s="3" t="n">
        <f aca="false">IF(C328="TIMING_MISMATCH_TIMEZONE",1,IF(ABS(D328)&gt;5000,4,IF(C328="FEE_VARIANCE_BREACH",120,IF(LEFT(C328,8)="ORPHANED",48,24))))</f>
        <v>1</v>
      </c>
      <c r="K328" s="3" t="str">
        <f aca="false">IF(H328="","",IF(H328&gt;J328,"BREACH","OK"))</f>
        <v>OK</v>
      </c>
    </row>
    <row r="329" customFormat="false" ht="15" hidden="false" customHeight="false" outlineLevel="0" collapsed="false">
      <c r="A329" s="3" t="s">
        <v>1154</v>
      </c>
      <c r="B329" s="3" t="s">
        <v>1155</v>
      </c>
      <c r="C329" s="3" t="s">
        <v>531</v>
      </c>
      <c r="D329" s="7" t="n">
        <v>0</v>
      </c>
      <c r="E329" s="3" t="s">
        <v>512</v>
      </c>
      <c r="F329" s="8" t="n">
        <v>45643</v>
      </c>
      <c r="G329" s="9" t="n">
        <v>45643.4335322453</v>
      </c>
      <c r="H329" s="3" t="n">
        <v>0.4</v>
      </c>
      <c r="I329" s="3" t="str">
        <f aca="false">IF(G329="","OPEN","RESOLVED")</f>
        <v>RESOLVED</v>
      </c>
      <c r="J329" s="3" t="n">
        <f aca="false">IF(C329="TIMING_MISMATCH_TIMEZONE",1,IF(ABS(D329)&gt;5000,4,IF(C329="FEE_VARIANCE_BREACH",120,IF(LEFT(C329,8)="ORPHANED",48,24))))</f>
        <v>1</v>
      </c>
      <c r="K329" s="3" t="str">
        <f aca="false">IF(H329="","",IF(H329&gt;J329,"BREACH","OK"))</f>
        <v>OK</v>
      </c>
    </row>
    <row r="330" customFormat="false" ht="15" hidden="false" customHeight="false" outlineLevel="0" collapsed="false">
      <c r="A330" s="3" t="s">
        <v>1156</v>
      </c>
      <c r="B330" s="3" t="s">
        <v>1157</v>
      </c>
      <c r="C330" s="3" t="s">
        <v>497</v>
      </c>
      <c r="D330" s="7" t="n">
        <v>-2.95</v>
      </c>
      <c r="E330" s="3" t="s">
        <v>498</v>
      </c>
      <c r="F330" s="8" t="n">
        <v>45643</v>
      </c>
      <c r="G330" s="9" t="n">
        <v>45646.2049385911</v>
      </c>
      <c r="H330" s="3" t="n">
        <v>66.92</v>
      </c>
      <c r="I330" s="3" t="str">
        <f aca="false">IF(G330="","OPEN","RESOLVED")</f>
        <v>RESOLVED</v>
      </c>
      <c r="J330" s="3" t="n">
        <f aca="false">IF(C330="TIMING_MISMATCH_TIMEZONE",1,IF(ABS(D330)&gt;5000,4,IF(C330="FEE_VARIANCE_BREACH",120,IF(LEFT(C330,8)="ORPHANED",48,24))))</f>
        <v>120</v>
      </c>
      <c r="K330" s="3" t="str">
        <f aca="false">IF(H330="","",IF(H330&gt;J330,"BREACH","OK"))</f>
        <v>OK</v>
      </c>
    </row>
    <row r="331" customFormat="false" ht="15" hidden="false" customHeight="false" outlineLevel="0" collapsed="false">
      <c r="A331" s="3" t="s">
        <v>1158</v>
      </c>
      <c r="B331" s="3" t="s">
        <v>1159</v>
      </c>
      <c r="C331" s="3" t="s">
        <v>531</v>
      </c>
      <c r="D331" s="7" t="n">
        <v>0</v>
      </c>
      <c r="E331" s="3" t="s">
        <v>512</v>
      </c>
      <c r="F331" s="8" t="n">
        <v>45643</v>
      </c>
      <c r="G331" s="9" t="n">
        <v>45643.4308560148</v>
      </c>
      <c r="H331" s="3" t="n">
        <v>0.34</v>
      </c>
      <c r="I331" s="3" t="str">
        <f aca="false">IF(G331="","OPEN","RESOLVED")</f>
        <v>RESOLVED</v>
      </c>
      <c r="J331" s="3" t="n">
        <f aca="false">IF(C331="TIMING_MISMATCH_TIMEZONE",1,IF(ABS(D331)&gt;5000,4,IF(C331="FEE_VARIANCE_BREACH",120,IF(LEFT(C331,8)="ORPHANED",48,24))))</f>
        <v>1</v>
      </c>
      <c r="K331" s="3" t="str">
        <f aca="false">IF(H331="","",IF(H331&gt;J331,"BREACH","OK"))</f>
        <v>OK</v>
      </c>
    </row>
    <row r="332" customFormat="false" ht="15" hidden="false" customHeight="false" outlineLevel="0" collapsed="false">
      <c r="A332" s="3" t="s">
        <v>1160</v>
      </c>
      <c r="B332" s="3" t="s">
        <v>1161</v>
      </c>
      <c r="C332" s="3" t="s">
        <v>531</v>
      </c>
      <c r="D332" s="7" t="n">
        <v>0</v>
      </c>
      <c r="E332" s="3" t="s">
        <v>512</v>
      </c>
      <c r="F332" s="8" t="n">
        <v>45643</v>
      </c>
      <c r="G332" s="9" t="n">
        <v>45643.4283730482</v>
      </c>
      <c r="H332" s="3" t="n">
        <v>0.28</v>
      </c>
      <c r="I332" s="3" t="str">
        <f aca="false">IF(G332="","OPEN","RESOLVED")</f>
        <v>RESOLVED</v>
      </c>
      <c r="J332" s="3" t="n">
        <f aca="false">IF(C332="TIMING_MISMATCH_TIMEZONE",1,IF(ABS(D332)&gt;5000,4,IF(C332="FEE_VARIANCE_BREACH",120,IF(LEFT(C332,8)="ORPHANED",48,24))))</f>
        <v>1</v>
      </c>
      <c r="K332" s="3" t="str">
        <f aca="false">IF(H332="","",IF(H332&gt;J332,"BREACH","OK"))</f>
        <v>OK</v>
      </c>
    </row>
    <row r="333" customFormat="false" ht="15" hidden="false" customHeight="false" outlineLevel="0" collapsed="false">
      <c r="A333" s="3" t="s">
        <v>1162</v>
      </c>
      <c r="B333" s="3" t="s">
        <v>1163</v>
      </c>
      <c r="C333" s="3" t="s">
        <v>497</v>
      </c>
      <c r="D333" s="7" t="n">
        <v>-0.64</v>
      </c>
      <c r="E333" s="3" t="s">
        <v>498</v>
      </c>
      <c r="F333" s="8" t="n">
        <v>45643</v>
      </c>
      <c r="G333" s="9" t="n">
        <v>45649.6931854084</v>
      </c>
      <c r="H333" s="3" t="n">
        <v>102.64</v>
      </c>
      <c r="I333" s="3" t="str">
        <f aca="false">IF(G333="","OPEN","RESOLVED")</f>
        <v>RESOLVED</v>
      </c>
      <c r="J333" s="3" t="n">
        <f aca="false">IF(C333="TIMING_MISMATCH_TIMEZONE",1,IF(ABS(D333)&gt;5000,4,IF(C333="FEE_VARIANCE_BREACH",120,IF(LEFT(C333,8)="ORPHANED",48,24))))</f>
        <v>120</v>
      </c>
      <c r="K333" s="3" t="str">
        <f aca="false">IF(H333="","",IF(H333&gt;J333,"BREACH","OK"))</f>
        <v>OK</v>
      </c>
    </row>
    <row r="334" customFormat="false" ht="15" hidden="false" customHeight="false" outlineLevel="0" collapsed="false">
      <c r="A334" s="3" t="s">
        <v>1164</v>
      </c>
      <c r="B334" s="3" t="s">
        <v>1165</v>
      </c>
      <c r="C334" s="3" t="s">
        <v>531</v>
      </c>
      <c r="D334" s="7" t="n">
        <v>0</v>
      </c>
      <c r="E334" s="3" t="s">
        <v>512</v>
      </c>
      <c r="F334" s="8" t="n">
        <v>45643</v>
      </c>
      <c r="G334" s="9" t="n">
        <v>45643.4338206254</v>
      </c>
      <c r="H334" s="3" t="n">
        <v>0.41</v>
      </c>
      <c r="I334" s="3" t="str">
        <f aca="false">IF(G334="","OPEN","RESOLVED")</f>
        <v>RESOLVED</v>
      </c>
      <c r="J334" s="3" t="n">
        <f aca="false">IF(C334="TIMING_MISMATCH_TIMEZONE",1,IF(ABS(D334)&gt;5000,4,IF(C334="FEE_VARIANCE_BREACH",120,IF(LEFT(C334,8)="ORPHANED",48,24))))</f>
        <v>1</v>
      </c>
      <c r="K334" s="3" t="str">
        <f aca="false">IF(H334="","",IF(H334&gt;J334,"BREACH","OK"))</f>
        <v>OK</v>
      </c>
    </row>
    <row r="335" customFormat="false" ht="15" hidden="false" customHeight="false" outlineLevel="0" collapsed="false">
      <c r="A335" s="3" t="s">
        <v>1166</v>
      </c>
      <c r="B335" s="3" t="s">
        <v>1167</v>
      </c>
      <c r="C335" s="3" t="s">
        <v>503</v>
      </c>
      <c r="D335" s="7" t="n">
        <v>-1164.51</v>
      </c>
      <c r="E335" s="3" t="s">
        <v>504</v>
      </c>
      <c r="F335" s="8" t="n">
        <v>45643</v>
      </c>
      <c r="G335" s="9" t="n">
        <v>45644.8539382197</v>
      </c>
      <c r="H335" s="3" t="n">
        <v>34.49</v>
      </c>
      <c r="I335" s="3" t="str">
        <f aca="false">IF(G335="","OPEN","RESOLVED")</f>
        <v>RESOLVED</v>
      </c>
      <c r="J335" s="3" t="n">
        <f aca="false">IF(C335="TIMING_MISMATCH_TIMEZONE",1,IF(ABS(D335)&gt;5000,4,IF(C335="FEE_VARIANCE_BREACH",120,IF(LEFT(C335,8)="ORPHANED",48,24))))</f>
        <v>48</v>
      </c>
      <c r="K335" s="3" t="str">
        <f aca="false">IF(H335="","",IF(H335&gt;J335,"BREACH","OK"))</f>
        <v>OK</v>
      </c>
    </row>
    <row r="336" customFormat="false" ht="15" hidden="false" customHeight="false" outlineLevel="0" collapsed="false">
      <c r="A336" s="3" t="s">
        <v>1168</v>
      </c>
      <c r="B336" s="3" t="s">
        <v>1169</v>
      </c>
      <c r="C336" s="3" t="s">
        <v>531</v>
      </c>
      <c r="D336" s="7" t="n">
        <v>0</v>
      </c>
      <c r="E336" s="3" t="s">
        <v>512</v>
      </c>
      <c r="F336" s="8" t="n">
        <v>45643</v>
      </c>
      <c r="G336" s="9" t="n">
        <v>45643.4210753514</v>
      </c>
      <c r="H336" s="3" t="n">
        <v>0.11</v>
      </c>
      <c r="I336" s="3" t="str">
        <f aca="false">IF(G336="","OPEN","RESOLVED")</f>
        <v>RESOLVED</v>
      </c>
      <c r="J336" s="3" t="n">
        <f aca="false">IF(C336="TIMING_MISMATCH_TIMEZONE",1,IF(ABS(D336)&gt;5000,4,IF(C336="FEE_VARIANCE_BREACH",120,IF(LEFT(C336,8)="ORPHANED",48,24))))</f>
        <v>1</v>
      </c>
      <c r="K336" s="3" t="str">
        <f aca="false">IF(H336="","",IF(H336&gt;J336,"BREACH","OK"))</f>
        <v>OK</v>
      </c>
    </row>
    <row r="337" customFormat="false" ht="15" hidden="false" customHeight="false" outlineLevel="0" collapsed="false">
      <c r="A337" s="3" t="s">
        <v>1170</v>
      </c>
      <c r="B337" s="3" t="s">
        <v>1171</v>
      </c>
      <c r="C337" s="3" t="s">
        <v>531</v>
      </c>
      <c r="D337" s="7" t="n">
        <v>0</v>
      </c>
      <c r="E337" s="3" t="s">
        <v>512</v>
      </c>
      <c r="F337" s="8" t="n">
        <v>45643</v>
      </c>
      <c r="G337" s="9" t="n">
        <v>45643.4281025158</v>
      </c>
      <c r="H337" s="3" t="n">
        <v>0.27</v>
      </c>
      <c r="I337" s="3" t="str">
        <f aca="false">IF(G337="","OPEN","RESOLVED")</f>
        <v>RESOLVED</v>
      </c>
      <c r="J337" s="3" t="n">
        <f aca="false">IF(C337="TIMING_MISMATCH_TIMEZONE",1,IF(ABS(D337)&gt;5000,4,IF(C337="FEE_VARIANCE_BREACH",120,IF(LEFT(C337,8)="ORPHANED",48,24))))</f>
        <v>1</v>
      </c>
      <c r="K337" s="3" t="str">
        <f aca="false">IF(H337="","",IF(H337&gt;J337,"BREACH","OK"))</f>
        <v>OK</v>
      </c>
    </row>
    <row r="338" customFormat="false" ht="15" hidden="false" customHeight="false" outlineLevel="0" collapsed="false">
      <c r="A338" s="3" t="s">
        <v>1172</v>
      </c>
      <c r="B338" s="3" t="s">
        <v>1173</v>
      </c>
      <c r="C338" s="3" t="s">
        <v>497</v>
      </c>
      <c r="D338" s="7" t="n">
        <v>-9.98</v>
      </c>
      <c r="E338" s="3" t="s">
        <v>498</v>
      </c>
      <c r="F338" s="8" t="n">
        <v>45643</v>
      </c>
      <c r="G338" s="9" t="n">
        <v>45645.7046785739</v>
      </c>
      <c r="H338" s="3" t="n">
        <v>54.91</v>
      </c>
      <c r="I338" s="3" t="str">
        <f aca="false">IF(G338="","OPEN","RESOLVED")</f>
        <v>RESOLVED</v>
      </c>
      <c r="J338" s="3" t="n">
        <f aca="false">IF(C338="TIMING_MISMATCH_TIMEZONE",1,IF(ABS(D338)&gt;5000,4,IF(C338="FEE_VARIANCE_BREACH",120,IF(LEFT(C338,8)="ORPHANED",48,24))))</f>
        <v>120</v>
      </c>
      <c r="K338" s="3" t="str">
        <f aca="false">IF(H338="","",IF(H338&gt;J338,"BREACH","OK"))</f>
        <v>OK</v>
      </c>
    </row>
    <row r="339" customFormat="false" ht="15" hidden="false" customHeight="false" outlineLevel="0" collapsed="false">
      <c r="A339" s="3" t="s">
        <v>1174</v>
      </c>
      <c r="B339" s="3" t="s">
        <v>1175</v>
      </c>
      <c r="C339" s="3" t="s">
        <v>511</v>
      </c>
      <c r="D339" s="7" t="n">
        <v>151.46</v>
      </c>
      <c r="E339" s="3" t="s">
        <v>512</v>
      </c>
      <c r="F339" s="8" t="n">
        <v>45643</v>
      </c>
      <c r="G339" s="9" t="n">
        <v>45644.9516586204</v>
      </c>
      <c r="H339" s="3" t="n">
        <v>36.84</v>
      </c>
      <c r="I339" s="3" t="str">
        <f aca="false">IF(G339="","OPEN","RESOLVED")</f>
        <v>RESOLVED</v>
      </c>
      <c r="J339" s="3" t="n">
        <f aca="false">IF(C339="TIMING_MISMATCH_TIMEZONE",1,IF(ABS(D339)&gt;5000,4,IF(C339="FEE_VARIANCE_BREACH",120,IF(LEFT(C339,8)="ORPHANED",48,24))))</f>
        <v>48</v>
      </c>
      <c r="K339" s="3" t="str">
        <f aca="false">IF(H339="","",IF(H339&gt;J339,"BREACH","OK"))</f>
        <v>OK</v>
      </c>
    </row>
    <row r="340" customFormat="false" ht="15" hidden="false" customHeight="false" outlineLevel="0" collapsed="false">
      <c r="A340" s="3" t="s">
        <v>1176</v>
      </c>
      <c r="B340" s="3" t="s">
        <v>1177</v>
      </c>
      <c r="C340" s="3" t="s">
        <v>531</v>
      </c>
      <c r="D340" s="7" t="n">
        <v>0</v>
      </c>
      <c r="E340" s="3" t="s">
        <v>512</v>
      </c>
      <c r="F340" s="8" t="n">
        <v>45643</v>
      </c>
      <c r="G340" s="9" t="n">
        <v>45643.4263705012</v>
      </c>
      <c r="H340" s="3" t="n">
        <v>0.23</v>
      </c>
      <c r="I340" s="3" t="str">
        <f aca="false">IF(G340="","OPEN","RESOLVED")</f>
        <v>RESOLVED</v>
      </c>
      <c r="J340" s="3" t="n">
        <f aca="false">IF(C340="TIMING_MISMATCH_TIMEZONE",1,IF(ABS(D340)&gt;5000,4,IF(C340="FEE_VARIANCE_BREACH",120,IF(LEFT(C340,8)="ORPHANED",48,24))))</f>
        <v>1</v>
      </c>
      <c r="K340" s="3" t="str">
        <f aca="false">IF(H340="","",IF(H340&gt;J340,"BREACH","OK"))</f>
        <v>OK</v>
      </c>
    </row>
    <row r="341" customFormat="false" ht="15" hidden="false" customHeight="false" outlineLevel="0" collapsed="false">
      <c r="A341" s="3" t="s">
        <v>1178</v>
      </c>
      <c r="B341" s="3" t="s">
        <v>1179</v>
      </c>
      <c r="C341" s="3" t="s">
        <v>531</v>
      </c>
      <c r="D341" s="7" t="n">
        <v>0</v>
      </c>
      <c r="E341" s="3" t="s">
        <v>512</v>
      </c>
      <c r="F341" s="8" t="n">
        <v>45643</v>
      </c>
      <c r="G341" s="9" t="n">
        <v>45643.4196413382</v>
      </c>
      <c r="H341" s="3" t="n">
        <v>0.07</v>
      </c>
      <c r="I341" s="3" t="str">
        <f aca="false">IF(G341="","OPEN","RESOLVED")</f>
        <v>RESOLVED</v>
      </c>
      <c r="J341" s="3" t="n">
        <f aca="false">IF(C341="TIMING_MISMATCH_TIMEZONE",1,IF(ABS(D341)&gt;5000,4,IF(C341="FEE_VARIANCE_BREACH",120,IF(LEFT(C341,8)="ORPHANED",48,24))))</f>
        <v>1</v>
      </c>
      <c r="K341" s="3" t="str">
        <f aca="false">IF(H341="","",IF(H341&gt;J341,"BREACH","OK"))</f>
        <v>OK</v>
      </c>
    </row>
    <row r="342" customFormat="false" ht="15" hidden="false" customHeight="false" outlineLevel="0" collapsed="false">
      <c r="A342" s="3" t="s">
        <v>1180</v>
      </c>
      <c r="B342" s="3" t="s">
        <v>1181</v>
      </c>
      <c r="C342" s="3" t="s">
        <v>531</v>
      </c>
      <c r="D342" s="7" t="n">
        <v>0</v>
      </c>
      <c r="E342" s="3" t="s">
        <v>512</v>
      </c>
      <c r="F342" s="8" t="n">
        <v>45643</v>
      </c>
      <c r="G342" s="9" t="n">
        <v>45643.4262283187</v>
      </c>
      <c r="H342" s="3" t="n">
        <v>0.23</v>
      </c>
      <c r="I342" s="3" t="str">
        <f aca="false">IF(G342="","OPEN","RESOLVED")</f>
        <v>RESOLVED</v>
      </c>
      <c r="J342" s="3" t="n">
        <f aca="false">IF(C342="TIMING_MISMATCH_TIMEZONE",1,IF(ABS(D342)&gt;5000,4,IF(C342="FEE_VARIANCE_BREACH",120,IF(LEFT(C342,8)="ORPHANED",48,24))))</f>
        <v>1</v>
      </c>
      <c r="K342" s="3" t="str">
        <f aca="false">IF(H342="","",IF(H342&gt;J342,"BREACH","OK"))</f>
        <v>OK</v>
      </c>
    </row>
    <row r="343" customFormat="false" ht="15" hidden="false" customHeight="false" outlineLevel="0" collapsed="false">
      <c r="A343" s="3" t="s">
        <v>1182</v>
      </c>
      <c r="B343" s="3" t="s">
        <v>1183</v>
      </c>
      <c r="C343" s="3" t="s">
        <v>511</v>
      </c>
      <c r="D343" s="7" t="n">
        <v>206.27</v>
      </c>
      <c r="E343" s="3" t="s">
        <v>512</v>
      </c>
      <c r="F343" s="8" t="n">
        <v>45643</v>
      </c>
      <c r="G343" s="9" t="n">
        <v>45645.0567708264</v>
      </c>
      <c r="H343" s="3" t="n">
        <v>39.36</v>
      </c>
      <c r="I343" s="3" t="str">
        <f aca="false">IF(G343="","OPEN","RESOLVED")</f>
        <v>RESOLVED</v>
      </c>
      <c r="J343" s="3" t="n">
        <f aca="false">IF(C343="TIMING_MISMATCH_TIMEZONE",1,IF(ABS(D343)&gt;5000,4,IF(C343="FEE_VARIANCE_BREACH",120,IF(LEFT(C343,8)="ORPHANED",48,24))))</f>
        <v>48</v>
      </c>
      <c r="K343" s="3" t="str">
        <f aca="false">IF(H343="","",IF(H343&gt;J343,"BREACH","OK"))</f>
        <v>OK</v>
      </c>
    </row>
    <row r="344" customFormat="false" ht="15" hidden="false" customHeight="false" outlineLevel="0" collapsed="false">
      <c r="A344" s="3" t="s">
        <v>1184</v>
      </c>
      <c r="B344" s="3" t="s">
        <v>1185</v>
      </c>
      <c r="C344" s="3" t="s">
        <v>497</v>
      </c>
      <c r="D344" s="7" t="n">
        <v>-0.82</v>
      </c>
      <c r="E344" s="3" t="s">
        <v>498</v>
      </c>
      <c r="F344" s="8" t="n">
        <v>45643</v>
      </c>
      <c r="G344" s="9" t="n">
        <v>45646.7640341015</v>
      </c>
      <c r="H344" s="3" t="n">
        <v>80.34</v>
      </c>
      <c r="I344" s="3" t="str">
        <f aca="false">IF(G344="","OPEN","RESOLVED")</f>
        <v>RESOLVED</v>
      </c>
      <c r="J344" s="3" t="n">
        <f aca="false">IF(C344="TIMING_MISMATCH_TIMEZONE",1,IF(ABS(D344)&gt;5000,4,IF(C344="FEE_VARIANCE_BREACH",120,IF(LEFT(C344,8)="ORPHANED",48,24))))</f>
        <v>120</v>
      </c>
      <c r="K344" s="3" t="str">
        <f aca="false">IF(H344="","",IF(H344&gt;J344,"BREACH","OK"))</f>
        <v>OK</v>
      </c>
    </row>
    <row r="345" customFormat="false" ht="15" hidden="false" customHeight="false" outlineLevel="0" collapsed="false">
      <c r="A345" s="3" t="s">
        <v>1186</v>
      </c>
      <c r="B345" s="3" t="s">
        <v>1187</v>
      </c>
      <c r="C345" s="3" t="s">
        <v>531</v>
      </c>
      <c r="D345" s="7" t="n">
        <v>0</v>
      </c>
      <c r="E345" s="3" t="s">
        <v>512</v>
      </c>
      <c r="F345" s="8" t="n">
        <v>45644</v>
      </c>
      <c r="G345" s="9" t="n">
        <v>45644.420280686</v>
      </c>
      <c r="H345" s="3" t="n">
        <v>0.09</v>
      </c>
      <c r="I345" s="3" t="str">
        <f aca="false">IF(G345="","OPEN","RESOLVED")</f>
        <v>RESOLVED</v>
      </c>
      <c r="J345" s="3" t="n">
        <f aca="false">IF(C345="TIMING_MISMATCH_TIMEZONE",1,IF(ABS(D345)&gt;5000,4,IF(C345="FEE_VARIANCE_BREACH",120,IF(LEFT(C345,8)="ORPHANED",48,24))))</f>
        <v>1</v>
      </c>
      <c r="K345" s="3" t="str">
        <f aca="false">IF(H345="","",IF(H345&gt;J345,"BREACH","OK"))</f>
        <v>OK</v>
      </c>
    </row>
    <row r="346" customFormat="false" ht="15" hidden="false" customHeight="false" outlineLevel="0" collapsed="false">
      <c r="A346" s="3" t="s">
        <v>1188</v>
      </c>
      <c r="B346" s="3" t="s">
        <v>1189</v>
      </c>
      <c r="C346" s="3" t="s">
        <v>511</v>
      </c>
      <c r="D346" s="7" t="n">
        <v>148.19</v>
      </c>
      <c r="E346" s="3" t="s">
        <v>512</v>
      </c>
      <c r="F346" s="8" t="n">
        <v>45644</v>
      </c>
      <c r="G346" s="9" t="n">
        <v>45645.0158956492</v>
      </c>
      <c r="H346" s="3" t="n">
        <v>14.38</v>
      </c>
      <c r="I346" s="3" t="str">
        <f aca="false">IF(G346="","OPEN","RESOLVED")</f>
        <v>RESOLVED</v>
      </c>
      <c r="J346" s="3" t="n">
        <f aca="false">IF(C346="TIMING_MISMATCH_TIMEZONE",1,IF(ABS(D346)&gt;5000,4,IF(C346="FEE_VARIANCE_BREACH",120,IF(LEFT(C346,8)="ORPHANED",48,24))))</f>
        <v>48</v>
      </c>
      <c r="K346" s="3" t="str">
        <f aca="false">IF(H346="","",IF(H346&gt;J346,"BREACH","OK"))</f>
        <v>OK</v>
      </c>
    </row>
    <row r="347" customFormat="false" ht="15" hidden="false" customHeight="false" outlineLevel="0" collapsed="false">
      <c r="A347" s="3" t="s">
        <v>1190</v>
      </c>
      <c r="B347" s="3" t="s">
        <v>1191</v>
      </c>
      <c r="C347" s="3" t="s">
        <v>531</v>
      </c>
      <c r="D347" s="7" t="n">
        <v>0</v>
      </c>
      <c r="E347" s="3" t="s">
        <v>512</v>
      </c>
      <c r="F347" s="8" t="n">
        <v>45644</v>
      </c>
      <c r="G347" s="9" t="n">
        <v>45644.41875</v>
      </c>
      <c r="H347" s="3" t="n">
        <v>0.05</v>
      </c>
      <c r="I347" s="3" t="str">
        <f aca="false">IF(G347="","OPEN","RESOLVED")</f>
        <v>RESOLVED</v>
      </c>
      <c r="J347" s="3" t="n">
        <f aca="false">IF(C347="TIMING_MISMATCH_TIMEZONE",1,IF(ABS(D347)&gt;5000,4,IF(C347="FEE_VARIANCE_BREACH",120,IF(LEFT(C347,8)="ORPHANED",48,24))))</f>
        <v>1</v>
      </c>
      <c r="K347" s="3" t="str">
        <f aca="false">IF(H347="","",IF(H347&gt;J347,"BREACH","OK"))</f>
        <v>OK</v>
      </c>
    </row>
    <row r="348" customFormat="false" ht="15" hidden="false" customHeight="false" outlineLevel="0" collapsed="false">
      <c r="A348" s="3" t="s">
        <v>1192</v>
      </c>
      <c r="B348" s="3" t="s">
        <v>1193</v>
      </c>
      <c r="C348" s="3" t="s">
        <v>531</v>
      </c>
      <c r="D348" s="7" t="n">
        <v>0</v>
      </c>
      <c r="E348" s="3" t="s">
        <v>512</v>
      </c>
      <c r="F348" s="8" t="n">
        <v>45644</v>
      </c>
      <c r="G348" s="9" t="n">
        <v>45644.41875</v>
      </c>
      <c r="H348" s="3" t="n">
        <v>0.05</v>
      </c>
      <c r="I348" s="3" t="str">
        <f aca="false">IF(G348="","OPEN","RESOLVED")</f>
        <v>RESOLVED</v>
      </c>
      <c r="J348" s="3" t="n">
        <f aca="false">IF(C348="TIMING_MISMATCH_TIMEZONE",1,IF(ABS(D348)&gt;5000,4,IF(C348="FEE_VARIANCE_BREACH",120,IF(LEFT(C348,8)="ORPHANED",48,24))))</f>
        <v>1</v>
      </c>
      <c r="K348" s="3" t="str">
        <f aca="false">IF(H348="","",IF(H348&gt;J348,"BREACH","OK"))</f>
        <v>OK</v>
      </c>
    </row>
    <row r="349" customFormat="false" ht="15" hidden="false" customHeight="false" outlineLevel="0" collapsed="false">
      <c r="A349" s="3" t="s">
        <v>1194</v>
      </c>
      <c r="B349" s="3" t="s">
        <v>1195</v>
      </c>
      <c r="C349" s="3" t="s">
        <v>531</v>
      </c>
      <c r="D349" s="7" t="n">
        <v>0</v>
      </c>
      <c r="E349" s="3" t="s">
        <v>512</v>
      </c>
      <c r="F349" s="8" t="n">
        <v>45644</v>
      </c>
      <c r="G349" s="9" t="n">
        <v>45644.4231968107</v>
      </c>
      <c r="H349" s="3" t="n">
        <v>0.16</v>
      </c>
      <c r="I349" s="3" t="str">
        <f aca="false">IF(G349="","OPEN","RESOLVED")</f>
        <v>RESOLVED</v>
      </c>
      <c r="J349" s="3" t="n">
        <f aca="false">IF(C349="TIMING_MISMATCH_TIMEZONE",1,IF(ABS(D349)&gt;5000,4,IF(C349="FEE_VARIANCE_BREACH",120,IF(LEFT(C349,8)="ORPHANED",48,24))))</f>
        <v>1</v>
      </c>
      <c r="K349" s="3" t="str">
        <f aca="false">IF(H349="","",IF(H349&gt;J349,"BREACH","OK"))</f>
        <v>OK</v>
      </c>
    </row>
    <row r="350" customFormat="false" ht="15" hidden="false" customHeight="false" outlineLevel="0" collapsed="false">
      <c r="A350" s="3" t="s">
        <v>1196</v>
      </c>
      <c r="B350" s="3" t="s">
        <v>1197</v>
      </c>
      <c r="C350" s="3" t="s">
        <v>503</v>
      </c>
      <c r="D350" s="7" t="n">
        <v>-356.99</v>
      </c>
      <c r="E350" s="3" t="s">
        <v>504</v>
      </c>
      <c r="F350" s="8" t="n">
        <v>45644</v>
      </c>
      <c r="G350" s="9" t="n">
        <v>45646.7839768809</v>
      </c>
      <c r="H350" s="3" t="n">
        <v>56.82</v>
      </c>
      <c r="I350" s="3" t="str">
        <f aca="false">IF(G350="","OPEN","RESOLVED")</f>
        <v>RESOLVED</v>
      </c>
      <c r="J350" s="3" t="n">
        <f aca="false">IF(C350="TIMING_MISMATCH_TIMEZONE",1,IF(ABS(D350)&gt;5000,4,IF(C350="FEE_VARIANCE_BREACH",120,IF(LEFT(C350,8)="ORPHANED",48,24))))</f>
        <v>48</v>
      </c>
      <c r="K350" s="3" t="str">
        <f aca="false">IF(H350="","",IF(H350&gt;J350,"BREACH","OK"))</f>
        <v>BREACH</v>
      </c>
    </row>
    <row r="351" customFormat="false" ht="15" hidden="false" customHeight="false" outlineLevel="0" collapsed="false">
      <c r="A351" s="3" t="s">
        <v>1198</v>
      </c>
      <c r="B351" s="3" t="s">
        <v>1199</v>
      </c>
      <c r="C351" s="3" t="s">
        <v>531</v>
      </c>
      <c r="D351" s="7" t="n">
        <v>0</v>
      </c>
      <c r="E351" s="3" t="s">
        <v>512</v>
      </c>
      <c r="F351" s="8" t="n">
        <v>45644</v>
      </c>
      <c r="G351" s="9" t="n">
        <v>45644.4237976268</v>
      </c>
      <c r="H351" s="3" t="n">
        <v>0.17</v>
      </c>
      <c r="I351" s="3" t="str">
        <f aca="false">IF(G351="","OPEN","RESOLVED")</f>
        <v>RESOLVED</v>
      </c>
      <c r="J351" s="3" t="n">
        <f aca="false">IF(C351="TIMING_MISMATCH_TIMEZONE",1,IF(ABS(D351)&gt;5000,4,IF(C351="FEE_VARIANCE_BREACH",120,IF(LEFT(C351,8)="ORPHANED",48,24))))</f>
        <v>1</v>
      </c>
      <c r="K351" s="3" t="str">
        <f aca="false">IF(H351="","",IF(H351&gt;J351,"BREACH","OK"))</f>
        <v>OK</v>
      </c>
    </row>
    <row r="352" customFormat="false" ht="15" hidden="false" customHeight="false" outlineLevel="0" collapsed="false">
      <c r="A352" s="3" t="s">
        <v>1200</v>
      </c>
      <c r="B352" s="3" t="s">
        <v>1201</v>
      </c>
      <c r="C352" s="3" t="s">
        <v>531</v>
      </c>
      <c r="D352" s="7" t="n">
        <v>0</v>
      </c>
      <c r="E352" s="3" t="s">
        <v>512</v>
      </c>
      <c r="F352" s="8" t="n">
        <v>45644</v>
      </c>
      <c r="G352" s="9" t="n">
        <v>45644.4251023887</v>
      </c>
      <c r="H352" s="3" t="n">
        <v>0.2</v>
      </c>
      <c r="I352" s="3" t="str">
        <f aca="false">IF(G352="","OPEN","RESOLVED")</f>
        <v>RESOLVED</v>
      </c>
      <c r="J352" s="3" t="n">
        <f aca="false">IF(C352="TIMING_MISMATCH_TIMEZONE",1,IF(ABS(D352)&gt;5000,4,IF(C352="FEE_VARIANCE_BREACH",120,IF(LEFT(C352,8)="ORPHANED",48,24))))</f>
        <v>1</v>
      </c>
      <c r="K352" s="3" t="str">
        <f aca="false">IF(H352="","",IF(H352&gt;J352,"BREACH","OK"))</f>
        <v>OK</v>
      </c>
    </row>
    <row r="353" customFormat="false" ht="15" hidden="false" customHeight="false" outlineLevel="0" collapsed="false">
      <c r="A353" s="3" t="s">
        <v>1202</v>
      </c>
      <c r="B353" s="3" t="s">
        <v>1203</v>
      </c>
      <c r="C353" s="3" t="s">
        <v>531</v>
      </c>
      <c r="D353" s="7" t="n">
        <v>0</v>
      </c>
      <c r="E353" s="3" t="s">
        <v>512</v>
      </c>
      <c r="F353" s="8" t="n">
        <v>45644</v>
      </c>
      <c r="G353" s="9" t="n">
        <v>45644.4319894087</v>
      </c>
      <c r="H353" s="3" t="n">
        <v>0.37</v>
      </c>
      <c r="I353" s="3" t="str">
        <f aca="false">IF(G353="","OPEN","RESOLVED")</f>
        <v>RESOLVED</v>
      </c>
      <c r="J353" s="3" t="n">
        <f aca="false">IF(C353="TIMING_MISMATCH_TIMEZONE",1,IF(ABS(D353)&gt;5000,4,IF(C353="FEE_VARIANCE_BREACH",120,IF(LEFT(C353,8)="ORPHANED",48,24))))</f>
        <v>1</v>
      </c>
      <c r="K353" s="3" t="str">
        <f aca="false">IF(H353="","",IF(H353&gt;J353,"BREACH","OK"))</f>
        <v>OK</v>
      </c>
    </row>
    <row r="354" customFormat="false" ht="15" hidden="false" customHeight="false" outlineLevel="0" collapsed="false">
      <c r="A354" s="3" t="s">
        <v>1204</v>
      </c>
      <c r="B354" s="3" t="s">
        <v>1205</v>
      </c>
      <c r="C354" s="3" t="s">
        <v>531</v>
      </c>
      <c r="D354" s="7" t="n">
        <v>0</v>
      </c>
      <c r="E354" s="3" t="s">
        <v>512</v>
      </c>
      <c r="F354" s="8" t="n">
        <v>45644</v>
      </c>
      <c r="G354" s="9" t="n">
        <v>45644.4309569922</v>
      </c>
      <c r="H354" s="3" t="n">
        <v>0.34</v>
      </c>
      <c r="I354" s="3" t="str">
        <f aca="false">IF(G354="","OPEN","RESOLVED")</f>
        <v>RESOLVED</v>
      </c>
      <c r="J354" s="3" t="n">
        <f aca="false">IF(C354="TIMING_MISMATCH_TIMEZONE",1,IF(ABS(D354)&gt;5000,4,IF(C354="FEE_VARIANCE_BREACH",120,IF(LEFT(C354,8)="ORPHANED",48,24))))</f>
        <v>1</v>
      </c>
      <c r="K354" s="3" t="str">
        <f aca="false">IF(H354="","",IF(H354&gt;J354,"BREACH","OK"))</f>
        <v>OK</v>
      </c>
    </row>
    <row r="355" customFormat="false" ht="15" hidden="false" customHeight="false" outlineLevel="0" collapsed="false">
      <c r="A355" s="3" t="s">
        <v>1206</v>
      </c>
      <c r="B355" s="3" t="s">
        <v>1207</v>
      </c>
      <c r="C355" s="3" t="s">
        <v>531</v>
      </c>
      <c r="D355" s="7" t="n">
        <v>0</v>
      </c>
      <c r="E355" s="3" t="s">
        <v>512</v>
      </c>
      <c r="F355" s="8" t="n">
        <v>45644</v>
      </c>
      <c r="G355" s="9" t="n">
        <v>45644.4263721697</v>
      </c>
      <c r="H355" s="3" t="n">
        <v>0.23</v>
      </c>
      <c r="I355" s="3" t="str">
        <f aca="false">IF(G355="","OPEN","RESOLVED")</f>
        <v>RESOLVED</v>
      </c>
      <c r="J355" s="3" t="n">
        <f aca="false">IF(C355="TIMING_MISMATCH_TIMEZONE",1,IF(ABS(D355)&gt;5000,4,IF(C355="FEE_VARIANCE_BREACH",120,IF(LEFT(C355,8)="ORPHANED",48,24))))</f>
        <v>1</v>
      </c>
      <c r="K355" s="3" t="str">
        <f aca="false">IF(H355="","",IF(H355&gt;J355,"BREACH","OK"))</f>
        <v>OK</v>
      </c>
    </row>
    <row r="356" customFormat="false" ht="15" hidden="false" customHeight="false" outlineLevel="0" collapsed="false">
      <c r="A356" s="3" t="s">
        <v>1208</v>
      </c>
      <c r="B356" s="3" t="s">
        <v>1209</v>
      </c>
      <c r="C356" s="3" t="s">
        <v>531</v>
      </c>
      <c r="D356" s="7" t="n">
        <v>0</v>
      </c>
      <c r="E356" s="3" t="s">
        <v>512</v>
      </c>
      <c r="F356" s="8" t="n">
        <v>45644</v>
      </c>
      <c r="G356" s="9" t="n">
        <v>45644.4284483187</v>
      </c>
      <c r="H356" s="3" t="n">
        <v>0.28</v>
      </c>
      <c r="I356" s="3" t="str">
        <f aca="false">IF(G356="","OPEN","RESOLVED")</f>
        <v>RESOLVED</v>
      </c>
      <c r="J356" s="3" t="n">
        <f aca="false">IF(C356="TIMING_MISMATCH_TIMEZONE",1,IF(ABS(D356)&gt;5000,4,IF(C356="FEE_VARIANCE_BREACH",120,IF(LEFT(C356,8)="ORPHANED",48,24))))</f>
        <v>1</v>
      </c>
      <c r="K356" s="3" t="str">
        <f aca="false">IF(H356="","",IF(H356&gt;J356,"BREACH","OK"))</f>
        <v>OK</v>
      </c>
    </row>
    <row r="357" customFormat="false" ht="15" hidden="false" customHeight="false" outlineLevel="0" collapsed="false">
      <c r="A357" s="3" t="s">
        <v>1210</v>
      </c>
      <c r="B357" s="3" t="s">
        <v>1211</v>
      </c>
      <c r="C357" s="3" t="s">
        <v>531</v>
      </c>
      <c r="D357" s="7" t="n">
        <v>0</v>
      </c>
      <c r="E357" s="3" t="s">
        <v>512</v>
      </c>
      <c r="F357" s="8" t="n">
        <v>45644</v>
      </c>
      <c r="G357" s="9" t="n">
        <v>45644.41875</v>
      </c>
      <c r="H357" s="3" t="n">
        <v>0.05</v>
      </c>
      <c r="I357" s="3" t="str">
        <f aca="false">IF(G357="","OPEN","RESOLVED")</f>
        <v>RESOLVED</v>
      </c>
      <c r="J357" s="3" t="n">
        <f aca="false">IF(C357="TIMING_MISMATCH_TIMEZONE",1,IF(ABS(D357)&gt;5000,4,IF(C357="FEE_VARIANCE_BREACH",120,IF(LEFT(C357,8)="ORPHANED",48,24))))</f>
        <v>1</v>
      </c>
      <c r="K357" s="3" t="str">
        <f aca="false">IF(H357="","",IF(H357&gt;J357,"BREACH","OK"))</f>
        <v>OK</v>
      </c>
    </row>
    <row r="358" customFormat="false" ht="15" hidden="false" customHeight="false" outlineLevel="0" collapsed="false">
      <c r="A358" s="3" t="s">
        <v>1212</v>
      </c>
      <c r="B358" s="3" t="s">
        <v>1213</v>
      </c>
      <c r="C358" s="3" t="s">
        <v>503</v>
      </c>
      <c r="D358" s="7" t="n">
        <v>-94.43</v>
      </c>
      <c r="E358" s="3" t="s">
        <v>504</v>
      </c>
      <c r="F358" s="8" t="n">
        <v>45644</v>
      </c>
      <c r="G358" s="9" t="n">
        <v>45649.4976765986</v>
      </c>
      <c r="H358" s="3" t="n">
        <v>73.94</v>
      </c>
      <c r="I358" s="3" t="str">
        <f aca="false">IF(G358="","OPEN","RESOLVED")</f>
        <v>RESOLVED</v>
      </c>
      <c r="J358" s="3" t="n">
        <f aca="false">IF(C358="TIMING_MISMATCH_TIMEZONE",1,IF(ABS(D358)&gt;5000,4,IF(C358="FEE_VARIANCE_BREACH",120,IF(LEFT(C358,8)="ORPHANED",48,24))))</f>
        <v>48</v>
      </c>
      <c r="K358" s="3" t="str">
        <f aca="false">IF(H358="","",IF(H358&gt;J358,"BREACH","OK"))</f>
        <v>BREACH</v>
      </c>
    </row>
    <row r="359" customFormat="false" ht="15" hidden="false" customHeight="false" outlineLevel="0" collapsed="false">
      <c r="A359" s="3" t="s">
        <v>1214</v>
      </c>
      <c r="B359" s="3" t="s">
        <v>1215</v>
      </c>
      <c r="C359" s="3" t="s">
        <v>531</v>
      </c>
      <c r="D359" s="7" t="n">
        <v>0</v>
      </c>
      <c r="E359" s="3" t="s">
        <v>512</v>
      </c>
      <c r="F359" s="8" t="n">
        <v>45644</v>
      </c>
      <c r="G359" s="9" t="n">
        <v>45644.41875</v>
      </c>
      <c r="H359" s="3" t="n">
        <v>0.05</v>
      </c>
      <c r="I359" s="3" t="str">
        <f aca="false">IF(G359="","OPEN","RESOLVED")</f>
        <v>RESOLVED</v>
      </c>
      <c r="J359" s="3" t="n">
        <f aca="false">IF(C359="TIMING_MISMATCH_TIMEZONE",1,IF(ABS(D359)&gt;5000,4,IF(C359="FEE_VARIANCE_BREACH",120,IF(LEFT(C359,8)="ORPHANED",48,24))))</f>
        <v>1</v>
      </c>
      <c r="K359" s="3" t="str">
        <f aca="false">IF(H359="","",IF(H359&gt;J359,"BREACH","OK"))</f>
        <v>OK</v>
      </c>
    </row>
    <row r="360" customFormat="false" ht="15" hidden="false" customHeight="false" outlineLevel="0" collapsed="false">
      <c r="A360" s="3" t="s">
        <v>1216</v>
      </c>
      <c r="B360" s="3" t="s">
        <v>1217</v>
      </c>
      <c r="C360" s="3" t="s">
        <v>531</v>
      </c>
      <c r="D360" s="7" t="n">
        <v>0</v>
      </c>
      <c r="E360" s="3" t="s">
        <v>512</v>
      </c>
      <c r="F360" s="8" t="n">
        <v>45644</v>
      </c>
      <c r="G360" s="9" t="n">
        <v>45644.431656771</v>
      </c>
      <c r="H360" s="3" t="n">
        <v>0.36</v>
      </c>
      <c r="I360" s="3" t="str">
        <f aca="false">IF(G360="","OPEN","RESOLVED")</f>
        <v>RESOLVED</v>
      </c>
      <c r="J360" s="3" t="n">
        <f aca="false">IF(C360="TIMING_MISMATCH_TIMEZONE",1,IF(ABS(D360)&gt;5000,4,IF(C360="FEE_VARIANCE_BREACH",120,IF(LEFT(C360,8)="ORPHANED",48,24))))</f>
        <v>1</v>
      </c>
      <c r="K360" s="3" t="str">
        <f aca="false">IF(H360="","",IF(H360&gt;J360,"BREACH","OK"))</f>
        <v>OK</v>
      </c>
    </row>
    <row r="361" customFormat="false" ht="15" hidden="false" customHeight="false" outlineLevel="0" collapsed="false">
      <c r="A361" s="3" t="s">
        <v>1218</v>
      </c>
      <c r="B361" s="3" t="s">
        <v>1219</v>
      </c>
      <c r="C361" s="3" t="s">
        <v>531</v>
      </c>
      <c r="D361" s="7" t="n">
        <v>0</v>
      </c>
      <c r="E361" s="3" t="s">
        <v>512</v>
      </c>
      <c r="F361" s="8" t="n">
        <v>45644</v>
      </c>
      <c r="G361" s="9" t="n">
        <v>45644.4269208959</v>
      </c>
      <c r="H361" s="3" t="n">
        <v>0.25</v>
      </c>
      <c r="I361" s="3" t="str">
        <f aca="false">IF(G361="","OPEN","RESOLVED")</f>
        <v>RESOLVED</v>
      </c>
      <c r="J361" s="3" t="n">
        <f aca="false">IF(C361="TIMING_MISMATCH_TIMEZONE",1,IF(ABS(D361)&gt;5000,4,IF(C361="FEE_VARIANCE_BREACH",120,IF(LEFT(C361,8)="ORPHANED",48,24))))</f>
        <v>1</v>
      </c>
      <c r="K361" s="3" t="str">
        <f aca="false">IF(H361="","",IF(H361&gt;J361,"BREACH","OK"))</f>
        <v>OK</v>
      </c>
    </row>
    <row r="362" customFormat="false" ht="15" hidden="false" customHeight="false" outlineLevel="0" collapsed="false">
      <c r="A362" s="3" t="s">
        <v>1220</v>
      </c>
      <c r="B362" s="3" t="s">
        <v>1221</v>
      </c>
      <c r="C362" s="3" t="s">
        <v>503</v>
      </c>
      <c r="D362" s="7" t="n">
        <v>-385.84</v>
      </c>
      <c r="E362" s="3" t="s">
        <v>504</v>
      </c>
      <c r="F362" s="8" t="n">
        <v>45644</v>
      </c>
      <c r="G362" s="9" t="n">
        <v>45646.0480229963</v>
      </c>
      <c r="H362" s="3" t="n">
        <v>39.15</v>
      </c>
      <c r="I362" s="3" t="str">
        <f aca="false">IF(G362="","OPEN","RESOLVED")</f>
        <v>RESOLVED</v>
      </c>
      <c r="J362" s="3" t="n">
        <f aca="false">IF(C362="TIMING_MISMATCH_TIMEZONE",1,IF(ABS(D362)&gt;5000,4,IF(C362="FEE_VARIANCE_BREACH",120,IF(LEFT(C362,8)="ORPHANED",48,24))))</f>
        <v>48</v>
      </c>
      <c r="K362" s="3" t="str">
        <f aca="false">IF(H362="","",IF(H362&gt;J362,"BREACH","OK"))</f>
        <v>OK</v>
      </c>
    </row>
    <row r="363" customFormat="false" ht="15" hidden="false" customHeight="false" outlineLevel="0" collapsed="false">
      <c r="A363" s="3" t="s">
        <v>1222</v>
      </c>
      <c r="B363" s="3" t="s">
        <v>1223</v>
      </c>
      <c r="C363" s="3" t="s">
        <v>503</v>
      </c>
      <c r="D363" s="7" t="n">
        <v>-347.11</v>
      </c>
      <c r="E363" s="3" t="s">
        <v>504</v>
      </c>
      <c r="F363" s="8" t="n">
        <v>45644</v>
      </c>
      <c r="G363" s="9" t="n">
        <v>45649.2103805232</v>
      </c>
      <c r="H363" s="3" t="n">
        <v>67.05</v>
      </c>
      <c r="I363" s="3" t="str">
        <f aca="false">IF(G363="","OPEN","RESOLVED")</f>
        <v>RESOLVED</v>
      </c>
      <c r="J363" s="3" t="n">
        <f aca="false">IF(C363="TIMING_MISMATCH_TIMEZONE",1,IF(ABS(D363)&gt;5000,4,IF(C363="FEE_VARIANCE_BREACH",120,IF(LEFT(C363,8)="ORPHANED",48,24))))</f>
        <v>48</v>
      </c>
      <c r="K363" s="3" t="str">
        <f aca="false">IF(H363="","",IF(H363&gt;J363,"BREACH","OK"))</f>
        <v>BREACH</v>
      </c>
    </row>
    <row r="364" customFormat="false" ht="15" hidden="false" customHeight="false" outlineLevel="0" collapsed="false">
      <c r="A364" s="3" t="s">
        <v>1224</v>
      </c>
      <c r="B364" s="3" t="s">
        <v>1225</v>
      </c>
      <c r="C364" s="3" t="s">
        <v>497</v>
      </c>
      <c r="D364" s="7" t="n">
        <v>-2.63</v>
      </c>
      <c r="E364" s="3" t="s">
        <v>498</v>
      </c>
      <c r="F364" s="8" t="n">
        <v>45644</v>
      </c>
      <c r="G364" s="9" t="n">
        <v>45649.946564008</v>
      </c>
      <c r="H364" s="3" t="n">
        <v>84.72</v>
      </c>
      <c r="I364" s="3" t="str">
        <f aca="false">IF(G364="","OPEN","RESOLVED")</f>
        <v>RESOLVED</v>
      </c>
      <c r="J364" s="3" t="n">
        <f aca="false">IF(C364="TIMING_MISMATCH_TIMEZONE",1,IF(ABS(D364)&gt;5000,4,IF(C364="FEE_VARIANCE_BREACH",120,IF(LEFT(C364,8)="ORPHANED",48,24))))</f>
        <v>120</v>
      </c>
      <c r="K364" s="3" t="str">
        <f aca="false">IF(H364="","",IF(H364&gt;J364,"BREACH","OK"))</f>
        <v>OK</v>
      </c>
    </row>
    <row r="365" customFormat="false" ht="15" hidden="false" customHeight="false" outlineLevel="0" collapsed="false">
      <c r="A365" s="3" t="s">
        <v>1226</v>
      </c>
      <c r="B365" s="3" t="s">
        <v>1227</v>
      </c>
      <c r="C365" s="3" t="s">
        <v>531</v>
      </c>
      <c r="D365" s="7" t="n">
        <v>0</v>
      </c>
      <c r="E365" s="3" t="s">
        <v>512</v>
      </c>
      <c r="F365" s="8" t="n">
        <v>45644</v>
      </c>
      <c r="G365" s="9" t="n">
        <v>45644.4190314166</v>
      </c>
      <c r="H365" s="3" t="n">
        <v>0.06</v>
      </c>
      <c r="I365" s="3" t="str">
        <f aca="false">IF(G365="","OPEN","RESOLVED")</f>
        <v>RESOLVED</v>
      </c>
      <c r="J365" s="3" t="n">
        <f aca="false">IF(C365="TIMING_MISMATCH_TIMEZONE",1,IF(ABS(D365)&gt;5000,4,IF(C365="FEE_VARIANCE_BREACH",120,IF(LEFT(C365,8)="ORPHANED",48,24))))</f>
        <v>1</v>
      </c>
      <c r="K365" s="3" t="str">
        <f aca="false">IF(H365="","",IF(H365&gt;J365,"BREACH","OK"))</f>
        <v>OK</v>
      </c>
    </row>
    <row r="366" customFormat="false" ht="15" hidden="false" customHeight="false" outlineLevel="0" collapsed="false">
      <c r="A366" s="3" t="s">
        <v>1228</v>
      </c>
      <c r="B366" s="3" t="s">
        <v>1229</v>
      </c>
      <c r="C366" s="3" t="s">
        <v>497</v>
      </c>
      <c r="D366" s="7" t="n">
        <v>-1.18</v>
      </c>
      <c r="E366" s="3" t="s">
        <v>498</v>
      </c>
      <c r="F366" s="8" t="n">
        <v>45644</v>
      </c>
      <c r="G366" s="9" t="n">
        <v>45646.2983772061</v>
      </c>
      <c r="H366" s="3" t="n">
        <v>45.16</v>
      </c>
      <c r="I366" s="3" t="str">
        <f aca="false">IF(G366="","OPEN","RESOLVED")</f>
        <v>RESOLVED</v>
      </c>
      <c r="J366" s="3" t="n">
        <f aca="false">IF(C366="TIMING_MISMATCH_TIMEZONE",1,IF(ABS(D366)&gt;5000,4,IF(C366="FEE_VARIANCE_BREACH",120,IF(LEFT(C366,8)="ORPHANED",48,24))))</f>
        <v>120</v>
      </c>
      <c r="K366" s="3" t="str">
        <f aca="false">IF(H366="","",IF(H366&gt;J366,"BREACH","OK"))</f>
        <v>OK</v>
      </c>
    </row>
    <row r="367" customFormat="false" ht="15" hidden="false" customHeight="false" outlineLevel="0" collapsed="false">
      <c r="A367" s="3" t="s">
        <v>1230</v>
      </c>
      <c r="B367" s="3" t="s">
        <v>1231</v>
      </c>
      <c r="C367" s="3" t="s">
        <v>531</v>
      </c>
      <c r="D367" s="7" t="n">
        <v>0</v>
      </c>
      <c r="E367" s="3" t="s">
        <v>512</v>
      </c>
      <c r="F367" s="8" t="n">
        <v>45644</v>
      </c>
      <c r="G367" s="9" t="n">
        <v>45644.4238565283</v>
      </c>
      <c r="H367" s="3" t="n">
        <v>0.17</v>
      </c>
      <c r="I367" s="3" t="str">
        <f aca="false">IF(G367="","OPEN","RESOLVED")</f>
        <v>RESOLVED</v>
      </c>
      <c r="J367" s="3" t="n">
        <f aca="false">IF(C367="TIMING_MISMATCH_TIMEZONE",1,IF(ABS(D367)&gt;5000,4,IF(C367="FEE_VARIANCE_BREACH",120,IF(LEFT(C367,8)="ORPHANED",48,24))))</f>
        <v>1</v>
      </c>
      <c r="K367" s="3" t="str">
        <f aca="false">IF(H367="","",IF(H367&gt;J367,"BREACH","OK"))</f>
        <v>OK</v>
      </c>
    </row>
    <row r="368" customFormat="false" ht="15" hidden="false" customHeight="false" outlineLevel="0" collapsed="false">
      <c r="A368" s="3" t="s">
        <v>1232</v>
      </c>
      <c r="B368" s="3" t="s">
        <v>1233</v>
      </c>
      <c r="C368" s="3" t="s">
        <v>497</v>
      </c>
      <c r="D368" s="7" t="n">
        <v>-5.44</v>
      </c>
      <c r="E368" s="3" t="s">
        <v>498</v>
      </c>
      <c r="F368" s="8" t="n">
        <v>45644</v>
      </c>
      <c r="G368" s="9" t="n">
        <v>45650.0314325664</v>
      </c>
      <c r="H368" s="3" t="n">
        <v>86.75</v>
      </c>
      <c r="I368" s="3" t="str">
        <f aca="false">IF(G368="","OPEN","RESOLVED")</f>
        <v>RESOLVED</v>
      </c>
      <c r="J368" s="3" t="n">
        <f aca="false">IF(C368="TIMING_MISMATCH_TIMEZONE",1,IF(ABS(D368)&gt;5000,4,IF(C368="FEE_VARIANCE_BREACH",120,IF(LEFT(C368,8)="ORPHANED",48,24))))</f>
        <v>120</v>
      </c>
      <c r="K368" s="3" t="str">
        <f aca="false">IF(H368="","",IF(H368&gt;J368,"BREACH","OK"))</f>
        <v>OK</v>
      </c>
    </row>
    <row r="369" customFormat="false" ht="15" hidden="false" customHeight="false" outlineLevel="0" collapsed="false">
      <c r="A369" s="3" t="s">
        <v>1234</v>
      </c>
      <c r="B369" s="3" t="s">
        <v>1235</v>
      </c>
      <c r="C369" s="3" t="s">
        <v>531</v>
      </c>
      <c r="D369" s="7" t="n">
        <v>0</v>
      </c>
      <c r="E369" s="3" t="s">
        <v>512</v>
      </c>
      <c r="F369" s="8" t="n">
        <v>45644</v>
      </c>
      <c r="G369" s="9" t="n">
        <v>45644.41875</v>
      </c>
      <c r="H369" s="3" t="n">
        <v>0.05</v>
      </c>
      <c r="I369" s="3" t="str">
        <f aca="false">IF(G369="","OPEN","RESOLVED")</f>
        <v>RESOLVED</v>
      </c>
      <c r="J369" s="3" t="n">
        <f aca="false">IF(C369="TIMING_MISMATCH_TIMEZONE",1,IF(ABS(D369)&gt;5000,4,IF(C369="FEE_VARIANCE_BREACH",120,IF(LEFT(C369,8)="ORPHANED",48,24))))</f>
        <v>1</v>
      </c>
      <c r="K369" s="3" t="str">
        <f aca="false">IF(H369="","",IF(H369&gt;J369,"BREACH","OK"))</f>
        <v>OK</v>
      </c>
    </row>
    <row r="370" customFormat="false" ht="15" hidden="false" customHeight="false" outlineLevel="0" collapsed="false">
      <c r="A370" s="3" t="s">
        <v>1236</v>
      </c>
      <c r="B370" s="3" t="s">
        <v>1237</v>
      </c>
      <c r="C370" s="3" t="s">
        <v>531</v>
      </c>
      <c r="D370" s="7" t="n">
        <v>0</v>
      </c>
      <c r="E370" s="3" t="s">
        <v>512</v>
      </c>
      <c r="F370" s="8" t="n">
        <v>45644</v>
      </c>
      <c r="G370" s="9" t="n">
        <v>45644.4286833288</v>
      </c>
      <c r="H370" s="3" t="n">
        <v>0.29</v>
      </c>
      <c r="I370" s="3" t="str">
        <f aca="false">IF(G370="","OPEN","RESOLVED")</f>
        <v>RESOLVED</v>
      </c>
      <c r="J370" s="3" t="n">
        <f aca="false">IF(C370="TIMING_MISMATCH_TIMEZONE",1,IF(ABS(D370)&gt;5000,4,IF(C370="FEE_VARIANCE_BREACH",120,IF(LEFT(C370,8)="ORPHANED",48,24))))</f>
        <v>1</v>
      </c>
      <c r="K370" s="3" t="str">
        <f aca="false">IF(H370="","",IF(H370&gt;J370,"BREACH","OK"))</f>
        <v>OK</v>
      </c>
    </row>
    <row r="371" customFormat="false" ht="15" hidden="false" customHeight="false" outlineLevel="0" collapsed="false">
      <c r="A371" s="3" t="s">
        <v>1238</v>
      </c>
      <c r="B371" s="3" t="s">
        <v>1239</v>
      </c>
      <c r="C371" s="3" t="s">
        <v>531</v>
      </c>
      <c r="D371" s="7" t="n">
        <v>0</v>
      </c>
      <c r="E371" s="3" t="s">
        <v>512</v>
      </c>
      <c r="F371" s="8" t="n">
        <v>45644</v>
      </c>
      <c r="G371" s="9" t="n">
        <v>45644.4219779124</v>
      </c>
      <c r="H371" s="3" t="n">
        <v>0.13</v>
      </c>
      <c r="I371" s="3" t="str">
        <f aca="false">IF(G371="","OPEN","RESOLVED")</f>
        <v>RESOLVED</v>
      </c>
      <c r="J371" s="3" t="n">
        <f aca="false">IF(C371="TIMING_MISMATCH_TIMEZONE",1,IF(ABS(D371)&gt;5000,4,IF(C371="FEE_VARIANCE_BREACH",120,IF(LEFT(C371,8)="ORPHANED",48,24))))</f>
        <v>1</v>
      </c>
      <c r="K371" s="3" t="str">
        <f aca="false">IF(H371="","",IF(H371&gt;J371,"BREACH","OK"))</f>
        <v>OK</v>
      </c>
    </row>
    <row r="372" customFormat="false" ht="15" hidden="false" customHeight="false" outlineLevel="0" collapsed="false">
      <c r="A372" s="3" t="s">
        <v>1240</v>
      </c>
      <c r="B372" s="3" t="s">
        <v>1241</v>
      </c>
      <c r="C372" s="3" t="s">
        <v>517</v>
      </c>
      <c r="D372" s="7" t="n">
        <v>-12</v>
      </c>
      <c r="E372" s="3" t="s">
        <v>518</v>
      </c>
      <c r="F372" s="8" t="n">
        <v>45645</v>
      </c>
      <c r="G372" s="9" t="n">
        <v>45649.3440977122</v>
      </c>
      <c r="H372" s="3" t="n">
        <v>46.26</v>
      </c>
      <c r="I372" s="3" t="str">
        <f aca="false">IF(G372="","OPEN","RESOLVED")</f>
        <v>RESOLVED</v>
      </c>
      <c r="J372" s="3" t="n">
        <f aca="false">IF(C372="TIMING_MISMATCH_TIMEZONE",1,IF(ABS(D372)&gt;5000,4,IF(C372="FEE_VARIANCE_BREACH",120,IF(LEFT(C372,8)="ORPHANED",48,24))))</f>
        <v>24</v>
      </c>
      <c r="K372" s="3" t="str">
        <f aca="false">IF(H372="","",IF(H372&gt;J372,"BREACH","OK"))</f>
        <v>BREACH</v>
      </c>
    </row>
    <row r="373" customFormat="false" ht="15" hidden="false" customHeight="false" outlineLevel="0" collapsed="false">
      <c r="A373" s="3" t="s">
        <v>1242</v>
      </c>
      <c r="B373" s="3" t="s">
        <v>1243</v>
      </c>
      <c r="C373" s="3" t="s">
        <v>531</v>
      </c>
      <c r="D373" s="7" t="n">
        <v>0</v>
      </c>
      <c r="E373" s="3" t="s">
        <v>512</v>
      </c>
      <c r="F373" s="8" t="n">
        <v>45645</v>
      </c>
      <c r="G373" s="9" t="n">
        <v>45645.4210736426</v>
      </c>
      <c r="H373" s="3" t="n">
        <v>0.11</v>
      </c>
      <c r="I373" s="3" t="str">
        <f aca="false">IF(G373="","OPEN","RESOLVED")</f>
        <v>RESOLVED</v>
      </c>
      <c r="J373" s="3" t="n">
        <f aca="false">IF(C373="TIMING_MISMATCH_TIMEZONE",1,IF(ABS(D373)&gt;5000,4,IF(C373="FEE_VARIANCE_BREACH",120,IF(LEFT(C373,8)="ORPHANED",48,24))))</f>
        <v>1</v>
      </c>
      <c r="K373" s="3" t="str">
        <f aca="false">IF(H373="","",IF(H373&gt;J373,"BREACH","OK"))</f>
        <v>OK</v>
      </c>
    </row>
    <row r="374" customFormat="false" ht="15" hidden="false" customHeight="false" outlineLevel="0" collapsed="false">
      <c r="A374" s="3" t="s">
        <v>1244</v>
      </c>
      <c r="B374" s="3" t="s">
        <v>1245</v>
      </c>
      <c r="C374" s="3" t="s">
        <v>503</v>
      </c>
      <c r="D374" s="7" t="n">
        <v>-121.62</v>
      </c>
      <c r="E374" s="3" t="s">
        <v>504</v>
      </c>
      <c r="F374" s="8" t="n">
        <v>45645</v>
      </c>
      <c r="G374" s="9" t="n">
        <v>45645.774249659</v>
      </c>
      <c r="H374" s="3" t="n">
        <v>8.58</v>
      </c>
      <c r="I374" s="3" t="str">
        <f aca="false">IF(G374="","OPEN","RESOLVED")</f>
        <v>RESOLVED</v>
      </c>
      <c r="J374" s="3" t="n">
        <f aca="false">IF(C374="TIMING_MISMATCH_TIMEZONE",1,IF(ABS(D374)&gt;5000,4,IF(C374="FEE_VARIANCE_BREACH",120,IF(LEFT(C374,8)="ORPHANED",48,24))))</f>
        <v>48</v>
      </c>
      <c r="K374" s="3" t="str">
        <f aca="false">IF(H374="","",IF(H374&gt;J374,"BREACH","OK"))</f>
        <v>OK</v>
      </c>
    </row>
    <row r="375" customFormat="false" ht="15" hidden="false" customHeight="false" outlineLevel="0" collapsed="false">
      <c r="A375" s="3" t="s">
        <v>1246</v>
      </c>
      <c r="B375" s="3" t="s">
        <v>1247</v>
      </c>
      <c r="C375" s="3" t="s">
        <v>531</v>
      </c>
      <c r="D375" s="7" t="n">
        <v>0</v>
      </c>
      <c r="E375" s="3" t="s">
        <v>512</v>
      </c>
      <c r="F375" s="8" t="n">
        <v>45645</v>
      </c>
      <c r="G375" s="9" t="n">
        <v>45645.4234083045</v>
      </c>
      <c r="H375" s="3" t="n">
        <v>0.16</v>
      </c>
      <c r="I375" s="3" t="str">
        <f aca="false">IF(G375="","OPEN","RESOLVED")</f>
        <v>RESOLVED</v>
      </c>
      <c r="J375" s="3" t="n">
        <f aca="false">IF(C375="TIMING_MISMATCH_TIMEZONE",1,IF(ABS(D375)&gt;5000,4,IF(C375="FEE_VARIANCE_BREACH",120,IF(LEFT(C375,8)="ORPHANED",48,24))))</f>
        <v>1</v>
      </c>
      <c r="K375" s="3" t="str">
        <f aca="false">IF(H375="","",IF(H375&gt;J375,"BREACH","OK"))</f>
        <v>OK</v>
      </c>
    </row>
    <row r="376" customFormat="false" ht="15" hidden="false" customHeight="false" outlineLevel="0" collapsed="false">
      <c r="A376" s="3" t="s">
        <v>1248</v>
      </c>
      <c r="B376" s="3" t="s">
        <v>1249</v>
      </c>
      <c r="C376" s="3" t="s">
        <v>531</v>
      </c>
      <c r="D376" s="7" t="n">
        <v>0</v>
      </c>
      <c r="E376" s="3" t="s">
        <v>512</v>
      </c>
      <c r="F376" s="8" t="n">
        <v>45645</v>
      </c>
      <c r="G376" s="9" t="n">
        <v>45645.419606912</v>
      </c>
      <c r="H376" s="3" t="n">
        <v>0.07</v>
      </c>
      <c r="I376" s="3" t="str">
        <f aca="false">IF(G376="","OPEN","RESOLVED")</f>
        <v>RESOLVED</v>
      </c>
      <c r="J376" s="3" t="n">
        <f aca="false">IF(C376="TIMING_MISMATCH_TIMEZONE",1,IF(ABS(D376)&gt;5000,4,IF(C376="FEE_VARIANCE_BREACH",120,IF(LEFT(C376,8)="ORPHANED",48,24))))</f>
        <v>1</v>
      </c>
      <c r="K376" s="3" t="str">
        <f aca="false">IF(H376="","",IF(H376&gt;J376,"BREACH","OK"))</f>
        <v>OK</v>
      </c>
    </row>
    <row r="377" customFormat="false" ht="15" hidden="false" customHeight="false" outlineLevel="0" collapsed="false">
      <c r="A377" s="3" t="s">
        <v>1250</v>
      </c>
      <c r="B377" s="3" t="s">
        <v>1251</v>
      </c>
      <c r="C377" s="3" t="s">
        <v>531</v>
      </c>
      <c r="D377" s="7" t="n">
        <v>0</v>
      </c>
      <c r="E377" s="3" t="s">
        <v>512</v>
      </c>
      <c r="F377" s="8" t="n">
        <v>45645</v>
      </c>
      <c r="G377" s="9" t="n">
        <v>45645.4218567281</v>
      </c>
      <c r="H377" s="3" t="n">
        <v>0.12</v>
      </c>
      <c r="I377" s="3" t="str">
        <f aca="false">IF(G377="","OPEN","RESOLVED")</f>
        <v>RESOLVED</v>
      </c>
      <c r="J377" s="3" t="n">
        <f aca="false">IF(C377="TIMING_MISMATCH_TIMEZONE",1,IF(ABS(D377)&gt;5000,4,IF(C377="FEE_VARIANCE_BREACH",120,IF(LEFT(C377,8)="ORPHANED",48,24))))</f>
        <v>1</v>
      </c>
      <c r="K377" s="3" t="str">
        <f aca="false">IF(H377="","",IF(H377&gt;J377,"BREACH","OK"))</f>
        <v>OK</v>
      </c>
    </row>
    <row r="378" customFormat="false" ht="15" hidden="false" customHeight="false" outlineLevel="0" collapsed="false">
      <c r="A378" s="3" t="s">
        <v>1252</v>
      </c>
      <c r="B378" s="3" t="s">
        <v>1253</v>
      </c>
      <c r="C378" s="3" t="s">
        <v>497</v>
      </c>
      <c r="D378" s="7" t="n">
        <v>-8.8</v>
      </c>
      <c r="E378" s="3" t="s">
        <v>498</v>
      </c>
      <c r="F378" s="8" t="n">
        <v>45645</v>
      </c>
      <c r="G378" s="9" t="n">
        <v>45651.1626811301</v>
      </c>
      <c r="H378" s="3" t="n">
        <v>89.9</v>
      </c>
      <c r="I378" s="3" t="str">
        <f aca="false">IF(G378="","OPEN","RESOLVED")</f>
        <v>RESOLVED</v>
      </c>
      <c r="J378" s="3" t="n">
        <f aca="false">IF(C378="TIMING_MISMATCH_TIMEZONE",1,IF(ABS(D378)&gt;5000,4,IF(C378="FEE_VARIANCE_BREACH",120,IF(LEFT(C378,8)="ORPHANED",48,24))))</f>
        <v>120</v>
      </c>
      <c r="K378" s="3" t="str">
        <f aca="false">IF(H378="","",IF(H378&gt;J378,"BREACH","OK"))</f>
        <v>OK</v>
      </c>
    </row>
    <row r="379" customFormat="false" ht="15" hidden="false" customHeight="false" outlineLevel="0" collapsed="false">
      <c r="A379" s="3" t="s">
        <v>1254</v>
      </c>
      <c r="B379" s="3" t="s">
        <v>1255</v>
      </c>
      <c r="C379" s="3" t="s">
        <v>531</v>
      </c>
      <c r="D379" s="7" t="n">
        <v>0</v>
      </c>
      <c r="E379" s="3" t="s">
        <v>512</v>
      </c>
      <c r="F379" s="8" t="n">
        <v>45645</v>
      </c>
      <c r="G379" s="9" t="n">
        <v>45645.4317046895</v>
      </c>
      <c r="H379" s="3" t="n">
        <v>0.36</v>
      </c>
      <c r="I379" s="3" t="str">
        <f aca="false">IF(G379="","OPEN","RESOLVED")</f>
        <v>RESOLVED</v>
      </c>
      <c r="J379" s="3" t="n">
        <f aca="false">IF(C379="TIMING_MISMATCH_TIMEZONE",1,IF(ABS(D379)&gt;5000,4,IF(C379="FEE_VARIANCE_BREACH",120,IF(LEFT(C379,8)="ORPHANED",48,24))))</f>
        <v>1</v>
      </c>
      <c r="K379" s="3" t="str">
        <f aca="false">IF(H379="","",IF(H379&gt;J379,"BREACH","OK"))</f>
        <v>OK</v>
      </c>
    </row>
    <row r="380" customFormat="false" ht="15" hidden="false" customHeight="false" outlineLevel="0" collapsed="false">
      <c r="A380" s="3" t="s">
        <v>1256</v>
      </c>
      <c r="B380" s="3" t="s">
        <v>1257</v>
      </c>
      <c r="C380" s="3" t="s">
        <v>497</v>
      </c>
      <c r="D380" s="7" t="n">
        <v>-6.08</v>
      </c>
      <c r="E380" s="3" t="s">
        <v>498</v>
      </c>
      <c r="F380" s="8" t="n">
        <v>45645</v>
      </c>
      <c r="G380" s="9" t="n">
        <v>45651.7241458941</v>
      </c>
      <c r="H380" s="3" t="n">
        <v>103.38</v>
      </c>
      <c r="I380" s="3" t="str">
        <f aca="false">IF(G380="","OPEN","RESOLVED")</f>
        <v>RESOLVED</v>
      </c>
      <c r="J380" s="3" t="n">
        <f aca="false">IF(C380="TIMING_MISMATCH_TIMEZONE",1,IF(ABS(D380)&gt;5000,4,IF(C380="FEE_VARIANCE_BREACH",120,IF(LEFT(C380,8)="ORPHANED",48,24))))</f>
        <v>120</v>
      </c>
      <c r="K380" s="3" t="str">
        <f aca="false">IF(H380="","",IF(H380&gt;J380,"BREACH","OK"))</f>
        <v>OK</v>
      </c>
    </row>
    <row r="381" customFormat="false" ht="15" hidden="false" customHeight="false" outlineLevel="0" collapsed="false">
      <c r="A381" s="3" t="s">
        <v>1258</v>
      </c>
      <c r="B381" s="3" t="s">
        <v>1259</v>
      </c>
      <c r="C381" s="3" t="s">
        <v>497</v>
      </c>
      <c r="D381" s="7" t="n">
        <v>-2.11</v>
      </c>
      <c r="E381" s="3" t="s">
        <v>498</v>
      </c>
      <c r="F381" s="8" t="n">
        <v>45645</v>
      </c>
      <c r="G381" s="9" t="n">
        <v>45649.6575343896</v>
      </c>
      <c r="H381" s="3" t="n">
        <v>53.78</v>
      </c>
      <c r="I381" s="3" t="str">
        <f aca="false">IF(G381="","OPEN","RESOLVED")</f>
        <v>RESOLVED</v>
      </c>
      <c r="J381" s="3" t="n">
        <f aca="false">IF(C381="TIMING_MISMATCH_TIMEZONE",1,IF(ABS(D381)&gt;5000,4,IF(C381="FEE_VARIANCE_BREACH",120,IF(LEFT(C381,8)="ORPHANED",48,24))))</f>
        <v>120</v>
      </c>
      <c r="K381" s="3" t="str">
        <f aca="false">IF(H381="","",IF(H381&gt;J381,"BREACH","OK"))</f>
        <v>OK</v>
      </c>
    </row>
    <row r="382" customFormat="false" ht="15" hidden="false" customHeight="false" outlineLevel="0" collapsed="false">
      <c r="A382" s="3" t="s">
        <v>1260</v>
      </c>
      <c r="B382" s="3" t="s">
        <v>1261</v>
      </c>
      <c r="C382" s="3" t="s">
        <v>531</v>
      </c>
      <c r="D382" s="7" t="n">
        <v>0</v>
      </c>
      <c r="E382" s="3" t="s">
        <v>512</v>
      </c>
      <c r="F382" s="8" t="n">
        <v>45645</v>
      </c>
      <c r="G382" s="9" t="n">
        <v>45645.4233132112</v>
      </c>
      <c r="H382" s="3" t="n">
        <v>0.16</v>
      </c>
      <c r="I382" s="3" t="str">
        <f aca="false">IF(G382="","OPEN","RESOLVED")</f>
        <v>RESOLVED</v>
      </c>
      <c r="J382" s="3" t="n">
        <f aca="false">IF(C382="TIMING_MISMATCH_TIMEZONE",1,IF(ABS(D382)&gt;5000,4,IF(C382="FEE_VARIANCE_BREACH",120,IF(LEFT(C382,8)="ORPHANED",48,24))))</f>
        <v>1</v>
      </c>
      <c r="K382" s="3" t="str">
        <f aca="false">IF(H382="","",IF(H382&gt;J382,"BREACH","OK"))</f>
        <v>OK</v>
      </c>
    </row>
    <row r="383" customFormat="false" ht="15" hidden="false" customHeight="false" outlineLevel="0" collapsed="false">
      <c r="A383" s="3" t="s">
        <v>1262</v>
      </c>
      <c r="B383" s="3" t="s">
        <v>1263</v>
      </c>
      <c r="C383" s="3" t="s">
        <v>503</v>
      </c>
      <c r="D383" s="7" t="n">
        <v>-266.88</v>
      </c>
      <c r="E383" s="3" t="s">
        <v>504</v>
      </c>
      <c r="F383" s="8" t="n">
        <v>45645</v>
      </c>
      <c r="G383" s="9" t="n">
        <v>45649.2358547453</v>
      </c>
      <c r="H383" s="3" t="n">
        <v>43.66</v>
      </c>
      <c r="I383" s="3" t="str">
        <f aca="false">IF(G383="","OPEN","RESOLVED")</f>
        <v>RESOLVED</v>
      </c>
      <c r="J383" s="3" t="n">
        <f aca="false">IF(C383="TIMING_MISMATCH_TIMEZONE",1,IF(ABS(D383)&gt;5000,4,IF(C383="FEE_VARIANCE_BREACH",120,IF(LEFT(C383,8)="ORPHANED",48,24))))</f>
        <v>48</v>
      </c>
      <c r="K383" s="3" t="str">
        <f aca="false">IF(H383="","",IF(H383&gt;J383,"BREACH","OK"))</f>
        <v>OK</v>
      </c>
    </row>
    <row r="384" customFormat="false" ht="15" hidden="false" customHeight="false" outlineLevel="0" collapsed="false">
      <c r="A384" s="3" t="s">
        <v>1264</v>
      </c>
      <c r="B384" s="3" t="s">
        <v>1265</v>
      </c>
      <c r="C384" s="3" t="s">
        <v>497</v>
      </c>
      <c r="D384" s="7" t="n">
        <v>-3.73</v>
      </c>
      <c r="E384" s="3" t="s">
        <v>498</v>
      </c>
      <c r="F384" s="8" t="n">
        <v>45645</v>
      </c>
      <c r="G384" s="9" t="n">
        <v>45649.0742731564</v>
      </c>
      <c r="H384" s="3" t="n">
        <v>39.78</v>
      </c>
      <c r="I384" s="3" t="str">
        <f aca="false">IF(G384="","OPEN","RESOLVED")</f>
        <v>RESOLVED</v>
      </c>
      <c r="J384" s="3" t="n">
        <f aca="false">IF(C384="TIMING_MISMATCH_TIMEZONE",1,IF(ABS(D384)&gt;5000,4,IF(C384="FEE_VARIANCE_BREACH",120,IF(LEFT(C384,8)="ORPHANED",48,24))))</f>
        <v>120</v>
      </c>
      <c r="K384" s="3" t="str">
        <f aca="false">IF(H384="","",IF(H384&gt;J384,"BREACH","OK"))</f>
        <v>OK</v>
      </c>
    </row>
    <row r="385" customFormat="false" ht="15" hidden="false" customHeight="false" outlineLevel="0" collapsed="false">
      <c r="A385" s="3" t="s">
        <v>1266</v>
      </c>
      <c r="B385" s="3" t="s">
        <v>1267</v>
      </c>
      <c r="C385" s="3" t="s">
        <v>531</v>
      </c>
      <c r="D385" s="7" t="n">
        <v>0</v>
      </c>
      <c r="E385" s="3" t="s">
        <v>512</v>
      </c>
      <c r="F385" s="8" t="n">
        <v>45645</v>
      </c>
      <c r="G385" s="9" t="n">
        <v>45645.4261213353</v>
      </c>
      <c r="H385" s="3" t="n">
        <v>0.23</v>
      </c>
      <c r="I385" s="3" t="str">
        <f aca="false">IF(G385="","OPEN","RESOLVED")</f>
        <v>RESOLVED</v>
      </c>
      <c r="J385" s="3" t="n">
        <f aca="false">IF(C385="TIMING_MISMATCH_TIMEZONE",1,IF(ABS(D385)&gt;5000,4,IF(C385="FEE_VARIANCE_BREACH",120,IF(LEFT(C385,8)="ORPHANED",48,24))))</f>
        <v>1</v>
      </c>
      <c r="K385" s="3" t="str">
        <f aca="false">IF(H385="","",IF(H385&gt;J385,"BREACH","OK"))</f>
        <v>OK</v>
      </c>
    </row>
    <row r="386" customFormat="false" ht="15" hidden="false" customHeight="false" outlineLevel="0" collapsed="false">
      <c r="A386" s="3" t="s">
        <v>1268</v>
      </c>
      <c r="B386" s="3" t="s">
        <v>1269</v>
      </c>
      <c r="C386" s="3" t="s">
        <v>497</v>
      </c>
      <c r="D386" s="7" t="n">
        <v>-1.66</v>
      </c>
      <c r="E386" s="3" t="s">
        <v>498</v>
      </c>
      <c r="F386" s="8" t="n">
        <v>45645</v>
      </c>
      <c r="G386" s="9" t="n">
        <v>45651.9168180322</v>
      </c>
      <c r="H386" s="3" t="n">
        <v>108</v>
      </c>
      <c r="I386" s="3" t="str">
        <f aca="false">IF(G386="","OPEN","RESOLVED")</f>
        <v>RESOLVED</v>
      </c>
      <c r="J386" s="3" t="n">
        <f aca="false">IF(C386="TIMING_MISMATCH_TIMEZONE",1,IF(ABS(D386)&gt;5000,4,IF(C386="FEE_VARIANCE_BREACH",120,IF(LEFT(C386,8)="ORPHANED",48,24))))</f>
        <v>120</v>
      </c>
      <c r="K386" s="3" t="str">
        <f aca="false">IF(H386="","",IF(H386&gt;J386,"BREACH","OK"))</f>
        <v>OK</v>
      </c>
    </row>
    <row r="387" customFormat="false" ht="15" hidden="false" customHeight="false" outlineLevel="0" collapsed="false">
      <c r="A387" s="3" t="s">
        <v>1270</v>
      </c>
      <c r="B387" s="3" t="s">
        <v>1271</v>
      </c>
      <c r="C387" s="3" t="s">
        <v>531</v>
      </c>
      <c r="D387" s="7" t="n">
        <v>0</v>
      </c>
      <c r="E387" s="3" t="s">
        <v>512</v>
      </c>
      <c r="F387" s="8" t="n">
        <v>45645</v>
      </c>
      <c r="G387" s="9" t="n">
        <v>45645.4294340803</v>
      </c>
      <c r="H387" s="3" t="n">
        <v>0.31</v>
      </c>
      <c r="I387" s="3" t="str">
        <f aca="false">IF(G387="","OPEN","RESOLVED")</f>
        <v>RESOLVED</v>
      </c>
      <c r="J387" s="3" t="n">
        <f aca="false">IF(C387="TIMING_MISMATCH_TIMEZONE",1,IF(ABS(D387)&gt;5000,4,IF(C387="FEE_VARIANCE_BREACH",120,IF(LEFT(C387,8)="ORPHANED",48,24))))</f>
        <v>1</v>
      </c>
      <c r="K387" s="3" t="str">
        <f aca="false">IF(H387="","",IF(H387&gt;J387,"BREACH","OK"))</f>
        <v>OK</v>
      </c>
    </row>
    <row r="388" customFormat="false" ht="15" hidden="false" customHeight="false" outlineLevel="0" collapsed="false">
      <c r="A388" s="3" t="s">
        <v>1272</v>
      </c>
      <c r="B388" s="3" t="s">
        <v>1273</v>
      </c>
      <c r="C388" s="3" t="s">
        <v>531</v>
      </c>
      <c r="D388" s="7" t="n">
        <v>0</v>
      </c>
      <c r="E388" s="3" t="s">
        <v>512</v>
      </c>
      <c r="F388" s="8" t="n">
        <v>45645</v>
      </c>
      <c r="G388" s="9" t="n">
        <v>45645.4206800554</v>
      </c>
      <c r="H388" s="3" t="n">
        <v>0.1</v>
      </c>
      <c r="I388" s="3" t="str">
        <f aca="false">IF(G388="","OPEN","RESOLVED")</f>
        <v>RESOLVED</v>
      </c>
      <c r="J388" s="3" t="n">
        <f aca="false">IF(C388="TIMING_MISMATCH_TIMEZONE",1,IF(ABS(D388)&gt;5000,4,IF(C388="FEE_VARIANCE_BREACH",120,IF(LEFT(C388,8)="ORPHANED",48,24))))</f>
        <v>1</v>
      </c>
      <c r="K388" s="3" t="str">
        <f aca="false">IF(H388="","",IF(H388&gt;J388,"BREACH","OK"))</f>
        <v>OK</v>
      </c>
    </row>
    <row r="389" customFormat="false" ht="15" hidden="false" customHeight="false" outlineLevel="0" collapsed="false">
      <c r="A389" s="3" t="s">
        <v>1274</v>
      </c>
      <c r="B389" s="3" t="s">
        <v>1275</v>
      </c>
      <c r="C389" s="3" t="s">
        <v>531</v>
      </c>
      <c r="D389" s="7" t="n">
        <v>0</v>
      </c>
      <c r="E389" s="3" t="s">
        <v>512</v>
      </c>
      <c r="F389" s="8" t="n">
        <v>45645</v>
      </c>
      <c r="G389" s="9" t="n">
        <v>45645.424691775</v>
      </c>
      <c r="H389" s="3" t="n">
        <v>0.19</v>
      </c>
      <c r="I389" s="3" t="str">
        <f aca="false">IF(G389="","OPEN","RESOLVED")</f>
        <v>RESOLVED</v>
      </c>
      <c r="J389" s="3" t="n">
        <f aca="false">IF(C389="TIMING_MISMATCH_TIMEZONE",1,IF(ABS(D389)&gt;5000,4,IF(C389="FEE_VARIANCE_BREACH",120,IF(LEFT(C389,8)="ORPHANED",48,24))))</f>
        <v>1</v>
      </c>
      <c r="K389" s="3" t="str">
        <f aca="false">IF(H389="","",IF(H389&gt;J389,"BREACH","OK"))</f>
        <v>OK</v>
      </c>
    </row>
    <row r="390" customFormat="false" ht="15" hidden="false" customHeight="false" outlineLevel="0" collapsed="false">
      <c r="A390" s="3" t="s">
        <v>1276</v>
      </c>
      <c r="B390" s="3" t="s">
        <v>1277</v>
      </c>
      <c r="C390" s="3" t="s">
        <v>531</v>
      </c>
      <c r="D390" s="7" t="n">
        <v>0</v>
      </c>
      <c r="E390" s="3" t="s">
        <v>512</v>
      </c>
      <c r="F390" s="8" t="n">
        <v>45645</v>
      </c>
      <c r="G390" s="9" t="n">
        <v>45645.4234947009</v>
      </c>
      <c r="H390" s="3" t="n">
        <v>0.16</v>
      </c>
      <c r="I390" s="3" t="str">
        <f aca="false">IF(G390="","OPEN","RESOLVED")</f>
        <v>RESOLVED</v>
      </c>
      <c r="J390" s="3" t="n">
        <f aca="false">IF(C390="TIMING_MISMATCH_TIMEZONE",1,IF(ABS(D390)&gt;5000,4,IF(C390="FEE_VARIANCE_BREACH",120,IF(LEFT(C390,8)="ORPHANED",48,24))))</f>
        <v>1</v>
      </c>
      <c r="K390" s="3" t="str">
        <f aca="false">IF(H390="","",IF(H390&gt;J390,"BREACH","OK"))</f>
        <v>OK</v>
      </c>
    </row>
    <row r="391" customFormat="false" ht="15" hidden="false" customHeight="false" outlineLevel="0" collapsed="false">
      <c r="A391" s="3" t="s">
        <v>1278</v>
      </c>
      <c r="B391" s="3" t="s">
        <v>1279</v>
      </c>
      <c r="C391" s="3" t="s">
        <v>517</v>
      </c>
      <c r="D391" s="7" t="n">
        <v>-3</v>
      </c>
      <c r="E391" s="3" t="s">
        <v>518</v>
      </c>
      <c r="F391" s="8" t="n">
        <v>45646</v>
      </c>
      <c r="G391" s="9" t="n">
        <v>45650.7943894914</v>
      </c>
      <c r="H391" s="3" t="n">
        <v>57.07</v>
      </c>
      <c r="I391" s="3" t="str">
        <f aca="false">IF(G391="","OPEN","RESOLVED")</f>
        <v>RESOLVED</v>
      </c>
      <c r="J391" s="3" t="n">
        <f aca="false">IF(C391="TIMING_MISMATCH_TIMEZONE",1,IF(ABS(D391)&gt;5000,4,IF(C391="FEE_VARIANCE_BREACH",120,IF(LEFT(C391,8)="ORPHANED",48,24))))</f>
        <v>24</v>
      </c>
      <c r="K391" s="3" t="str">
        <f aca="false">IF(H391="","",IF(H391&gt;J391,"BREACH","OK"))</f>
        <v>BREACH</v>
      </c>
    </row>
    <row r="392" customFormat="false" ht="15" hidden="false" customHeight="false" outlineLevel="0" collapsed="false">
      <c r="A392" s="3" t="s">
        <v>1280</v>
      </c>
      <c r="B392" s="3" t="s">
        <v>1281</v>
      </c>
      <c r="C392" s="3" t="s">
        <v>497</v>
      </c>
      <c r="D392" s="7" t="n">
        <v>-1.3</v>
      </c>
      <c r="E392" s="3" t="s">
        <v>498</v>
      </c>
      <c r="F392" s="8" t="n">
        <v>45646</v>
      </c>
      <c r="G392" s="9" t="n">
        <v>45650.1401660345</v>
      </c>
      <c r="H392" s="3" t="n">
        <v>41.36</v>
      </c>
      <c r="I392" s="3" t="str">
        <f aca="false">IF(G392="","OPEN","RESOLVED")</f>
        <v>RESOLVED</v>
      </c>
      <c r="J392" s="3" t="n">
        <f aca="false">IF(C392="TIMING_MISMATCH_TIMEZONE",1,IF(ABS(D392)&gt;5000,4,IF(C392="FEE_VARIANCE_BREACH",120,IF(LEFT(C392,8)="ORPHANED",48,24))))</f>
        <v>120</v>
      </c>
      <c r="K392" s="3" t="str">
        <f aca="false">IF(H392="","",IF(H392&gt;J392,"BREACH","OK"))</f>
        <v>OK</v>
      </c>
    </row>
    <row r="393" customFormat="false" ht="15" hidden="false" customHeight="false" outlineLevel="0" collapsed="false">
      <c r="A393" s="3" t="s">
        <v>1282</v>
      </c>
      <c r="B393" s="3" t="s">
        <v>1283</v>
      </c>
      <c r="C393" s="3" t="s">
        <v>531</v>
      </c>
      <c r="D393" s="7" t="n">
        <v>-0.01</v>
      </c>
      <c r="E393" s="3" t="s">
        <v>512</v>
      </c>
      <c r="F393" s="8" t="n">
        <v>45646</v>
      </c>
      <c r="G393" s="9" t="n">
        <v>45646.4326272922</v>
      </c>
      <c r="H393" s="3" t="n">
        <v>0.38</v>
      </c>
      <c r="I393" s="3" t="str">
        <f aca="false">IF(G393="","OPEN","RESOLVED")</f>
        <v>RESOLVED</v>
      </c>
      <c r="J393" s="3" t="n">
        <f aca="false">IF(C393="TIMING_MISMATCH_TIMEZONE",1,IF(ABS(D393)&gt;5000,4,IF(C393="FEE_VARIANCE_BREACH",120,IF(LEFT(C393,8)="ORPHANED",48,24))))</f>
        <v>1</v>
      </c>
      <c r="K393" s="3" t="str">
        <f aca="false">IF(H393="","",IF(H393&gt;J393,"BREACH","OK"))</f>
        <v>OK</v>
      </c>
    </row>
    <row r="394" customFormat="false" ht="15" hidden="false" customHeight="false" outlineLevel="0" collapsed="false">
      <c r="A394" s="3" t="s">
        <v>1284</v>
      </c>
      <c r="B394" s="3" t="s">
        <v>1285</v>
      </c>
      <c r="C394" s="3" t="s">
        <v>497</v>
      </c>
      <c r="D394" s="7" t="n">
        <v>-1.4</v>
      </c>
      <c r="E394" s="3" t="s">
        <v>498</v>
      </c>
      <c r="F394" s="8" t="n">
        <v>45646</v>
      </c>
      <c r="G394" s="9" t="n">
        <v>45652.5679422439</v>
      </c>
      <c r="H394" s="3" t="n">
        <v>99.63</v>
      </c>
      <c r="I394" s="3" t="str">
        <f aca="false">IF(G394="","OPEN","RESOLVED")</f>
        <v>RESOLVED</v>
      </c>
      <c r="J394" s="3" t="n">
        <f aca="false">IF(C394="TIMING_MISMATCH_TIMEZONE",1,IF(ABS(D394)&gt;5000,4,IF(C394="FEE_VARIANCE_BREACH",120,IF(LEFT(C394,8)="ORPHANED",48,24))))</f>
        <v>120</v>
      </c>
      <c r="K394" s="3" t="str">
        <f aca="false">IF(H394="","",IF(H394&gt;J394,"BREACH","OK"))</f>
        <v>OK</v>
      </c>
    </row>
    <row r="395" customFormat="false" ht="15" hidden="false" customHeight="false" outlineLevel="0" collapsed="false">
      <c r="A395" s="3" t="s">
        <v>1286</v>
      </c>
      <c r="B395" s="3" t="s">
        <v>1287</v>
      </c>
      <c r="C395" s="3" t="s">
        <v>531</v>
      </c>
      <c r="D395" s="7" t="n">
        <v>0</v>
      </c>
      <c r="E395" s="3" t="s">
        <v>512</v>
      </c>
      <c r="F395" s="8" t="n">
        <v>45646</v>
      </c>
      <c r="G395" s="9" t="n">
        <v>45646.4284021568</v>
      </c>
      <c r="H395" s="3" t="n">
        <v>0.28</v>
      </c>
      <c r="I395" s="3" t="str">
        <f aca="false">IF(G395="","OPEN","RESOLVED")</f>
        <v>RESOLVED</v>
      </c>
      <c r="J395" s="3" t="n">
        <f aca="false">IF(C395="TIMING_MISMATCH_TIMEZONE",1,IF(ABS(D395)&gt;5000,4,IF(C395="FEE_VARIANCE_BREACH",120,IF(LEFT(C395,8)="ORPHANED",48,24))))</f>
        <v>1</v>
      </c>
      <c r="K395" s="3" t="str">
        <f aca="false">IF(H395="","",IF(H395&gt;J395,"BREACH","OK"))</f>
        <v>OK</v>
      </c>
    </row>
    <row r="396" customFormat="false" ht="15" hidden="false" customHeight="false" outlineLevel="0" collapsed="false">
      <c r="A396" s="3" t="s">
        <v>1288</v>
      </c>
      <c r="B396" s="3" t="s">
        <v>1289</v>
      </c>
      <c r="C396" s="3" t="s">
        <v>531</v>
      </c>
      <c r="D396" s="7" t="n">
        <v>0</v>
      </c>
      <c r="E396" s="3" t="s">
        <v>512</v>
      </c>
      <c r="F396" s="8" t="n">
        <v>45646</v>
      </c>
      <c r="G396" s="9" t="n">
        <v>45646.4282978532</v>
      </c>
      <c r="H396" s="3" t="n">
        <v>0.28</v>
      </c>
      <c r="I396" s="3" t="str">
        <f aca="false">IF(G396="","OPEN","RESOLVED")</f>
        <v>RESOLVED</v>
      </c>
      <c r="J396" s="3" t="n">
        <f aca="false">IF(C396="TIMING_MISMATCH_TIMEZONE",1,IF(ABS(D396)&gt;5000,4,IF(C396="FEE_VARIANCE_BREACH",120,IF(LEFT(C396,8)="ORPHANED",48,24))))</f>
        <v>1</v>
      </c>
      <c r="K396" s="3" t="str">
        <f aca="false">IF(H396="","",IF(H396&gt;J396,"BREACH","OK"))</f>
        <v>OK</v>
      </c>
    </row>
    <row r="397" customFormat="false" ht="15" hidden="false" customHeight="false" outlineLevel="0" collapsed="false">
      <c r="A397" s="3" t="s">
        <v>1290</v>
      </c>
      <c r="B397" s="3" t="s">
        <v>1291</v>
      </c>
      <c r="C397" s="3" t="s">
        <v>531</v>
      </c>
      <c r="D397" s="7" t="n">
        <v>0</v>
      </c>
      <c r="E397" s="3" t="s">
        <v>512</v>
      </c>
      <c r="F397" s="8" t="n">
        <v>45646</v>
      </c>
      <c r="G397" s="9" t="n">
        <v>45646.4291525751</v>
      </c>
      <c r="H397" s="3" t="n">
        <v>0.3</v>
      </c>
      <c r="I397" s="3" t="str">
        <f aca="false">IF(G397="","OPEN","RESOLVED")</f>
        <v>RESOLVED</v>
      </c>
      <c r="J397" s="3" t="n">
        <f aca="false">IF(C397="TIMING_MISMATCH_TIMEZONE",1,IF(ABS(D397)&gt;5000,4,IF(C397="FEE_VARIANCE_BREACH",120,IF(LEFT(C397,8)="ORPHANED",48,24))))</f>
        <v>1</v>
      </c>
      <c r="K397" s="3" t="str">
        <f aca="false">IF(H397="","",IF(H397&gt;J397,"BREACH","OK"))</f>
        <v>OK</v>
      </c>
    </row>
    <row r="398" customFormat="false" ht="15" hidden="false" customHeight="false" outlineLevel="0" collapsed="false">
      <c r="A398" s="3" t="s">
        <v>1292</v>
      </c>
      <c r="B398" s="3" t="s">
        <v>1293</v>
      </c>
      <c r="C398" s="3" t="s">
        <v>503</v>
      </c>
      <c r="D398" s="7" t="n">
        <v>-460.9</v>
      </c>
      <c r="E398" s="3" t="s">
        <v>504</v>
      </c>
      <c r="F398" s="8" t="n">
        <v>45646</v>
      </c>
      <c r="G398" s="9" t="n">
        <v>45649.3440583154</v>
      </c>
      <c r="H398" s="3" t="n">
        <v>22.26</v>
      </c>
      <c r="I398" s="3" t="str">
        <f aca="false">IF(G398="","OPEN","RESOLVED")</f>
        <v>RESOLVED</v>
      </c>
      <c r="J398" s="3" t="n">
        <f aca="false">IF(C398="TIMING_MISMATCH_TIMEZONE",1,IF(ABS(D398)&gt;5000,4,IF(C398="FEE_VARIANCE_BREACH",120,IF(LEFT(C398,8)="ORPHANED",48,24))))</f>
        <v>48</v>
      </c>
      <c r="K398" s="3" t="str">
        <f aca="false">IF(H398="","",IF(H398&gt;J398,"BREACH","OK"))</f>
        <v>OK</v>
      </c>
    </row>
    <row r="399" customFormat="false" ht="15" hidden="false" customHeight="false" outlineLevel="0" collapsed="false">
      <c r="A399" s="3" t="s">
        <v>1294</v>
      </c>
      <c r="B399" s="3" t="s">
        <v>1295</v>
      </c>
      <c r="C399" s="3" t="s">
        <v>531</v>
      </c>
      <c r="D399" s="7" t="n">
        <v>0</v>
      </c>
      <c r="E399" s="3" t="s">
        <v>512</v>
      </c>
      <c r="F399" s="8" t="n">
        <v>45646</v>
      </c>
      <c r="G399" s="9" t="n">
        <v>45646.41875</v>
      </c>
      <c r="H399" s="3" t="n">
        <v>0.05</v>
      </c>
      <c r="I399" s="3" t="str">
        <f aca="false">IF(G399="","OPEN","RESOLVED")</f>
        <v>RESOLVED</v>
      </c>
      <c r="J399" s="3" t="n">
        <f aca="false">IF(C399="TIMING_MISMATCH_TIMEZONE",1,IF(ABS(D399)&gt;5000,4,IF(C399="FEE_VARIANCE_BREACH",120,IF(LEFT(C399,8)="ORPHANED",48,24))))</f>
        <v>1</v>
      </c>
      <c r="K399" s="3" t="str">
        <f aca="false">IF(H399="","",IF(H399&gt;J399,"BREACH","OK"))</f>
        <v>OK</v>
      </c>
    </row>
    <row r="400" customFormat="false" ht="15" hidden="false" customHeight="false" outlineLevel="0" collapsed="false">
      <c r="A400" s="3" t="s">
        <v>1296</v>
      </c>
      <c r="B400" s="3" t="s">
        <v>1297</v>
      </c>
      <c r="C400" s="3" t="s">
        <v>503</v>
      </c>
      <c r="D400" s="7" t="n">
        <v>-549.73</v>
      </c>
      <c r="E400" s="3" t="s">
        <v>504</v>
      </c>
      <c r="F400" s="8" t="n">
        <v>45646</v>
      </c>
      <c r="G400" s="9" t="n">
        <v>45649.5620059693</v>
      </c>
      <c r="H400" s="3" t="n">
        <v>27.49</v>
      </c>
      <c r="I400" s="3" t="str">
        <f aca="false">IF(G400="","OPEN","RESOLVED")</f>
        <v>RESOLVED</v>
      </c>
      <c r="J400" s="3" t="n">
        <f aca="false">IF(C400="TIMING_MISMATCH_TIMEZONE",1,IF(ABS(D400)&gt;5000,4,IF(C400="FEE_VARIANCE_BREACH",120,IF(LEFT(C400,8)="ORPHANED",48,24))))</f>
        <v>48</v>
      </c>
      <c r="K400" s="3" t="str">
        <f aca="false">IF(H400="","",IF(H400&gt;J400,"BREACH","OK"))</f>
        <v>OK</v>
      </c>
    </row>
    <row r="401" customFormat="false" ht="15" hidden="false" customHeight="false" outlineLevel="0" collapsed="false">
      <c r="A401" s="3" t="s">
        <v>1298</v>
      </c>
      <c r="B401" s="3" t="s">
        <v>1299</v>
      </c>
      <c r="C401" s="3" t="s">
        <v>497</v>
      </c>
      <c r="D401" s="7" t="n">
        <v>-0.54</v>
      </c>
      <c r="E401" s="3" t="s">
        <v>498</v>
      </c>
      <c r="F401" s="8" t="n">
        <v>45646</v>
      </c>
      <c r="G401" s="9" t="n">
        <v>45652.4791185159</v>
      </c>
      <c r="H401" s="3" t="n">
        <v>97.5</v>
      </c>
      <c r="I401" s="3" t="str">
        <f aca="false">IF(G401="","OPEN","RESOLVED")</f>
        <v>RESOLVED</v>
      </c>
      <c r="J401" s="3" t="n">
        <f aca="false">IF(C401="TIMING_MISMATCH_TIMEZONE",1,IF(ABS(D401)&gt;5000,4,IF(C401="FEE_VARIANCE_BREACH",120,IF(LEFT(C401,8)="ORPHANED",48,24))))</f>
        <v>120</v>
      </c>
      <c r="K401" s="3" t="str">
        <f aca="false">IF(H401="","",IF(H401&gt;J401,"BREACH","OK"))</f>
        <v>OK</v>
      </c>
    </row>
    <row r="402" customFormat="false" ht="15" hidden="false" customHeight="false" outlineLevel="0" collapsed="false">
      <c r="A402" s="3" t="s">
        <v>1300</v>
      </c>
      <c r="B402" s="3" t="s">
        <v>1301</v>
      </c>
      <c r="C402" s="3" t="s">
        <v>531</v>
      </c>
      <c r="D402" s="7" t="n">
        <v>0</v>
      </c>
      <c r="E402" s="3" t="s">
        <v>512</v>
      </c>
      <c r="F402" s="8" t="n">
        <v>45646</v>
      </c>
      <c r="G402" s="9" t="n">
        <v>45646.4238962162</v>
      </c>
      <c r="H402" s="3" t="n">
        <v>0.17</v>
      </c>
      <c r="I402" s="3" t="str">
        <f aca="false">IF(G402="","OPEN","RESOLVED")</f>
        <v>RESOLVED</v>
      </c>
      <c r="J402" s="3" t="n">
        <f aca="false">IF(C402="TIMING_MISMATCH_TIMEZONE",1,IF(ABS(D402)&gt;5000,4,IF(C402="FEE_VARIANCE_BREACH",120,IF(LEFT(C402,8)="ORPHANED",48,24))))</f>
        <v>1</v>
      </c>
      <c r="K402" s="3" t="str">
        <f aca="false">IF(H402="","",IF(H402&gt;J402,"BREACH","OK"))</f>
        <v>OK</v>
      </c>
    </row>
    <row r="403" customFormat="false" ht="15" hidden="false" customHeight="false" outlineLevel="0" collapsed="false">
      <c r="A403" s="3" t="s">
        <v>1302</v>
      </c>
      <c r="B403" s="3" t="s">
        <v>1303</v>
      </c>
      <c r="C403" s="3" t="s">
        <v>531</v>
      </c>
      <c r="D403" s="7" t="n">
        <v>0</v>
      </c>
      <c r="E403" s="3" t="s">
        <v>512</v>
      </c>
      <c r="F403" s="8" t="n">
        <v>45646</v>
      </c>
      <c r="G403" s="9" t="n">
        <v>45646.4234486666</v>
      </c>
      <c r="H403" s="3" t="n">
        <v>0.16</v>
      </c>
      <c r="I403" s="3" t="str">
        <f aca="false">IF(G403="","OPEN","RESOLVED")</f>
        <v>RESOLVED</v>
      </c>
      <c r="J403" s="3" t="n">
        <f aca="false">IF(C403="TIMING_MISMATCH_TIMEZONE",1,IF(ABS(D403)&gt;5000,4,IF(C403="FEE_VARIANCE_BREACH",120,IF(LEFT(C403,8)="ORPHANED",48,24))))</f>
        <v>1</v>
      </c>
      <c r="K403" s="3" t="str">
        <f aca="false">IF(H403="","",IF(H403&gt;J403,"BREACH","OK"))</f>
        <v>OK</v>
      </c>
    </row>
    <row r="404" customFormat="false" ht="15" hidden="false" customHeight="false" outlineLevel="0" collapsed="false">
      <c r="A404" s="3" t="s">
        <v>1304</v>
      </c>
      <c r="B404" s="3" t="s">
        <v>1305</v>
      </c>
      <c r="C404" s="3" t="s">
        <v>531</v>
      </c>
      <c r="D404" s="7" t="n">
        <v>0</v>
      </c>
      <c r="E404" s="3" t="s">
        <v>512</v>
      </c>
      <c r="F404" s="8" t="n">
        <v>45646</v>
      </c>
      <c r="G404" s="9" t="n">
        <v>45646.4212135886</v>
      </c>
      <c r="H404" s="3" t="n">
        <v>0.11</v>
      </c>
      <c r="I404" s="3" t="str">
        <f aca="false">IF(G404="","OPEN","RESOLVED")</f>
        <v>RESOLVED</v>
      </c>
      <c r="J404" s="3" t="n">
        <f aca="false">IF(C404="TIMING_MISMATCH_TIMEZONE",1,IF(ABS(D404)&gt;5000,4,IF(C404="FEE_VARIANCE_BREACH",120,IF(LEFT(C404,8)="ORPHANED",48,24))))</f>
        <v>1</v>
      </c>
      <c r="K404" s="3" t="str">
        <f aca="false">IF(H404="","",IF(H404&gt;J404,"BREACH","OK"))</f>
        <v>OK</v>
      </c>
    </row>
    <row r="405" customFormat="false" ht="15" hidden="false" customHeight="false" outlineLevel="0" collapsed="false">
      <c r="A405" s="3" t="s">
        <v>1306</v>
      </c>
      <c r="B405" s="3" t="s">
        <v>1307</v>
      </c>
      <c r="C405" s="3" t="s">
        <v>531</v>
      </c>
      <c r="D405" s="7" t="n">
        <v>0</v>
      </c>
      <c r="E405" s="3" t="s">
        <v>512</v>
      </c>
      <c r="F405" s="8" t="n">
        <v>45646</v>
      </c>
      <c r="G405" s="9" t="n">
        <v>45646.4238053773</v>
      </c>
      <c r="H405" s="3" t="n">
        <v>0.17</v>
      </c>
      <c r="I405" s="3" t="str">
        <f aca="false">IF(G405="","OPEN","RESOLVED")</f>
        <v>RESOLVED</v>
      </c>
      <c r="J405" s="3" t="n">
        <f aca="false">IF(C405="TIMING_MISMATCH_TIMEZONE",1,IF(ABS(D405)&gt;5000,4,IF(C405="FEE_VARIANCE_BREACH",120,IF(LEFT(C405,8)="ORPHANED",48,24))))</f>
        <v>1</v>
      </c>
      <c r="K405" s="3" t="str">
        <f aca="false">IF(H405="","",IF(H405&gt;J405,"BREACH","OK"))</f>
        <v>OK</v>
      </c>
    </row>
    <row r="406" customFormat="false" ht="15" hidden="false" customHeight="false" outlineLevel="0" collapsed="false">
      <c r="A406" s="3" t="s">
        <v>1308</v>
      </c>
      <c r="B406" s="3" t="s">
        <v>1309</v>
      </c>
      <c r="C406" s="3" t="s">
        <v>511</v>
      </c>
      <c r="D406" s="7" t="n">
        <v>282.83</v>
      </c>
      <c r="E406" s="3" t="s">
        <v>512</v>
      </c>
      <c r="F406" s="8" t="n">
        <v>45646</v>
      </c>
      <c r="G406" s="9" t="n">
        <v>45650.2366514856</v>
      </c>
      <c r="H406" s="3" t="n">
        <v>43.68</v>
      </c>
      <c r="I406" s="3" t="str">
        <f aca="false">IF(G406="","OPEN","RESOLVED")</f>
        <v>RESOLVED</v>
      </c>
      <c r="J406" s="3" t="n">
        <f aca="false">IF(C406="TIMING_MISMATCH_TIMEZONE",1,IF(ABS(D406)&gt;5000,4,IF(C406="FEE_VARIANCE_BREACH",120,IF(LEFT(C406,8)="ORPHANED",48,24))))</f>
        <v>48</v>
      </c>
      <c r="K406" s="3" t="str">
        <f aca="false">IF(H406="","",IF(H406&gt;J406,"BREACH","OK"))</f>
        <v>OK</v>
      </c>
    </row>
    <row r="407" customFormat="false" ht="15" hidden="false" customHeight="false" outlineLevel="0" collapsed="false">
      <c r="A407" s="3" t="s">
        <v>1310</v>
      </c>
      <c r="B407" s="3" t="s">
        <v>1311</v>
      </c>
      <c r="C407" s="3" t="s">
        <v>497</v>
      </c>
      <c r="D407" s="7" t="n">
        <v>-1.2</v>
      </c>
      <c r="E407" s="3" t="s">
        <v>498</v>
      </c>
      <c r="F407" s="8" t="n">
        <v>45646</v>
      </c>
      <c r="G407" s="9" t="n">
        <v>45653.3387299106</v>
      </c>
      <c r="H407" s="3" t="n">
        <v>118.13</v>
      </c>
      <c r="I407" s="3" t="str">
        <f aca="false">IF(G407="","OPEN","RESOLVED")</f>
        <v>RESOLVED</v>
      </c>
      <c r="J407" s="3" t="n">
        <f aca="false">IF(C407="TIMING_MISMATCH_TIMEZONE",1,IF(ABS(D407)&gt;5000,4,IF(C407="FEE_VARIANCE_BREACH",120,IF(LEFT(C407,8)="ORPHANED",48,24))))</f>
        <v>120</v>
      </c>
      <c r="K407" s="3" t="str">
        <f aca="false">IF(H407="","",IF(H407&gt;J407,"BREACH","OK"))</f>
        <v>OK</v>
      </c>
    </row>
    <row r="408" customFormat="false" ht="15" hidden="false" customHeight="false" outlineLevel="0" collapsed="false">
      <c r="A408" s="3" t="s">
        <v>1312</v>
      </c>
      <c r="B408" s="3" t="s">
        <v>1313</v>
      </c>
      <c r="C408" s="3" t="s">
        <v>531</v>
      </c>
      <c r="D408" s="7" t="n">
        <v>0</v>
      </c>
      <c r="E408" s="3" t="s">
        <v>512</v>
      </c>
      <c r="F408" s="8" t="n">
        <v>45646</v>
      </c>
      <c r="G408" s="9" t="n">
        <v>45646.4238041701</v>
      </c>
      <c r="H408" s="3" t="n">
        <v>0.17</v>
      </c>
      <c r="I408" s="3" t="str">
        <f aca="false">IF(G408="","OPEN","RESOLVED")</f>
        <v>RESOLVED</v>
      </c>
      <c r="J408" s="3" t="n">
        <f aca="false">IF(C408="TIMING_MISMATCH_TIMEZONE",1,IF(ABS(D408)&gt;5000,4,IF(C408="FEE_VARIANCE_BREACH",120,IF(LEFT(C408,8)="ORPHANED",48,24))))</f>
        <v>1</v>
      </c>
      <c r="K408" s="3" t="str">
        <f aca="false">IF(H408="","",IF(H408&gt;J408,"BREACH","OK"))</f>
        <v>OK</v>
      </c>
    </row>
    <row r="409" customFormat="false" ht="15" hidden="false" customHeight="false" outlineLevel="0" collapsed="false">
      <c r="A409" s="3" t="s">
        <v>1314</v>
      </c>
      <c r="B409" s="3" t="s">
        <v>1315</v>
      </c>
      <c r="C409" s="3" t="s">
        <v>531</v>
      </c>
      <c r="D409" s="7" t="n">
        <v>0</v>
      </c>
      <c r="E409" s="3" t="s">
        <v>512</v>
      </c>
      <c r="F409" s="8" t="n">
        <v>45646</v>
      </c>
      <c r="G409" s="9" t="n">
        <v>45646.4282386254</v>
      </c>
      <c r="H409" s="3" t="n">
        <v>0.28</v>
      </c>
      <c r="I409" s="3" t="str">
        <f aca="false">IF(G409="","OPEN","RESOLVED")</f>
        <v>RESOLVED</v>
      </c>
      <c r="J409" s="3" t="n">
        <f aca="false">IF(C409="TIMING_MISMATCH_TIMEZONE",1,IF(ABS(D409)&gt;5000,4,IF(C409="FEE_VARIANCE_BREACH",120,IF(LEFT(C409,8)="ORPHANED",48,24))))</f>
        <v>1</v>
      </c>
      <c r="K409" s="3" t="str">
        <f aca="false">IF(H409="","",IF(H409&gt;J409,"BREACH","OK"))</f>
        <v>OK</v>
      </c>
    </row>
    <row r="410" customFormat="false" ht="15" hidden="false" customHeight="false" outlineLevel="0" collapsed="false">
      <c r="A410" s="3" t="s">
        <v>1316</v>
      </c>
      <c r="B410" s="3" t="s">
        <v>1317</v>
      </c>
      <c r="C410" s="3" t="s">
        <v>497</v>
      </c>
      <c r="D410" s="7" t="n">
        <v>-6.21</v>
      </c>
      <c r="E410" s="3" t="s">
        <v>498</v>
      </c>
      <c r="F410" s="8" t="n">
        <v>45646</v>
      </c>
      <c r="G410" s="9" t="n">
        <v>45651.3811789563</v>
      </c>
      <c r="H410" s="3" t="n">
        <v>71.15</v>
      </c>
      <c r="I410" s="3" t="str">
        <f aca="false">IF(G410="","OPEN","RESOLVED")</f>
        <v>RESOLVED</v>
      </c>
      <c r="J410" s="3" t="n">
        <f aca="false">IF(C410="TIMING_MISMATCH_TIMEZONE",1,IF(ABS(D410)&gt;5000,4,IF(C410="FEE_VARIANCE_BREACH",120,IF(LEFT(C410,8)="ORPHANED",48,24))))</f>
        <v>120</v>
      </c>
      <c r="K410" s="3" t="str">
        <f aca="false">IF(H410="","",IF(H410&gt;J410,"BREACH","OK"))</f>
        <v>OK</v>
      </c>
    </row>
    <row r="411" customFormat="false" ht="15" hidden="false" customHeight="false" outlineLevel="0" collapsed="false">
      <c r="A411" s="3" t="s">
        <v>1318</v>
      </c>
      <c r="B411" s="3" t="s">
        <v>1319</v>
      </c>
      <c r="C411" s="3" t="s">
        <v>511</v>
      </c>
      <c r="D411" s="7" t="n">
        <v>633.7</v>
      </c>
      <c r="E411" s="3" t="s">
        <v>512</v>
      </c>
      <c r="F411" s="8" t="n">
        <v>45646</v>
      </c>
      <c r="G411" s="9" t="n">
        <v>45649.1373588514</v>
      </c>
      <c r="H411" s="3" t="n">
        <v>17.3</v>
      </c>
      <c r="I411" s="3" t="str">
        <f aca="false">IF(G411="","OPEN","RESOLVED")</f>
        <v>RESOLVED</v>
      </c>
      <c r="J411" s="3" t="n">
        <f aca="false">IF(C411="TIMING_MISMATCH_TIMEZONE",1,IF(ABS(D411)&gt;5000,4,IF(C411="FEE_VARIANCE_BREACH",120,IF(LEFT(C411,8)="ORPHANED",48,24))))</f>
        <v>48</v>
      </c>
      <c r="K411" s="3" t="str">
        <f aca="false">IF(H411="","",IF(H411&gt;J411,"BREACH","OK"))</f>
        <v>OK</v>
      </c>
    </row>
    <row r="412" customFormat="false" ht="15" hidden="false" customHeight="false" outlineLevel="0" collapsed="false">
      <c r="A412" s="3" t="s">
        <v>1320</v>
      </c>
      <c r="B412" s="3" t="s">
        <v>1321</v>
      </c>
      <c r="C412" s="3" t="s">
        <v>531</v>
      </c>
      <c r="D412" s="7" t="n">
        <v>0</v>
      </c>
      <c r="E412" s="3" t="s">
        <v>512</v>
      </c>
      <c r="F412" s="8" t="n">
        <v>45649</v>
      </c>
      <c r="G412" s="9" t="n">
        <v>45649.4270916878</v>
      </c>
      <c r="H412" s="3" t="n">
        <v>0.25</v>
      </c>
      <c r="I412" s="3" t="str">
        <f aca="false">IF(G412="","OPEN","RESOLVED")</f>
        <v>RESOLVED</v>
      </c>
      <c r="J412" s="3" t="n">
        <f aca="false">IF(C412="TIMING_MISMATCH_TIMEZONE",1,IF(ABS(D412)&gt;5000,4,IF(C412="FEE_VARIANCE_BREACH",120,IF(LEFT(C412,8)="ORPHANED",48,24))))</f>
        <v>1</v>
      </c>
      <c r="K412" s="3" t="str">
        <f aca="false">IF(H412="","",IF(H412&gt;J412,"BREACH","OK"))</f>
        <v>OK</v>
      </c>
    </row>
    <row r="413" customFormat="false" ht="15" hidden="false" customHeight="false" outlineLevel="0" collapsed="false">
      <c r="A413" s="3" t="s">
        <v>1322</v>
      </c>
      <c r="B413" s="3" t="s">
        <v>1323</v>
      </c>
      <c r="C413" s="3" t="s">
        <v>531</v>
      </c>
      <c r="D413" s="7" t="n">
        <v>0</v>
      </c>
      <c r="E413" s="3" t="s">
        <v>512</v>
      </c>
      <c r="F413" s="8" t="n">
        <v>45649</v>
      </c>
      <c r="G413" s="9" t="n">
        <v>45649.4333333917</v>
      </c>
      <c r="H413" s="3" t="n">
        <v>0.4</v>
      </c>
      <c r="I413" s="3" t="str">
        <f aca="false">IF(G413="","OPEN","RESOLVED")</f>
        <v>RESOLVED</v>
      </c>
      <c r="J413" s="3" t="n">
        <f aca="false">IF(C413="TIMING_MISMATCH_TIMEZONE",1,IF(ABS(D413)&gt;5000,4,IF(C413="FEE_VARIANCE_BREACH",120,IF(LEFT(C413,8)="ORPHANED",48,24))))</f>
        <v>1</v>
      </c>
      <c r="K413" s="3" t="str">
        <f aca="false">IF(H413="","",IF(H413&gt;J413,"BREACH","OK"))</f>
        <v>OK</v>
      </c>
    </row>
    <row r="414" customFormat="false" ht="15" hidden="false" customHeight="false" outlineLevel="0" collapsed="false">
      <c r="A414" s="3" t="s">
        <v>1324</v>
      </c>
      <c r="B414" s="3" t="s">
        <v>1325</v>
      </c>
      <c r="C414" s="3" t="s">
        <v>497</v>
      </c>
      <c r="D414" s="7" t="n">
        <v>-5.5</v>
      </c>
      <c r="E414" s="3" t="s">
        <v>498</v>
      </c>
      <c r="F414" s="8" t="n">
        <v>45649</v>
      </c>
      <c r="G414" s="9" t="n">
        <v>45653.0641051624</v>
      </c>
      <c r="H414" s="3" t="n">
        <v>87.54</v>
      </c>
      <c r="I414" s="3" t="str">
        <f aca="false">IF(G414="","OPEN","RESOLVED")</f>
        <v>RESOLVED</v>
      </c>
      <c r="J414" s="3" t="n">
        <f aca="false">IF(C414="TIMING_MISMATCH_TIMEZONE",1,IF(ABS(D414)&gt;5000,4,IF(C414="FEE_VARIANCE_BREACH",120,IF(LEFT(C414,8)="ORPHANED",48,24))))</f>
        <v>120</v>
      </c>
      <c r="K414" s="3" t="str">
        <f aca="false">IF(H414="","",IF(H414&gt;J414,"BREACH","OK"))</f>
        <v>OK</v>
      </c>
    </row>
    <row r="415" customFormat="false" ht="15" hidden="false" customHeight="false" outlineLevel="0" collapsed="false">
      <c r="A415" s="3" t="s">
        <v>1326</v>
      </c>
      <c r="B415" s="3" t="s">
        <v>1327</v>
      </c>
      <c r="C415" s="3" t="s">
        <v>511</v>
      </c>
      <c r="D415" s="7" t="n">
        <v>278.05</v>
      </c>
      <c r="E415" s="3" t="s">
        <v>512</v>
      </c>
      <c r="F415" s="8" t="n">
        <v>45649</v>
      </c>
      <c r="G415" s="9" t="n">
        <v>45649.7354994455</v>
      </c>
      <c r="H415" s="3" t="n">
        <v>7.65</v>
      </c>
      <c r="I415" s="3" t="str">
        <f aca="false">IF(G415="","OPEN","RESOLVED")</f>
        <v>RESOLVED</v>
      </c>
      <c r="J415" s="3" t="n">
        <f aca="false">IF(C415="TIMING_MISMATCH_TIMEZONE",1,IF(ABS(D415)&gt;5000,4,IF(C415="FEE_VARIANCE_BREACH",120,IF(LEFT(C415,8)="ORPHANED",48,24))))</f>
        <v>48</v>
      </c>
      <c r="K415" s="3" t="str">
        <f aca="false">IF(H415="","",IF(H415&gt;J415,"BREACH","OK"))</f>
        <v>OK</v>
      </c>
    </row>
    <row r="416" customFormat="false" ht="15" hidden="false" customHeight="false" outlineLevel="0" collapsed="false">
      <c r="A416" s="3" t="s">
        <v>1328</v>
      </c>
      <c r="B416" s="3" t="s">
        <v>1329</v>
      </c>
      <c r="C416" s="3" t="s">
        <v>531</v>
      </c>
      <c r="D416" s="7" t="n">
        <v>0</v>
      </c>
      <c r="E416" s="3" t="s">
        <v>512</v>
      </c>
      <c r="F416" s="8" t="n">
        <v>45649</v>
      </c>
      <c r="G416" s="9" t="n">
        <v>45649.4309151394</v>
      </c>
      <c r="H416" s="3" t="n">
        <v>0.34</v>
      </c>
      <c r="I416" s="3" t="str">
        <f aca="false">IF(G416="","OPEN","RESOLVED")</f>
        <v>RESOLVED</v>
      </c>
      <c r="J416" s="3" t="n">
        <f aca="false">IF(C416="TIMING_MISMATCH_TIMEZONE",1,IF(ABS(D416)&gt;5000,4,IF(C416="FEE_VARIANCE_BREACH",120,IF(LEFT(C416,8)="ORPHANED",48,24))))</f>
        <v>1</v>
      </c>
      <c r="K416" s="3" t="str">
        <f aca="false">IF(H416="","",IF(H416&gt;J416,"BREACH","OK"))</f>
        <v>OK</v>
      </c>
    </row>
    <row r="417" customFormat="false" ht="15" hidden="false" customHeight="false" outlineLevel="0" collapsed="false">
      <c r="A417" s="3" t="s">
        <v>1330</v>
      </c>
      <c r="B417" s="3" t="s">
        <v>1331</v>
      </c>
      <c r="C417" s="3" t="s">
        <v>497</v>
      </c>
      <c r="D417" s="7" t="n">
        <v>-0.75</v>
      </c>
      <c r="E417" s="3" t="s">
        <v>498</v>
      </c>
      <c r="F417" s="8" t="n">
        <v>45649</v>
      </c>
      <c r="G417" s="9" t="n">
        <v>45653.2338126416</v>
      </c>
      <c r="H417" s="3" t="n">
        <v>91.61</v>
      </c>
      <c r="I417" s="3" t="str">
        <f aca="false">IF(G417="","OPEN","RESOLVED")</f>
        <v>RESOLVED</v>
      </c>
      <c r="J417" s="3" t="n">
        <f aca="false">IF(C417="TIMING_MISMATCH_TIMEZONE",1,IF(ABS(D417)&gt;5000,4,IF(C417="FEE_VARIANCE_BREACH",120,IF(LEFT(C417,8)="ORPHANED",48,24))))</f>
        <v>120</v>
      </c>
      <c r="K417" s="3" t="str">
        <f aca="false">IF(H417="","",IF(H417&gt;J417,"BREACH","OK"))</f>
        <v>OK</v>
      </c>
    </row>
    <row r="418" customFormat="false" ht="15" hidden="false" customHeight="false" outlineLevel="0" collapsed="false">
      <c r="A418" s="3" t="s">
        <v>1332</v>
      </c>
      <c r="B418" s="3" t="s">
        <v>1333</v>
      </c>
      <c r="C418" s="3" t="s">
        <v>531</v>
      </c>
      <c r="D418" s="7" t="n">
        <v>0</v>
      </c>
      <c r="E418" s="3" t="s">
        <v>512</v>
      </c>
      <c r="F418" s="8" t="n">
        <v>45649</v>
      </c>
      <c r="G418" s="9" t="n">
        <v>45649.424380633</v>
      </c>
      <c r="H418" s="3" t="n">
        <v>0.19</v>
      </c>
      <c r="I418" s="3" t="str">
        <f aca="false">IF(G418="","OPEN","RESOLVED")</f>
        <v>RESOLVED</v>
      </c>
      <c r="J418" s="3" t="n">
        <f aca="false">IF(C418="TIMING_MISMATCH_TIMEZONE",1,IF(ABS(D418)&gt;5000,4,IF(C418="FEE_VARIANCE_BREACH",120,IF(LEFT(C418,8)="ORPHANED",48,24))))</f>
        <v>1</v>
      </c>
      <c r="K418" s="3" t="str">
        <f aca="false">IF(H418="","",IF(H418&gt;J418,"BREACH","OK"))</f>
        <v>OK</v>
      </c>
    </row>
    <row r="419" customFormat="false" ht="15" hidden="false" customHeight="false" outlineLevel="0" collapsed="false">
      <c r="A419" s="3" t="s">
        <v>1334</v>
      </c>
      <c r="B419" s="3" t="s">
        <v>1335</v>
      </c>
      <c r="C419" s="3" t="s">
        <v>511</v>
      </c>
      <c r="D419" s="7" t="n">
        <v>906.34</v>
      </c>
      <c r="E419" s="3" t="s">
        <v>512</v>
      </c>
      <c r="F419" s="8" t="n">
        <v>45649</v>
      </c>
      <c r="G419" s="9" t="n">
        <v>45650.4638870675</v>
      </c>
      <c r="H419" s="3" t="n">
        <v>25.13</v>
      </c>
      <c r="I419" s="3" t="str">
        <f aca="false">IF(G419="","OPEN","RESOLVED")</f>
        <v>RESOLVED</v>
      </c>
      <c r="J419" s="3" t="n">
        <f aca="false">IF(C419="TIMING_MISMATCH_TIMEZONE",1,IF(ABS(D419)&gt;5000,4,IF(C419="FEE_VARIANCE_BREACH",120,IF(LEFT(C419,8)="ORPHANED",48,24))))</f>
        <v>48</v>
      </c>
      <c r="K419" s="3" t="str">
        <f aca="false">IF(H419="","",IF(H419&gt;J419,"BREACH","OK"))</f>
        <v>OK</v>
      </c>
    </row>
    <row r="420" customFormat="false" ht="15" hidden="false" customHeight="false" outlineLevel="0" collapsed="false">
      <c r="A420" s="3" t="s">
        <v>1336</v>
      </c>
      <c r="B420" s="3" t="s">
        <v>1337</v>
      </c>
      <c r="C420" s="3" t="s">
        <v>531</v>
      </c>
      <c r="D420" s="7" t="n">
        <v>0</v>
      </c>
      <c r="E420" s="3" t="s">
        <v>512</v>
      </c>
      <c r="F420" s="8" t="n">
        <v>45649</v>
      </c>
      <c r="G420" s="9" t="n">
        <v>45649.4249860647</v>
      </c>
      <c r="H420" s="3" t="n">
        <v>0.2</v>
      </c>
      <c r="I420" s="3" t="str">
        <f aca="false">IF(G420="","OPEN","RESOLVED")</f>
        <v>RESOLVED</v>
      </c>
      <c r="J420" s="3" t="n">
        <f aca="false">IF(C420="TIMING_MISMATCH_TIMEZONE",1,IF(ABS(D420)&gt;5000,4,IF(C420="FEE_VARIANCE_BREACH",120,IF(LEFT(C420,8)="ORPHANED",48,24))))</f>
        <v>1</v>
      </c>
      <c r="K420" s="3" t="str">
        <f aca="false">IF(H420="","",IF(H420&gt;J420,"BREACH","OK"))</f>
        <v>OK</v>
      </c>
    </row>
    <row r="421" customFormat="false" ht="15" hidden="false" customHeight="false" outlineLevel="0" collapsed="false">
      <c r="A421" s="3" t="s">
        <v>1338</v>
      </c>
      <c r="B421" s="3" t="s">
        <v>1339</v>
      </c>
      <c r="C421" s="3" t="s">
        <v>497</v>
      </c>
      <c r="D421" s="7" t="n">
        <v>-0.58</v>
      </c>
      <c r="E421" s="3" t="s">
        <v>498</v>
      </c>
      <c r="F421" s="8" t="n">
        <v>45649</v>
      </c>
      <c r="G421" s="9" t="n">
        <v>45653.2672306579</v>
      </c>
      <c r="H421" s="3" t="n">
        <v>92.41</v>
      </c>
      <c r="I421" s="3" t="str">
        <f aca="false">IF(G421="","OPEN","RESOLVED")</f>
        <v>RESOLVED</v>
      </c>
      <c r="J421" s="3" t="n">
        <f aca="false">IF(C421="TIMING_MISMATCH_TIMEZONE",1,IF(ABS(D421)&gt;5000,4,IF(C421="FEE_VARIANCE_BREACH",120,IF(LEFT(C421,8)="ORPHANED",48,24))))</f>
        <v>120</v>
      </c>
      <c r="K421" s="3" t="str">
        <f aca="false">IF(H421="","",IF(H421&gt;J421,"BREACH","OK"))</f>
        <v>OK</v>
      </c>
    </row>
    <row r="422" customFormat="false" ht="15" hidden="false" customHeight="false" outlineLevel="0" collapsed="false">
      <c r="A422" s="3" t="s">
        <v>1340</v>
      </c>
      <c r="B422" s="3" t="s">
        <v>1341</v>
      </c>
      <c r="C422" s="3" t="s">
        <v>531</v>
      </c>
      <c r="D422" s="7" t="n">
        <v>0.01</v>
      </c>
      <c r="E422" s="3" t="s">
        <v>512</v>
      </c>
      <c r="F422" s="8" t="n">
        <v>45649</v>
      </c>
      <c r="G422" s="9" t="n">
        <v>45649.4234930711</v>
      </c>
      <c r="H422" s="3" t="n">
        <v>0.16</v>
      </c>
      <c r="I422" s="3" t="str">
        <f aca="false">IF(G422="","OPEN","RESOLVED")</f>
        <v>RESOLVED</v>
      </c>
      <c r="J422" s="3" t="n">
        <f aca="false">IF(C422="TIMING_MISMATCH_TIMEZONE",1,IF(ABS(D422)&gt;5000,4,IF(C422="FEE_VARIANCE_BREACH",120,IF(LEFT(C422,8)="ORPHANED",48,24))))</f>
        <v>1</v>
      </c>
      <c r="K422" s="3" t="str">
        <f aca="false">IF(H422="","",IF(H422&gt;J422,"BREACH","OK"))</f>
        <v>OK</v>
      </c>
    </row>
    <row r="423" customFormat="false" ht="15" hidden="false" customHeight="false" outlineLevel="0" collapsed="false">
      <c r="A423" s="3" t="s">
        <v>1342</v>
      </c>
      <c r="B423" s="3" t="s">
        <v>1343</v>
      </c>
      <c r="C423" s="3" t="s">
        <v>531</v>
      </c>
      <c r="D423" s="7" t="n">
        <v>0</v>
      </c>
      <c r="E423" s="3" t="s">
        <v>512</v>
      </c>
      <c r="F423" s="8" t="n">
        <v>45649</v>
      </c>
      <c r="G423" s="9" t="n">
        <v>45649.4225506517</v>
      </c>
      <c r="H423" s="3" t="n">
        <v>0.14</v>
      </c>
      <c r="I423" s="3" t="str">
        <f aca="false">IF(G423="","OPEN","RESOLVED")</f>
        <v>RESOLVED</v>
      </c>
      <c r="J423" s="3" t="n">
        <f aca="false">IF(C423="TIMING_MISMATCH_TIMEZONE",1,IF(ABS(D423)&gt;5000,4,IF(C423="FEE_VARIANCE_BREACH",120,IF(LEFT(C423,8)="ORPHANED",48,24))))</f>
        <v>1</v>
      </c>
      <c r="K423" s="3" t="str">
        <f aca="false">IF(H423="","",IF(H423&gt;J423,"BREACH","OK"))</f>
        <v>OK</v>
      </c>
    </row>
    <row r="424" customFormat="false" ht="15" hidden="false" customHeight="false" outlineLevel="0" collapsed="false">
      <c r="A424" s="3" t="s">
        <v>1344</v>
      </c>
      <c r="B424" s="3" t="s">
        <v>1345</v>
      </c>
      <c r="C424" s="3" t="s">
        <v>531</v>
      </c>
      <c r="D424" s="7" t="n">
        <v>0</v>
      </c>
      <c r="E424" s="3" t="s">
        <v>512</v>
      </c>
      <c r="F424" s="8" t="n">
        <v>45649</v>
      </c>
      <c r="G424" s="9" t="n">
        <v>45649.4216206293</v>
      </c>
      <c r="H424" s="3" t="n">
        <v>0.12</v>
      </c>
      <c r="I424" s="3" t="str">
        <f aca="false">IF(G424="","OPEN","RESOLVED")</f>
        <v>RESOLVED</v>
      </c>
      <c r="J424" s="3" t="n">
        <f aca="false">IF(C424="TIMING_MISMATCH_TIMEZONE",1,IF(ABS(D424)&gt;5000,4,IF(C424="FEE_VARIANCE_BREACH",120,IF(LEFT(C424,8)="ORPHANED",48,24))))</f>
        <v>1</v>
      </c>
      <c r="K424" s="3" t="str">
        <f aca="false">IF(H424="","",IF(H424&gt;J424,"BREACH","OK"))</f>
        <v>OK</v>
      </c>
    </row>
    <row r="425" customFormat="false" ht="15" hidden="false" customHeight="false" outlineLevel="0" collapsed="false">
      <c r="A425" s="3" t="s">
        <v>1346</v>
      </c>
      <c r="B425" s="3" t="s">
        <v>1347</v>
      </c>
      <c r="C425" s="3" t="s">
        <v>531</v>
      </c>
      <c r="D425" s="7" t="n">
        <v>-0.36</v>
      </c>
      <c r="E425" s="3" t="s">
        <v>512</v>
      </c>
      <c r="F425" s="8" t="n">
        <v>45649</v>
      </c>
      <c r="G425" s="9" t="n">
        <v>45649.4247162563</v>
      </c>
      <c r="H425" s="3" t="n">
        <v>0.19</v>
      </c>
      <c r="I425" s="3" t="str">
        <f aca="false">IF(G425="","OPEN","RESOLVED")</f>
        <v>RESOLVED</v>
      </c>
      <c r="J425" s="3" t="n">
        <f aca="false">IF(C425="TIMING_MISMATCH_TIMEZONE",1,IF(ABS(D425)&gt;5000,4,IF(C425="FEE_VARIANCE_BREACH",120,IF(LEFT(C425,8)="ORPHANED",48,24))))</f>
        <v>1</v>
      </c>
      <c r="K425" s="3" t="str">
        <f aca="false">IF(H425="","",IF(H425&gt;J425,"BREACH","OK"))</f>
        <v>OK</v>
      </c>
    </row>
    <row r="426" customFormat="false" ht="15" hidden="false" customHeight="false" outlineLevel="0" collapsed="false">
      <c r="A426" s="3" t="s">
        <v>1348</v>
      </c>
      <c r="B426" s="3" t="s">
        <v>1349</v>
      </c>
      <c r="C426" s="3" t="s">
        <v>531</v>
      </c>
      <c r="D426" s="7" t="n">
        <v>0</v>
      </c>
      <c r="E426" s="3" t="s">
        <v>512</v>
      </c>
      <c r="F426" s="8" t="n">
        <v>45649</v>
      </c>
      <c r="G426" s="9" t="n">
        <v>45649.4255886806</v>
      </c>
      <c r="H426" s="3" t="n">
        <v>0.21</v>
      </c>
      <c r="I426" s="3" t="str">
        <f aca="false">IF(G426="","OPEN","RESOLVED")</f>
        <v>RESOLVED</v>
      </c>
      <c r="J426" s="3" t="n">
        <f aca="false">IF(C426="TIMING_MISMATCH_TIMEZONE",1,IF(ABS(D426)&gt;5000,4,IF(C426="FEE_VARIANCE_BREACH",120,IF(LEFT(C426,8)="ORPHANED",48,24))))</f>
        <v>1</v>
      </c>
      <c r="K426" s="3" t="str">
        <f aca="false">IF(H426="","",IF(H426&gt;J426,"BREACH","OK"))</f>
        <v>OK</v>
      </c>
    </row>
    <row r="427" customFormat="false" ht="15" hidden="false" customHeight="false" outlineLevel="0" collapsed="false">
      <c r="A427" s="3" t="s">
        <v>1350</v>
      </c>
      <c r="B427" s="3" t="s">
        <v>1351</v>
      </c>
      <c r="C427" s="3" t="s">
        <v>531</v>
      </c>
      <c r="D427" s="7" t="n">
        <v>0</v>
      </c>
      <c r="E427" s="3" t="s">
        <v>512</v>
      </c>
      <c r="F427" s="8" t="n">
        <v>45649</v>
      </c>
      <c r="G427" s="9" t="n">
        <v>45649.4228953977</v>
      </c>
      <c r="H427" s="3" t="n">
        <v>0.15</v>
      </c>
      <c r="I427" s="3" t="str">
        <f aca="false">IF(G427="","OPEN","RESOLVED")</f>
        <v>RESOLVED</v>
      </c>
      <c r="J427" s="3" t="n">
        <f aca="false">IF(C427="TIMING_MISMATCH_TIMEZONE",1,IF(ABS(D427)&gt;5000,4,IF(C427="FEE_VARIANCE_BREACH",120,IF(LEFT(C427,8)="ORPHANED",48,24))))</f>
        <v>1</v>
      </c>
      <c r="K427" s="3" t="str">
        <f aca="false">IF(H427="","",IF(H427&gt;J427,"BREACH","OK"))</f>
        <v>OK</v>
      </c>
    </row>
    <row r="428" customFormat="false" ht="15" hidden="false" customHeight="false" outlineLevel="0" collapsed="false">
      <c r="A428" s="3" t="s">
        <v>1352</v>
      </c>
      <c r="B428" s="3" t="s">
        <v>1353</v>
      </c>
      <c r="C428" s="3" t="s">
        <v>497</v>
      </c>
      <c r="D428" s="7" t="n">
        <v>-1.49</v>
      </c>
      <c r="E428" s="3" t="s">
        <v>498</v>
      </c>
      <c r="F428" s="8" t="n">
        <v>45649</v>
      </c>
      <c r="G428" s="9" t="n">
        <v>45652.4782473208</v>
      </c>
      <c r="H428" s="3" t="n">
        <v>73.48</v>
      </c>
      <c r="I428" s="3" t="str">
        <f aca="false">IF(G428="","OPEN","RESOLVED")</f>
        <v>RESOLVED</v>
      </c>
      <c r="J428" s="3" t="n">
        <f aca="false">IF(C428="TIMING_MISMATCH_TIMEZONE",1,IF(ABS(D428)&gt;5000,4,IF(C428="FEE_VARIANCE_BREACH",120,IF(LEFT(C428,8)="ORPHANED",48,24))))</f>
        <v>120</v>
      </c>
      <c r="K428" s="3" t="str">
        <f aca="false">IF(H428="","",IF(H428&gt;J428,"BREACH","OK"))</f>
        <v>OK</v>
      </c>
    </row>
    <row r="429" customFormat="false" ht="15" hidden="false" customHeight="false" outlineLevel="0" collapsed="false">
      <c r="A429" s="3" t="s">
        <v>1354</v>
      </c>
      <c r="B429" s="3" t="s">
        <v>1355</v>
      </c>
      <c r="C429" s="3" t="s">
        <v>531</v>
      </c>
      <c r="D429" s="7" t="n">
        <v>0</v>
      </c>
      <c r="E429" s="3" t="s">
        <v>512</v>
      </c>
      <c r="F429" s="8" t="n">
        <v>45649</v>
      </c>
      <c r="G429" s="9" t="n">
        <v>45649.4277167335</v>
      </c>
      <c r="H429" s="3" t="n">
        <v>0.27</v>
      </c>
      <c r="I429" s="3" t="str">
        <f aca="false">IF(G429="","OPEN","RESOLVED")</f>
        <v>RESOLVED</v>
      </c>
      <c r="J429" s="3" t="n">
        <f aca="false">IF(C429="TIMING_MISMATCH_TIMEZONE",1,IF(ABS(D429)&gt;5000,4,IF(C429="FEE_VARIANCE_BREACH",120,IF(LEFT(C429,8)="ORPHANED",48,24))))</f>
        <v>1</v>
      </c>
      <c r="K429" s="3" t="str">
        <f aca="false">IF(H429="","",IF(H429&gt;J429,"BREACH","OK"))</f>
        <v>OK</v>
      </c>
    </row>
    <row r="430" customFormat="false" ht="15" hidden="false" customHeight="false" outlineLevel="0" collapsed="false">
      <c r="A430" s="3" t="s">
        <v>1356</v>
      </c>
      <c r="B430" s="3" t="s">
        <v>1357</v>
      </c>
      <c r="C430" s="3" t="s">
        <v>531</v>
      </c>
      <c r="D430" s="7" t="n">
        <v>0</v>
      </c>
      <c r="E430" s="3" t="s">
        <v>512</v>
      </c>
      <c r="F430" s="8" t="n">
        <v>45649</v>
      </c>
      <c r="G430" s="9" t="n">
        <v>45649.424027221</v>
      </c>
      <c r="H430" s="3" t="n">
        <v>0.18</v>
      </c>
      <c r="I430" s="3" t="str">
        <f aca="false">IF(G430="","OPEN","RESOLVED")</f>
        <v>RESOLVED</v>
      </c>
      <c r="J430" s="3" t="n">
        <f aca="false">IF(C430="TIMING_MISMATCH_TIMEZONE",1,IF(ABS(D430)&gt;5000,4,IF(C430="FEE_VARIANCE_BREACH",120,IF(LEFT(C430,8)="ORPHANED",48,24))))</f>
        <v>1</v>
      </c>
      <c r="K430" s="3" t="str">
        <f aca="false">IF(H430="","",IF(H430&gt;J430,"BREACH","OK"))</f>
        <v>OK</v>
      </c>
    </row>
    <row r="431" customFormat="false" ht="15" hidden="false" customHeight="false" outlineLevel="0" collapsed="false">
      <c r="A431" s="3" t="s">
        <v>1358</v>
      </c>
      <c r="B431" s="3" t="s">
        <v>1359</v>
      </c>
      <c r="C431" s="3" t="s">
        <v>531</v>
      </c>
      <c r="D431" s="7" t="n">
        <v>0</v>
      </c>
      <c r="E431" s="3" t="s">
        <v>512</v>
      </c>
      <c r="F431" s="8" t="n">
        <v>45649</v>
      </c>
      <c r="G431" s="9" t="n">
        <v>45649.4205569514</v>
      </c>
      <c r="H431" s="3" t="n">
        <v>0.09</v>
      </c>
      <c r="I431" s="3" t="str">
        <f aca="false">IF(G431="","OPEN","RESOLVED")</f>
        <v>RESOLVED</v>
      </c>
      <c r="J431" s="3" t="n">
        <f aca="false">IF(C431="TIMING_MISMATCH_TIMEZONE",1,IF(ABS(D431)&gt;5000,4,IF(C431="FEE_VARIANCE_BREACH",120,IF(LEFT(C431,8)="ORPHANED",48,24))))</f>
        <v>1</v>
      </c>
      <c r="K431" s="3" t="str">
        <f aca="false">IF(H431="","",IF(H431&gt;J431,"BREACH","OK"))</f>
        <v>OK</v>
      </c>
    </row>
    <row r="432" customFormat="false" ht="15" hidden="false" customHeight="false" outlineLevel="0" collapsed="false">
      <c r="A432" s="3" t="s">
        <v>1360</v>
      </c>
      <c r="B432" s="3" t="s">
        <v>1361</v>
      </c>
      <c r="C432" s="3" t="s">
        <v>531</v>
      </c>
      <c r="D432" s="7" t="n">
        <v>0</v>
      </c>
      <c r="E432" s="3" t="s">
        <v>512</v>
      </c>
      <c r="F432" s="8" t="n">
        <v>45649</v>
      </c>
      <c r="G432" s="9" t="n">
        <v>45649.4203170768</v>
      </c>
      <c r="H432" s="3" t="n">
        <v>0.09</v>
      </c>
      <c r="I432" s="3" t="str">
        <f aca="false">IF(G432="","OPEN","RESOLVED")</f>
        <v>RESOLVED</v>
      </c>
      <c r="J432" s="3" t="n">
        <f aca="false">IF(C432="TIMING_MISMATCH_TIMEZONE",1,IF(ABS(D432)&gt;5000,4,IF(C432="FEE_VARIANCE_BREACH",120,IF(LEFT(C432,8)="ORPHANED",48,24))))</f>
        <v>1</v>
      </c>
      <c r="K432" s="3" t="str">
        <f aca="false">IF(H432="","",IF(H432&gt;J432,"BREACH","OK"))</f>
        <v>OK</v>
      </c>
    </row>
    <row r="433" customFormat="false" ht="15" hidden="false" customHeight="false" outlineLevel="0" collapsed="false">
      <c r="A433" s="3" t="s">
        <v>1362</v>
      </c>
      <c r="B433" s="3" t="s">
        <v>1363</v>
      </c>
      <c r="C433" s="3" t="s">
        <v>531</v>
      </c>
      <c r="D433" s="7" t="n">
        <v>0</v>
      </c>
      <c r="E433" s="3" t="s">
        <v>512</v>
      </c>
      <c r="F433" s="8" t="n">
        <v>45649</v>
      </c>
      <c r="G433" s="9" t="n">
        <v>45649.422971677</v>
      </c>
      <c r="H433" s="3" t="n">
        <v>0.15</v>
      </c>
      <c r="I433" s="3" t="str">
        <f aca="false">IF(G433="","OPEN","RESOLVED")</f>
        <v>RESOLVED</v>
      </c>
      <c r="J433" s="3" t="n">
        <f aca="false">IF(C433="TIMING_MISMATCH_TIMEZONE",1,IF(ABS(D433)&gt;5000,4,IF(C433="FEE_VARIANCE_BREACH",120,IF(LEFT(C433,8)="ORPHANED",48,24))))</f>
        <v>1</v>
      </c>
      <c r="K433" s="3" t="str">
        <f aca="false">IF(H433="","",IF(H433&gt;J433,"BREACH","OK"))</f>
        <v>OK</v>
      </c>
    </row>
    <row r="434" customFormat="false" ht="15" hidden="false" customHeight="false" outlineLevel="0" collapsed="false">
      <c r="A434" s="3" t="s">
        <v>1364</v>
      </c>
      <c r="B434" s="3" t="s">
        <v>1365</v>
      </c>
      <c r="C434" s="3" t="s">
        <v>511</v>
      </c>
      <c r="D434" s="7" t="n">
        <v>330.43</v>
      </c>
      <c r="E434" s="3" t="s">
        <v>512</v>
      </c>
      <c r="F434" s="8" t="n">
        <v>45649</v>
      </c>
      <c r="G434" s="9" t="n">
        <v>45650.4058060131</v>
      </c>
      <c r="H434" s="3" t="n">
        <v>23.74</v>
      </c>
      <c r="I434" s="3" t="str">
        <f aca="false">IF(G434="","OPEN","RESOLVED")</f>
        <v>RESOLVED</v>
      </c>
      <c r="J434" s="3" t="n">
        <f aca="false">IF(C434="TIMING_MISMATCH_TIMEZONE",1,IF(ABS(D434)&gt;5000,4,IF(C434="FEE_VARIANCE_BREACH",120,IF(LEFT(C434,8)="ORPHANED",48,24))))</f>
        <v>48</v>
      </c>
      <c r="K434" s="3" t="str">
        <f aca="false">IF(H434="","",IF(H434&gt;J434,"BREACH","OK"))</f>
        <v>OK</v>
      </c>
    </row>
    <row r="435" customFormat="false" ht="15" hidden="false" customHeight="false" outlineLevel="0" collapsed="false">
      <c r="A435" s="3" t="s">
        <v>1366</v>
      </c>
      <c r="B435" s="3" t="s">
        <v>1367</v>
      </c>
      <c r="C435" s="3" t="s">
        <v>511</v>
      </c>
      <c r="D435" s="7" t="n">
        <v>68.25</v>
      </c>
      <c r="E435" s="3" t="s">
        <v>512</v>
      </c>
      <c r="F435" s="8" t="n">
        <v>45649</v>
      </c>
      <c r="G435" s="9" t="n">
        <v>45650.6747505653</v>
      </c>
      <c r="H435" s="3" t="n">
        <v>30.19</v>
      </c>
      <c r="I435" s="3" t="str">
        <f aca="false">IF(G435="","OPEN","RESOLVED")</f>
        <v>RESOLVED</v>
      </c>
      <c r="J435" s="3" t="n">
        <f aca="false">IF(C435="TIMING_MISMATCH_TIMEZONE",1,IF(ABS(D435)&gt;5000,4,IF(C435="FEE_VARIANCE_BREACH",120,IF(LEFT(C435,8)="ORPHANED",48,24))))</f>
        <v>48</v>
      </c>
      <c r="K435" s="3" t="str">
        <f aca="false">IF(H435="","",IF(H435&gt;J435,"BREACH","OK"))</f>
        <v>OK</v>
      </c>
    </row>
    <row r="436" customFormat="false" ht="15" hidden="false" customHeight="false" outlineLevel="0" collapsed="false">
      <c r="A436" s="3" t="s">
        <v>1368</v>
      </c>
      <c r="B436" s="3" t="s">
        <v>1369</v>
      </c>
      <c r="C436" s="3" t="s">
        <v>497</v>
      </c>
      <c r="D436" s="7" t="n">
        <v>-0.7</v>
      </c>
      <c r="E436" s="3" t="s">
        <v>498</v>
      </c>
      <c r="F436" s="8" t="n">
        <v>45649</v>
      </c>
      <c r="G436" s="9" t="n">
        <v>45656.60046576</v>
      </c>
      <c r="H436" s="3" t="n">
        <v>124.41</v>
      </c>
      <c r="I436" s="3" t="str">
        <f aca="false">IF(G436="","OPEN","RESOLVED")</f>
        <v>RESOLVED</v>
      </c>
      <c r="J436" s="3" t="n">
        <f aca="false">IF(C436="TIMING_MISMATCH_TIMEZONE",1,IF(ABS(D436)&gt;5000,4,IF(C436="FEE_VARIANCE_BREACH",120,IF(LEFT(C436,8)="ORPHANED",48,24))))</f>
        <v>120</v>
      </c>
      <c r="K436" s="3" t="str">
        <f aca="false">IF(H436="","",IF(H436&gt;J436,"BREACH","OK"))</f>
        <v>BREACH</v>
      </c>
    </row>
    <row r="437" customFormat="false" ht="15" hidden="false" customHeight="false" outlineLevel="0" collapsed="false">
      <c r="A437" s="3" t="s">
        <v>1370</v>
      </c>
      <c r="B437" s="3" t="s">
        <v>1371</v>
      </c>
      <c r="C437" s="3" t="s">
        <v>497</v>
      </c>
      <c r="D437" s="7" t="n">
        <v>-5.27</v>
      </c>
      <c r="E437" s="3" t="s">
        <v>498</v>
      </c>
      <c r="F437" s="8" t="n">
        <v>45649</v>
      </c>
      <c r="G437" s="9" t="n">
        <v>45652.0666586734</v>
      </c>
      <c r="H437" s="3" t="n">
        <v>63.6</v>
      </c>
      <c r="I437" s="3" t="str">
        <f aca="false">IF(G437="","OPEN","RESOLVED")</f>
        <v>RESOLVED</v>
      </c>
      <c r="J437" s="3" t="n">
        <f aca="false">IF(C437="TIMING_MISMATCH_TIMEZONE",1,IF(ABS(D437)&gt;5000,4,IF(C437="FEE_VARIANCE_BREACH",120,IF(LEFT(C437,8)="ORPHANED",48,24))))</f>
        <v>120</v>
      </c>
      <c r="K437" s="3" t="str">
        <f aca="false">IF(H437="","",IF(H437&gt;J437,"BREACH","OK"))</f>
        <v>OK</v>
      </c>
    </row>
    <row r="438" customFormat="false" ht="15" hidden="false" customHeight="false" outlineLevel="0" collapsed="false">
      <c r="A438" s="3" t="s">
        <v>1372</v>
      </c>
      <c r="B438" s="3" t="s">
        <v>1373</v>
      </c>
      <c r="C438" s="3" t="s">
        <v>531</v>
      </c>
      <c r="D438" s="7" t="n">
        <v>0</v>
      </c>
      <c r="E438" s="3" t="s">
        <v>512</v>
      </c>
      <c r="F438" s="8" t="n">
        <v>45649</v>
      </c>
      <c r="G438" s="9" t="n">
        <v>45649.4220387976</v>
      </c>
      <c r="H438" s="3" t="n">
        <v>0.13</v>
      </c>
      <c r="I438" s="3" t="str">
        <f aca="false">IF(G438="","OPEN","RESOLVED")</f>
        <v>RESOLVED</v>
      </c>
      <c r="J438" s="3" t="n">
        <f aca="false">IF(C438="TIMING_MISMATCH_TIMEZONE",1,IF(ABS(D438)&gt;5000,4,IF(C438="FEE_VARIANCE_BREACH",120,IF(LEFT(C438,8)="ORPHANED",48,24))))</f>
        <v>1</v>
      </c>
      <c r="K438" s="3" t="str">
        <f aca="false">IF(H438="","",IF(H438&gt;J438,"BREACH","OK"))</f>
        <v>OK</v>
      </c>
    </row>
    <row r="439" customFormat="false" ht="15" hidden="false" customHeight="false" outlineLevel="0" collapsed="false">
      <c r="A439" s="3" t="s">
        <v>1374</v>
      </c>
      <c r="B439" s="3" t="s">
        <v>1375</v>
      </c>
      <c r="C439" s="3" t="s">
        <v>531</v>
      </c>
      <c r="D439" s="7" t="n">
        <v>0</v>
      </c>
      <c r="E439" s="3" t="s">
        <v>512</v>
      </c>
      <c r="F439" s="8" t="n">
        <v>45649</v>
      </c>
      <c r="G439" s="9" t="n">
        <v>45649.4228407241</v>
      </c>
      <c r="H439" s="3" t="n">
        <v>0.15</v>
      </c>
      <c r="I439" s="3" t="str">
        <f aca="false">IF(G439="","OPEN","RESOLVED")</f>
        <v>RESOLVED</v>
      </c>
      <c r="J439" s="3" t="n">
        <f aca="false">IF(C439="TIMING_MISMATCH_TIMEZONE",1,IF(ABS(D439)&gt;5000,4,IF(C439="FEE_VARIANCE_BREACH",120,IF(LEFT(C439,8)="ORPHANED",48,24))))</f>
        <v>1</v>
      </c>
      <c r="K439" s="3" t="str">
        <f aca="false">IF(H439="","",IF(H439&gt;J439,"BREACH","OK"))</f>
        <v>OK</v>
      </c>
    </row>
    <row r="440" customFormat="false" ht="15" hidden="false" customHeight="false" outlineLevel="0" collapsed="false">
      <c r="A440" s="3" t="s">
        <v>1376</v>
      </c>
      <c r="B440" s="3" t="s">
        <v>1377</v>
      </c>
      <c r="C440" s="3" t="s">
        <v>531</v>
      </c>
      <c r="D440" s="7" t="n">
        <v>0</v>
      </c>
      <c r="E440" s="3" t="s">
        <v>512</v>
      </c>
      <c r="F440" s="8" t="n">
        <v>45649</v>
      </c>
      <c r="G440" s="9" t="n">
        <v>45649.4230786983</v>
      </c>
      <c r="H440" s="3" t="n">
        <v>0.15</v>
      </c>
      <c r="I440" s="3" t="str">
        <f aca="false">IF(G440="","OPEN","RESOLVED")</f>
        <v>RESOLVED</v>
      </c>
      <c r="J440" s="3" t="n">
        <f aca="false">IF(C440="TIMING_MISMATCH_TIMEZONE",1,IF(ABS(D440)&gt;5000,4,IF(C440="FEE_VARIANCE_BREACH",120,IF(LEFT(C440,8)="ORPHANED",48,24))))</f>
        <v>1</v>
      </c>
      <c r="K440" s="3" t="str">
        <f aca="false">IF(H440="","",IF(H440&gt;J440,"BREACH","OK"))</f>
        <v>OK</v>
      </c>
    </row>
    <row r="441" customFormat="false" ht="15" hidden="false" customHeight="false" outlineLevel="0" collapsed="false">
      <c r="A441" s="3" t="s">
        <v>1378</v>
      </c>
      <c r="B441" s="3" t="s">
        <v>1379</v>
      </c>
      <c r="C441" s="3" t="s">
        <v>531</v>
      </c>
      <c r="D441" s="7" t="n">
        <v>0</v>
      </c>
      <c r="E441" s="3" t="s">
        <v>512</v>
      </c>
      <c r="F441" s="8" t="n">
        <v>45649</v>
      </c>
      <c r="G441" s="9" t="n">
        <v>45649.41875</v>
      </c>
      <c r="H441" s="3" t="n">
        <v>0.05</v>
      </c>
      <c r="I441" s="3" t="str">
        <f aca="false">IF(G441="","OPEN","RESOLVED")</f>
        <v>RESOLVED</v>
      </c>
      <c r="J441" s="3" t="n">
        <f aca="false">IF(C441="TIMING_MISMATCH_TIMEZONE",1,IF(ABS(D441)&gt;5000,4,IF(C441="FEE_VARIANCE_BREACH",120,IF(LEFT(C441,8)="ORPHANED",48,24))))</f>
        <v>1</v>
      </c>
      <c r="K441" s="3" t="str">
        <f aca="false">IF(H441="","",IF(H441&gt;J441,"BREACH","OK"))</f>
        <v>OK</v>
      </c>
    </row>
    <row r="442" customFormat="false" ht="15" hidden="false" customHeight="false" outlineLevel="0" collapsed="false">
      <c r="A442" s="3" t="s">
        <v>1380</v>
      </c>
      <c r="B442" s="3" t="s">
        <v>1381</v>
      </c>
      <c r="C442" s="3" t="s">
        <v>531</v>
      </c>
      <c r="D442" s="7" t="n">
        <v>0</v>
      </c>
      <c r="E442" s="3" t="s">
        <v>512</v>
      </c>
      <c r="F442" s="8" t="n">
        <v>45649</v>
      </c>
      <c r="G442" s="9" t="n">
        <v>45649.41875</v>
      </c>
      <c r="H442" s="3" t="n">
        <v>0.05</v>
      </c>
      <c r="I442" s="3" t="str">
        <f aca="false">IF(G442="","OPEN","RESOLVED")</f>
        <v>RESOLVED</v>
      </c>
      <c r="J442" s="3" t="n">
        <f aca="false">IF(C442="TIMING_MISMATCH_TIMEZONE",1,IF(ABS(D442)&gt;5000,4,IF(C442="FEE_VARIANCE_BREACH",120,IF(LEFT(C442,8)="ORPHANED",48,24))))</f>
        <v>1</v>
      </c>
      <c r="K442" s="3" t="str">
        <f aca="false">IF(H442="","",IF(H442&gt;J442,"BREACH","OK"))</f>
        <v>OK</v>
      </c>
    </row>
    <row r="443" customFormat="false" ht="15" hidden="false" customHeight="false" outlineLevel="0" collapsed="false">
      <c r="A443" s="3" t="s">
        <v>1382</v>
      </c>
      <c r="B443" s="3" t="s">
        <v>1383</v>
      </c>
      <c r="C443" s="3" t="s">
        <v>531</v>
      </c>
      <c r="D443" s="7" t="n">
        <v>0</v>
      </c>
      <c r="E443" s="3" t="s">
        <v>512</v>
      </c>
      <c r="F443" s="8" t="n">
        <v>45649</v>
      </c>
      <c r="G443" s="9" t="n">
        <v>45649.4274527136</v>
      </c>
      <c r="H443" s="3" t="n">
        <v>0.26</v>
      </c>
      <c r="I443" s="3" t="str">
        <f aca="false">IF(G443="","OPEN","RESOLVED")</f>
        <v>RESOLVED</v>
      </c>
      <c r="J443" s="3" t="n">
        <f aca="false">IF(C443="TIMING_MISMATCH_TIMEZONE",1,IF(ABS(D443)&gt;5000,4,IF(C443="FEE_VARIANCE_BREACH",120,IF(LEFT(C443,8)="ORPHANED",48,24))))</f>
        <v>1</v>
      </c>
      <c r="K443" s="3" t="str">
        <f aca="false">IF(H443="","",IF(H443&gt;J443,"BREACH","OK"))</f>
        <v>OK</v>
      </c>
    </row>
    <row r="444" customFormat="false" ht="15" hidden="false" customHeight="false" outlineLevel="0" collapsed="false">
      <c r="A444" s="3" t="s">
        <v>1384</v>
      </c>
      <c r="B444" s="3" t="s">
        <v>1385</v>
      </c>
      <c r="C444" s="3" t="s">
        <v>497</v>
      </c>
      <c r="D444" s="7" t="n">
        <v>-0.91</v>
      </c>
      <c r="E444" s="3" t="s">
        <v>498</v>
      </c>
      <c r="F444" s="8" t="n">
        <v>45649</v>
      </c>
      <c r="G444" s="9" t="n">
        <v>45652.5043458103</v>
      </c>
      <c r="H444" s="3" t="n">
        <v>74.1</v>
      </c>
      <c r="I444" s="3" t="str">
        <f aca="false">IF(G444="","OPEN","RESOLVED")</f>
        <v>RESOLVED</v>
      </c>
      <c r="J444" s="3" t="n">
        <f aca="false">IF(C444="TIMING_MISMATCH_TIMEZONE",1,IF(ABS(D444)&gt;5000,4,IF(C444="FEE_VARIANCE_BREACH",120,IF(LEFT(C444,8)="ORPHANED",48,24))))</f>
        <v>120</v>
      </c>
      <c r="K444" s="3" t="str">
        <f aca="false">IF(H444="","",IF(H444&gt;J444,"BREACH","OK"))</f>
        <v>OK</v>
      </c>
    </row>
    <row r="445" customFormat="false" ht="15" hidden="false" customHeight="false" outlineLevel="0" collapsed="false">
      <c r="A445" s="3" t="s">
        <v>1386</v>
      </c>
      <c r="B445" s="3" t="s">
        <v>1387</v>
      </c>
      <c r="C445" s="3" t="s">
        <v>531</v>
      </c>
      <c r="D445" s="7" t="n">
        <v>0</v>
      </c>
      <c r="E445" s="3" t="s">
        <v>512</v>
      </c>
      <c r="F445" s="8" t="n">
        <v>45649</v>
      </c>
      <c r="G445" s="9" t="n">
        <v>45649.4322682373</v>
      </c>
      <c r="H445" s="3" t="n">
        <v>0.37</v>
      </c>
      <c r="I445" s="3" t="str">
        <f aca="false">IF(G445="","OPEN","RESOLVED")</f>
        <v>RESOLVED</v>
      </c>
      <c r="J445" s="3" t="n">
        <f aca="false">IF(C445="TIMING_MISMATCH_TIMEZONE",1,IF(ABS(D445)&gt;5000,4,IF(C445="FEE_VARIANCE_BREACH",120,IF(LEFT(C445,8)="ORPHANED",48,24))))</f>
        <v>1</v>
      </c>
      <c r="K445" s="3" t="str">
        <f aca="false">IF(H445="","",IF(H445&gt;J445,"BREACH","OK"))</f>
        <v>OK</v>
      </c>
    </row>
    <row r="446" customFormat="false" ht="15" hidden="false" customHeight="false" outlineLevel="0" collapsed="false">
      <c r="A446" s="3" t="s">
        <v>1388</v>
      </c>
      <c r="B446" s="3" t="s">
        <v>1389</v>
      </c>
      <c r="C446" s="3" t="s">
        <v>531</v>
      </c>
      <c r="D446" s="7" t="n">
        <v>0</v>
      </c>
      <c r="E446" s="3" t="s">
        <v>512</v>
      </c>
      <c r="F446" s="8" t="n">
        <v>45649</v>
      </c>
      <c r="G446" s="9" t="n">
        <v>45649.4278865001</v>
      </c>
      <c r="H446" s="3" t="n">
        <v>0.27</v>
      </c>
      <c r="I446" s="3" t="str">
        <f aca="false">IF(G446="","OPEN","RESOLVED")</f>
        <v>RESOLVED</v>
      </c>
      <c r="J446" s="3" t="n">
        <f aca="false">IF(C446="TIMING_MISMATCH_TIMEZONE",1,IF(ABS(D446)&gt;5000,4,IF(C446="FEE_VARIANCE_BREACH",120,IF(LEFT(C446,8)="ORPHANED",48,24))))</f>
        <v>1</v>
      </c>
      <c r="K446" s="3" t="str">
        <f aca="false">IF(H446="","",IF(H446&gt;J446,"BREACH","OK"))</f>
        <v>OK</v>
      </c>
    </row>
    <row r="447" customFormat="false" ht="15" hidden="false" customHeight="false" outlineLevel="0" collapsed="false">
      <c r="A447" s="3" t="s">
        <v>1390</v>
      </c>
      <c r="B447" s="3" t="s">
        <v>1391</v>
      </c>
      <c r="C447" s="3" t="s">
        <v>531</v>
      </c>
      <c r="D447" s="7" t="n">
        <v>0</v>
      </c>
      <c r="E447" s="3" t="s">
        <v>512</v>
      </c>
      <c r="F447" s="8" t="n">
        <v>45649</v>
      </c>
      <c r="G447" s="9" t="n">
        <v>45649.421290509</v>
      </c>
      <c r="H447" s="3" t="n">
        <v>0.11</v>
      </c>
      <c r="I447" s="3" t="str">
        <f aca="false">IF(G447="","OPEN","RESOLVED")</f>
        <v>RESOLVED</v>
      </c>
      <c r="J447" s="3" t="n">
        <f aca="false">IF(C447="TIMING_MISMATCH_TIMEZONE",1,IF(ABS(D447)&gt;5000,4,IF(C447="FEE_VARIANCE_BREACH",120,IF(LEFT(C447,8)="ORPHANED",48,24))))</f>
        <v>1</v>
      </c>
      <c r="K447" s="3" t="str">
        <f aca="false">IF(H447="","",IF(H447&gt;J447,"BREACH","OK"))</f>
        <v>OK</v>
      </c>
    </row>
    <row r="448" customFormat="false" ht="15" hidden="false" customHeight="false" outlineLevel="0" collapsed="false">
      <c r="A448" s="3" t="s">
        <v>1392</v>
      </c>
      <c r="B448" s="3" t="s">
        <v>1393</v>
      </c>
      <c r="C448" s="3" t="s">
        <v>531</v>
      </c>
      <c r="D448" s="7" t="n">
        <v>0</v>
      </c>
      <c r="E448" s="3" t="s">
        <v>512</v>
      </c>
      <c r="F448" s="8" t="n">
        <v>45649</v>
      </c>
      <c r="G448" s="9" t="n">
        <v>45649.41875</v>
      </c>
      <c r="H448" s="3" t="n">
        <v>0.05</v>
      </c>
      <c r="I448" s="3" t="str">
        <f aca="false">IF(G448="","OPEN","RESOLVED")</f>
        <v>RESOLVED</v>
      </c>
      <c r="J448" s="3" t="n">
        <f aca="false">IF(C448="TIMING_MISMATCH_TIMEZONE",1,IF(ABS(D448)&gt;5000,4,IF(C448="FEE_VARIANCE_BREACH",120,IF(LEFT(C448,8)="ORPHANED",48,24))))</f>
        <v>1</v>
      </c>
      <c r="K448" s="3" t="str">
        <f aca="false">IF(H448="","",IF(H448&gt;J448,"BREACH","OK"))</f>
        <v>OK</v>
      </c>
    </row>
    <row r="449" customFormat="false" ht="15" hidden="false" customHeight="false" outlineLevel="0" collapsed="false">
      <c r="A449" s="3" t="s">
        <v>1394</v>
      </c>
      <c r="B449" s="3" t="s">
        <v>1395</v>
      </c>
      <c r="C449" s="3" t="s">
        <v>503</v>
      </c>
      <c r="D449" s="7" t="n">
        <v>-216.39</v>
      </c>
      <c r="E449" s="3" t="s">
        <v>504</v>
      </c>
      <c r="F449" s="8" t="n">
        <v>45649</v>
      </c>
      <c r="G449" s="9" t="n">
        <v>45650.5146233922</v>
      </c>
      <c r="H449" s="3" t="n">
        <v>26.35</v>
      </c>
      <c r="I449" s="3" t="str">
        <f aca="false">IF(G449="","OPEN","RESOLVED")</f>
        <v>RESOLVED</v>
      </c>
      <c r="J449" s="3" t="n">
        <f aca="false">IF(C449="TIMING_MISMATCH_TIMEZONE",1,IF(ABS(D449)&gt;5000,4,IF(C449="FEE_VARIANCE_BREACH",120,IF(LEFT(C449,8)="ORPHANED",48,24))))</f>
        <v>48</v>
      </c>
      <c r="K449" s="3" t="str">
        <f aca="false">IF(H449="","",IF(H449&gt;J449,"BREACH","OK"))</f>
        <v>OK</v>
      </c>
    </row>
    <row r="450" customFormat="false" ht="15" hidden="false" customHeight="false" outlineLevel="0" collapsed="false">
      <c r="A450" s="3" t="s">
        <v>1396</v>
      </c>
      <c r="B450" s="3" t="s">
        <v>1397</v>
      </c>
      <c r="C450" s="3" t="s">
        <v>531</v>
      </c>
      <c r="D450" s="7" t="n">
        <v>0</v>
      </c>
      <c r="E450" s="3" t="s">
        <v>512</v>
      </c>
      <c r="F450" s="8" t="n">
        <v>45649</v>
      </c>
      <c r="G450" s="9" t="n">
        <v>45649.4241789443</v>
      </c>
      <c r="H450" s="3" t="n">
        <v>0.18</v>
      </c>
      <c r="I450" s="3" t="str">
        <f aca="false">IF(G450="","OPEN","RESOLVED")</f>
        <v>RESOLVED</v>
      </c>
      <c r="J450" s="3" t="n">
        <f aca="false">IF(C450="TIMING_MISMATCH_TIMEZONE",1,IF(ABS(D450)&gt;5000,4,IF(C450="FEE_VARIANCE_BREACH",120,IF(LEFT(C450,8)="ORPHANED",48,24))))</f>
        <v>1</v>
      </c>
      <c r="K450" s="3" t="str">
        <f aca="false">IF(H450="","",IF(H450&gt;J450,"BREACH","OK"))</f>
        <v>OK</v>
      </c>
    </row>
    <row r="451" customFormat="false" ht="15" hidden="false" customHeight="false" outlineLevel="0" collapsed="false">
      <c r="A451" s="3" t="s">
        <v>1398</v>
      </c>
      <c r="B451" s="3" t="s">
        <v>1399</v>
      </c>
      <c r="C451" s="3" t="s">
        <v>531</v>
      </c>
      <c r="D451" s="7" t="n">
        <v>0</v>
      </c>
      <c r="E451" s="3" t="s">
        <v>512</v>
      </c>
      <c r="F451" s="8" t="n">
        <v>45649</v>
      </c>
      <c r="G451" s="9" t="n">
        <v>45649.4216312009</v>
      </c>
      <c r="H451" s="3" t="n">
        <v>0.12</v>
      </c>
      <c r="I451" s="3" t="str">
        <f aca="false">IF(G451="","OPEN","RESOLVED")</f>
        <v>RESOLVED</v>
      </c>
      <c r="J451" s="3" t="n">
        <f aca="false">IF(C451="TIMING_MISMATCH_TIMEZONE",1,IF(ABS(D451)&gt;5000,4,IF(C451="FEE_VARIANCE_BREACH",120,IF(LEFT(C451,8)="ORPHANED",48,24))))</f>
        <v>1</v>
      </c>
      <c r="K451" s="3" t="str">
        <f aca="false">IF(H451="","",IF(H451&gt;J451,"BREACH","OK"))</f>
        <v>OK</v>
      </c>
    </row>
    <row r="452" customFormat="false" ht="15" hidden="false" customHeight="false" outlineLevel="0" collapsed="false">
      <c r="A452" s="3" t="s">
        <v>1400</v>
      </c>
      <c r="B452" s="3" t="s">
        <v>1401</v>
      </c>
      <c r="C452" s="3" t="s">
        <v>511</v>
      </c>
      <c r="D452" s="7" t="n">
        <v>316.58</v>
      </c>
      <c r="E452" s="3" t="s">
        <v>512</v>
      </c>
      <c r="F452" s="8" t="n">
        <v>45649</v>
      </c>
      <c r="G452" s="9" t="n">
        <v>45650.0063457053</v>
      </c>
      <c r="H452" s="3" t="n">
        <v>14.15</v>
      </c>
      <c r="I452" s="3" t="str">
        <f aca="false">IF(G452="","OPEN","RESOLVED")</f>
        <v>RESOLVED</v>
      </c>
      <c r="J452" s="3" t="n">
        <f aca="false">IF(C452="TIMING_MISMATCH_TIMEZONE",1,IF(ABS(D452)&gt;5000,4,IF(C452="FEE_VARIANCE_BREACH",120,IF(LEFT(C452,8)="ORPHANED",48,24))))</f>
        <v>48</v>
      </c>
      <c r="K452" s="3" t="str">
        <f aca="false">IF(H452="","",IF(H452&gt;J452,"BREACH","OK"))</f>
        <v>OK</v>
      </c>
    </row>
    <row r="453" customFormat="false" ht="15" hidden="false" customHeight="false" outlineLevel="0" collapsed="false">
      <c r="A453" s="3" t="s">
        <v>1402</v>
      </c>
      <c r="B453" s="3" t="s">
        <v>1403</v>
      </c>
      <c r="C453" s="3" t="s">
        <v>531</v>
      </c>
      <c r="D453" s="7" t="n">
        <v>0</v>
      </c>
      <c r="E453" s="3" t="s">
        <v>512</v>
      </c>
      <c r="F453" s="8" t="n">
        <v>45649</v>
      </c>
      <c r="G453" s="9" t="n">
        <v>45649.4231961919</v>
      </c>
      <c r="H453" s="3" t="n">
        <v>0.16</v>
      </c>
      <c r="I453" s="3" t="str">
        <f aca="false">IF(G453="","OPEN","RESOLVED")</f>
        <v>RESOLVED</v>
      </c>
      <c r="J453" s="3" t="n">
        <f aca="false">IF(C453="TIMING_MISMATCH_TIMEZONE",1,IF(ABS(D453)&gt;5000,4,IF(C453="FEE_VARIANCE_BREACH",120,IF(LEFT(C453,8)="ORPHANED",48,24))))</f>
        <v>1</v>
      </c>
      <c r="K453" s="3" t="str">
        <f aca="false">IF(H453="","",IF(H453&gt;J453,"BREACH","OK"))</f>
        <v>OK</v>
      </c>
    </row>
    <row r="454" customFormat="false" ht="15" hidden="false" customHeight="false" outlineLevel="0" collapsed="false">
      <c r="A454" s="3" t="s">
        <v>1404</v>
      </c>
      <c r="B454" s="3" t="s">
        <v>1405</v>
      </c>
      <c r="C454" s="3" t="s">
        <v>531</v>
      </c>
      <c r="D454" s="7" t="n">
        <v>0</v>
      </c>
      <c r="E454" s="3" t="s">
        <v>512</v>
      </c>
      <c r="F454" s="8" t="n">
        <v>45649</v>
      </c>
      <c r="G454" s="9" t="n">
        <v>45649.4205010535</v>
      </c>
      <c r="H454" s="3" t="n">
        <v>0.09</v>
      </c>
      <c r="I454" s="3" t="str">
        <f aca="false">IF(G454="","OPEN","RESOLVED")</f>
        <v>RESOLVED</v>
      </c>
      <c r="J454" s="3" t="n">
        <f aca="false">IF(C454="TIMING_MISMATCH_TIMEZONE",1,IF(ABS(D454)&gt;5000,4,IF(C454="FEE_VARIANCE_BREACH",120,IF(LEFT(C454,8)="ORPHANED",48,24))))</f>
        <v>1</v>
      </c>
      <c r="K454" s="3" t="str">
        <f aca="false">IF(H454="","",IF(H454&gt;J454,"BREACH","OK"))</f>
        <v>OK</v>
      </c>
    </row>
    <row r="455" customFormat="false" ht="15" hidden="false" customHeight="false" outlineLevel="0" collapsed="false">
      <c r="A455" s="3" t="s">
        <v>1406</v>
      </c>
      <c r="B455" s="3" t="s">
        <v>1407</v>
      </c>
      <c r="C455" s="3" t="s">
        <v>497</v>
      </c>
      <c r="D455" s="7" t="n">
        <v>-1.23</v>
      </c>
      <c r="E455" s="3" t="s">
        <v>498</v>
      </c>
      <c r="F455" s="8" t="n">
        <v>45649</v>
      </c>
      <c r="G455" s="9" t="n">
        <v>45652.9420544609</v>
      </c>
      <c r="H455" s="3" t="n">
        <v>84.61</v>
      </c>
      <c r="I455" s="3" t="str">
        <f aca="false">IF(G455="","OPEN","RESOLVED")</f>
        <v>RESOLVED</v>
      </c>
      <c r="J455" s="3" t="n">
        <f aca="false">IF(C455="TIMING_MISMATCH_TIMEZONE",1,IF(ABS(D455)&gt;5000,4,IF(C455="FEE_VARIANCE_BREACH",120,IF(LEFT(C455,8)="ORPHANED",48,24))))</f>
        <v>120</v>
      </c>
      <c r="K455" s="3" t="str">
        <f aca="false">IF(H455="","",IF(H455&gt;J455,"BREACH","OK"))</f>
        <v>OK</v>
      </c>
    </row>
    <row r="456" customFormat="false" ht="15" hidden="false" customHeight="false" outlineLevel="0" collapsed="false">
      <c r="A456" s="3" t="s">
        <v>1408</v>
      </c>
      <c r="B456" s="3" t="s">
        <v>1409</v>
      </c>
      <c r="C456" s="3" t="s">
        <v>531</v>
      </c>
      <c r="D456" s="7" t="n">
        <v>0</v>
      </c>
      <c r="E456" s="3" t="s">
        <v>512</v>
      </c>
      <c r="F456" s="8" t="n">
        <v>45649</v>
      </c>
      <c r="G456" s="9" t="n">
        <v>45649.4250239531</v>
      </c>
      <c r="H456" s="3" t="n">
        <v>0.2</v>
      </c>
      <c r="I456" s="3" t="str">
        <f aca="false">IF(G456="","OPEN","RESOLVED")</f>
        <v>RESOLVED</v>
      </c>
      <c r="J456" s="3" t="n">
        <f aca="false">IF(C456="TIMING_MISMATCH_TIMEZONE",1,IF(ABS(D456)&gt;5000,4,IF(C456="FEE_VARIANCE_BREACH",120,IF(LEFT(C456,8)="ORPHANED",48,24))))</f>
        <v>1</v>
      </c>
      <c r="K456" s="3" t="str">
        <f aca="false">IF(H456="","",IF(H456&gt;J456,"BREACH","OK"))</f>
        <v>OK</v>
      </c>
    </row>
    <row r="457" customFormat="false" ht="15" hidden="false" customHeight="false" outlineLevel="0" collapsed="false">
      <c r="A457" s="3" t="s">
        <v>1410</v>
      </c>
      <c r="B457" s="3" t="s">
        <v>1411</v>
      </c>
      <c r="C457" s="3" t="s">
        <v>497</v>
      </c>
      <c r="D457" s="7" t="n">
        <v>-0.92</v>
      </c>
      <c r="E457" s="3" t="s">
        <v>498</v>
      </c>
      <c r="F457" s="8" t="n">
        <v>45649</v>
      </c>
      <c r="G457" s="9" t="n">
        <v>45652.7156371083</v>
      </c>
      <c r="H457" s="3" t="n">
        <v>79.18</v>
      </c>
      <c r="I457" s="3" t="str">
        <f aca="false">IF(G457="","OPEN","RESOLVED")</f>
        <v>RESOLVED</v>
      </c>
      <c r="J457" s="3" t="n">
        <f aca="false">IF(C457="TIMING_MISMATCH_TIMEZONE",1,IF(ABS(D457)&gt;5000,4,IF(C457="FEE_VARIANCE_BREACH",120,IF(LEFT(C457,8)="ORPHANED",48,24))))</f>
        <v>120</v>
      </c>
      <c r="K457" s="3" t="str">
        <f aca="false">IF(H457="","",IF(H457&gt;J457,"BREACH","OK"))</f>
        <v>OK</v>
      </c>
    </row>
    <row r="458" customFormat="false" ht="15" hidden="false" customHeight="false" outlineLevel="0" collapsed="false">
      <c r="A458" s="3" t="s">
        <v>1412</v>
      </c>
      <c r="B458" s="3" t="s">
        <v>1413</v>
      </c>
      <c r="C458" s="3" t="s">
        <v>497</v>
      </c>
      <c r="D458" s="7" t="n">
        <v>-1.54</v>
      </c>
      <c r="E458" s="3" t="s">
        <v>498</v>
      </c>
      <c r="F458" s="8" t="n">
        <v>45649</v>
      </c>
      <c r="G458" s="9" t="n">
        <v>45653.4885799805</v>
      </c>
      <c r="H458" s="3" t="n">
        <v>97.73</v>
      </c>
      <c r="I458" s="3" t="str">
        <f aca="false">IF(G458="","OPEN","RESOLVED")</f>
        <v>RESOLVED</v>
      </c>
      <c r="J458" s="3" t="n">
        <f aca="false">IF(C458="TIMING_MISMATCH_TIMEZONE",1,IF(ABS(D458)&gt;5000,4,IF(C458="FEE_VARIANCE_BREACH",120,IF(LEFT(C458,8)="ORPHANED",48,24))))</f>
        <v>120</v>
      </c>
      <c r="K458" s="3" t="str">
        <f aca="false">IF(H458="","",IF(H458&gt;J458,"BREACH","OK"))</f>
        <v>OK</v>
      </c>
    </row>
    <row r="459" customFormat="false" ht="15" hidden="false" customHeight="false" outlineLevel="0" collapsed="false">
      <c r="A459" s="3" t="s">
        <v>1414</v>
      </c>
      <c r="B459" s="3" t="s">
        <v>1415</v>
      </c>
      <c r="C459" s="3" t="s">
        <v>511</v>
      </c>
      <c r="D459" s="7" t="n">
        <v>136.75</v>
      </c>
      <c r="E459" s="3" t="s">
        <v>512</v>
      </c>
      <c r="F459" s="8" t="n">
        <v>45649</v>
      </c>
      <c r="G459" s="9" t="n">
        <v>45650.5077892059</v>
      </c>
      <c r="H459" s="3" t="n">
        <v>26.19</v>
      </c>
      <c r="I459" s="3" t="str">
        <f aca="false">IF(G459="","OPEN","RESOLVED")</f>
        <v>RESOLVED</v>
      </c>
      <c r="J459" s="3" t="n">
        <f aca="false">IF(C459="TIMING_MISMATCH_TIMEZONE",1,IF(ABS(D459)&gt;5000,4,IF(C459="FEE_VARIANCE_BREACH",120,IF(LEFT(C459,8)="ORPHANED",48,24))))</f>
        <v>48</v>
      </c>
      <c r="K459" s="3" t="str">
        <f aca="false">IF(H459="","",IF(H459&gt;J459,"BREACH","OK"))</f>
        <v>OK</v>
      </c>
    </row>
    <row r="460" customFormat="false" ht="15" hidden="false" customHeight="false" outlineLevel="0" collapsed="false">
      <c r="A460" s="3" t="s">
        <v>1416</v>
      </c>
      <c r="B460" s="3" t="s">
        <v>1417</v>
      </c>
      <c r="C460" s="3" t="s">
        <v>497</v>
      </c>
      <c r="D460" s="7" t="n">
        <v>-1.13</v>
      </c>
      <c r="E460" s="3" t="s">
        <v>498</v>
      </c>
      <c r="F460" s="8" t="n">
        <v>45649</v>
      </c>
      <c r="G460" s="9" t="n">
        <v>45653.6670887997</v>
      </c>
      <c r="H460" s="3" t="n">
        <v>102.01</v>
      </c>
      <c r="I460" s="3" t="str">
        <f aca="false">IF(G460="","OPEN","RESOLVED")</f>
        <v>RESOLVED</v>
      </c>
      <c r="J460" s="3" t="n">
        <f aca="false">IF(C460="TIMING_MISMATCH_TIMEZONE",1,IF(ABS(D460)&gt;5000,4,IF(C460="FEE_VARIANCE_BREACH",120,IF(LEFT(C460,8)="ORPHANED",48,24))))</f>
        <v>120</v>
      </c>
      <c r="K460" s="3" t="str">
        <f aca="false">IF(H460="","",IF(H460&gt;J460,"BREACH","OK"))</f>
        <v>OK</v>
      </c>
    </row>
    <row r="461" customFormat="false" ht="15" hidden="false" customHeight="false" outlineLevel="0" collapsed="false">
      <c r="A461" s="3" t="s">
        <v>1418</v>
      </c>
      <c r="B461" s="3" t="s">
        <v>1419</v>
      </c>
      <c r="C461" s="3" t="s">
        <v>511</v>
      </c>
      <c r="D461" s="7" t="n">
        <v>200.31</v>
      </c>
      <c r="E461" s="3" t="s">
        <v>512</v>
      </c>
      <c r="F461" s="8" t="n">
        <v>45649</v>
      </c>
      <c r="G461" s="9" t="n">
        <v>45651.1470313202</v>
      </c>
      <c r="H461" s="3" t="n">
        <v>41.53</v>
      </c>
      <c r="I461" s="3" t="str">
        <f aca="false">IF(G461="","OPEN","RESOLVED")</f>
        <v>RESOLVED</v>
      </c>
      <c r="J461" s="3" t="n">
        <f aca="false">IF(C461="TIMING_MISMATCH_TIMEZONE",1,IF(ABS(D461)&gt;5000,4,IF(C461="FEE_VARIANCE_BREACH",120,IF(LEFT(C461,8)="ORPHANED",48,24))))</f>
        <v>48</v>
      </c>
      <c r="K461" s="3" t="str">
        <f aca="false">IF(H461="","",IF(H461&gt;J461,"BREACH","OK"))</f>
        <v>OK</v>
      </c>
    </row>
    <row r="462" customFormat="false" ht="15" hidden="false" customHeight="false" outlineLevel="0" collapsed="false">
      <c r="A462" s="3" t="s">
        <v>1420</v>
      </c>
      <c r="B462" s="3" t="s">
        <v>1421</v>
      </c>
      <c r="C462" s="3" t="s">
        <v>497</v>
      </c>
      <c r="D462" s="7" t="n">
        <v>-0.69</v>
      </c>
      <c r="E462" s="3" t="s">
        <v>498</v>
      </c>
      <c r="F462" s="8" t="n">
        <v>45649</v>
      </c>
      <c r="G462" s="9" t="n">
        <v>45652.9119711301</v>
      </c>
      <c r="H462" s="3" t="n">
        <v>83.89</v>
      </c>
      <c r="I462" s="3" t="str">
        <f aca="false">IF(G462="","OPEN","RESOLVED")</f>
        <v>RESOLVED</v>
      </c>
      <c r="J462" s="3" t="n">
        <f aca="false">IF(C462="TIMING_MISMATCH_TIMEZONE",1,IF(ABS(D462)&gt;5000,4,IF(C462="FEE_VARIANCE_BREACH",120,IF(LEFT(C462,8)="ORPHANED",48,24))))</f>
        <v>120</v>
      </c>
      <c r="K462" s="3" t="str">
        <f aca="false">IF(H462="","",IF(H462&gt;J462,"BREACH","OK"))</f>
        <v>OK</v>
      </c>
    </row>
    <row r="463" customFormat="false" ht="15" hidden="false" customHeight="false" outlineLevel="0" collapsed="false">
      <c r="A463" s="3" t="s">
        <v>1422</v>
      </c>
      <c r="B463" s="3" t="s">
        <v>1423</v>
      </c>
      <c r="C463" s="3" t="s">
        <v>531</v>
      </c>
      <c r="D463" s="7" t="n">
        <v>0</v>
      </c>
      <c r="E463" s="3" t="s">
        <v>512</v>
      </c>
      <c r="F463" s="8" t="n">
        <v>45649</v>
      </c>
      <c r="G463" s="9" t="n">
        <v>45649.4364249467</v>
      </c>
      <c r="H463" s="3" t="n">
        <v>0.47</v>
      </c>
      <c r="I463" s="3" t="str">
        <f aca="false">IF(G463="","OPEN","RESOLVED")</f>
        <v>RESOLVED</v>
      </c>
      <c r="J463" s="3" t="n">
        <f aca="false">IF(C463="TIMING_MISMATCH_TIMEZONE",1,IF(ABS(D463)&gt;5000,4,IF(C463="FEE_VARIANCE_BREACH",120,IF(LEFT(C463,8)="ORPHANED",48,24))))</f>
        <v>1</v>
      </c>
      <c r="K463" s="3" t="str">
        <f aca="false">IF(H463="","",IF(H463&gt;J463,"BREACH","OK"))</f>
        <v>OK</v>
      </c>
    </row>
    <row r="464" customFormat="false" ht="15" hidden="false" customHeight="false" outlineLevel="0" collapsed="false">
      <c r="A464" s="3" t="s">
        <v>1424</v>
      </c>
      <c r="B464" s="3" t="s">
        <v>1425</v>
      </c>
      <c r="C464" s="3" t="s">
        <v>511</v>
      </c>
      <c r="D464" s="7" t="n">
        <v>180.73</v>
      </c>
      <c r="E464" s="3" t="s">
        <v>512</v>
      </c>
      <c r="F464" s="8" t="n">
        <v>45649</v>
      </c>
      <c r="G464" s="9" t="n">
        <v>45650.638540211</v>
      </c>
      <c r="H464" s="3" t="n">
        <v>29.32</v>
      </c>
      <c r="I464" s="3" t="str">
        <f aca="false">IF(G464="","OPEN","RESOLVED")</f>
        <v>RESOLVED</v>
      </c>
      <c r="J464" s="3" t="n">
        <f aca="false">IF(C464="TIMING_MISMATCH_TIMEZONE",1,IF(ABS(D464)&gt;5000,4,IF(C464="FEE_VARIANCE_BREACH",120,IF(LEFT(C464,8)="ORPHANED",48,24))))</f>
        <v>48</v>
      </c>
      <c r="K464" s="3" t="str">
        <f aca="false">IF(H464="","",IF(H464&gt;J464,"BREACH","OK"))</f>
        <v>OK</v>
      </c>
    </row>
    <row r="465" customFormat="false" ht="15" hidden="false" customHeight="false" outlineLevel="0" collapsed="false">
      <c r="A465" s="3" t="s">
        <v>1426</v>
      </c>
      <c r="B465" s="3" t="s">
        <v>1427</v>
      </c>
      <c r="C465" s="3" t="s">
        <v>531</v>
      </c>
      <c r="D465" s="7" t="n">
        <v>0</v>
      </c>
      <c r="E465" s="3" t="s">
        <v>512</v>
      </c>
      <c r="F465" s="8" t="n">
        <v>45649</v>
      </c>
      <c r="G465" s="9" t="n">
        <v>45649.4211874105</v>
      </c>
      <c r="H465" s="3" t="n">
        <v>0.11</v>
      </c>
      <c r="I465" s="3" t="str">
        <f aca="false">IF(G465="","OPEN","RESOLVED")</f>
        <v>RESOLVED</v>
      </c>
      <c r="J465" s="3" t="n">
        <f aca="false">IF(C465="TIMING_MISMATCH_TIMEZONE",1,IF(ABS(D465)&gt;5000,4,IF(C465="FEE_VARIANCE_BREACH",120,IF(LEFT(C465,8)="ORPHANED",48,24))))</f>
        <v>1</v>
      </c>
      <c r="K465" s="3" t="str">
        <f aca="false">IF(H465="","",IF(H465&gt;J465,"BREACH","OK"))</f>
        <v>OK</v>
      </c>
    </row>
    <row r="466" customFormat="false" ht="15" hidden="false" customHeight="false" outlineLevel="0" collapsed="false">
      <c r="A466" s="3" t="s">
        <v>1428</v>
      </c>
      <c r="B466" s="3" t="s">
        <v>1429</v>
      </c>
      <c r="C466" s="3" t="s">
        <v>497</v>
      </c>
      <c r="D466" s="7" t="n">
        <v>-0.83</v>
      </c>
      <c r="E466" s="3" t="s">
        <v>498</v>
      </c>
      <c r="F466" s="8" t="n">
        <v>45649</v>
      </c>
      <c r="G466" s="9" t="n">
        <v>45651.8006169159</v>
      </c>
      <c r="H466" s="3" t="n">
        <v>57.21</v>
      </c>
      <c r="I466" s="3" t="str">
        <f aca="false">IF(G466="","OPEN","RESOLVED")</f>
        <v>RESOLVED</v>
      </c>
      <c r="J466" s="3" t="n">
        <f aca="false">IF(C466="TIMING_MISMATCH_TIMEZONE",1,IF(ABS(D466)&gt;5000,4,IF(C466="FEE_VARIANCE_BREACH",120,IF(LEFT(C466,8)="ORPHANED",48,24))))</f>
        <v>120</v>
      </c>
      <c r="K466" s="3" t="str">
        <f aca="false">IF(H466="","",IF(H466&gt;J466,"BREACH","OK"))</f>
        <v>OK</v>
      </c>
    </row>
    <row r="467" customFormat="false" ht="15" hidden="false" customHeight="false" outlineLevel="0" collapsed="false">
      <c r="A467" s="3" t="s">
        <v>1430</v>
      </c>
      <c r="B467" s="3" t="s">
        <v>1431</v>
      </c>
      <c r="C467" s="3" t="s">
        <v>531</v>
      </c>
      <c r="D467" s="7" t="n">
        <v>0</v>
      </c>
      <c r="E467" s="3" t="s">
        <v>512</v>
      </c>
      <c r="F467" s="8" t="n">
        <v>45649</v>
      </c>
      <c r="G467" s="9" t="n">
        <v>45649.4275214441</v>
      </c>
      <c r="H467" s="3" t="n">
        <v>0.26</v>
      </c>
      <c r="I467" s="3" t="str">
        <f aca="false">IF(G467="","OPEN","RESOLVED")</f>
        <v>RESOLVED</v>
      </c>
      <c r="J467" s="3" t="n">
        <f aca="false">IF(C467="TIMING_MISMATCH_TIMEZONE",1,IF(ABS(D467)&gt;5000,4,IF(C467="FEE_VARIANCE_BREACH",120,IF(LEFT(C467,8)="ORPHANED",48,24))))</f>
        <v>1</v>
      </c>
      <c r="K467" s="3" t="str">
        <f aca="false">IF(H467="","",IF(H467&gt;J467,"BREACH","OK"))</f>
        <v>OK</v>
      </c>
    </row>
    <row r="468" customFormat="false" ht="15" hidden="false" customHeight="false" outlineLevel="0" collapsed="false">
      <c r="A468" s="3" t="s">
        <v>1432</v>
      </c>
      <c r="B468" s="3" t="s">
        <v>1433</v>
      </c>
      <c r="C468" s="3" t="s">
        <v>531</v>
      </c>
      <c r="D468" s="7" t="n">
        <v>0</v>
      </c>
      <c r="E468" s="3" t="s">
        <v>512</v>
      </c>
      <c r="F468" s="8" t="n">
        <v>45649</v>
      </c>
      <c r="G468" s="9" t="n">
        <v>45649.4249796386</v>
      </c>
      <c r="H468" s="3" t="n">
        <v>0.2</v>
      </c>
      <c r="I468" s="3" t="str">
        <f aca="false">IF(G468="","OPEN","RESOLVED")</f>
        <v>RESOLVED</v>
      </c>
      <c r="J468" s="3" t="n">
        <f aca="false">IF(C468="TIMING_MISMATCH_TIMEZONE",1,IF(ABS(D468)&gt;5000,4,IF(C468="FEE_VARIANCE_BREACH",120,IF(LEFT(C468,8)="ORPHANED",48,24))))</f>
        <v>1</v>
      </c>
      <c r="K468" s="3" t="str">
        <f aca="false">IF(H468="","",IF(H468&gt;J468,"BREACH","OK"))</f>
        <v>OK</v>
      </c>
    </row>
    <row r="469" customFormat="false" ht="15" hidden="false" customHeight="false" outlineLevel="0" collapsed="false">
      <c r="A469" s="3" t="s">
        <v>1434</v>
      </c>
      <c r="B469" s="3" t="s">
        <v>1435</v>
      </c>
      <c r="C469" s="3" t="s">
        <v>531</v>
      </c>
      <c r="D469" s="7" t="n">
        <v>0</v>
      </c>
      <c r="E469" s="3" t="s">
        <v>512</v>
      </c>
      <c r="F469" s="8" t="n">
        <v>45649</v>
      </c>
      <c r="G469" s="9" t="n">
        <v>45649.4234406582</v>
      </c>
      <c r="H469" s="3" t="n">
        <v>0.16</v>
      </c>
      <c r="I469" s="3" t="str">
        <f aca="false">IF(G469="","OPEN","RESOLVED")</f>
        <v>RESOLVED</v>
      </c>
      <c r="J469" s="3" t="n">
        <f aca="false">IF(C469="TIMING_MISMATCH_TIMEZONE",1,IF(ABS(D469)&gt;5000,4,IF(C469="FEE_VARIANCE_BREACH",120,IF(LEFT(C469,8)="ORPHANED",48,24))))</f>
        <v>1</v>
      </c>
      <c r="K469" s="3" t="str">
        <f aca="false">IF(H469="","",IF(H469&gt;J469,"BREACH","OK"))</f>
        <v>OK</v>
      </c>
    </row>
    <row r="470" customFormat="false" ht="15" hidden="false" customHeight="false" outlineLevel="0" collapsed="false">
      <c r="A470" s="3" t="s">
        <v>1436</v>
      </c>
      <c r="B470" s="3" t="s">
        <v>1437</v>
      </c>
      <c r="C470" s="3" t="s">
        <v>511</v>
      </c>
      <c r="D470" s="7" t="n">
        <v>1297.96</v>
      </c>
      <c r="E470" s="3" t="s">
        <v>512</v>
      </c>
      <c r="F470" s="8" t="n">
        <v>45649</v>
      </c>
      <c r="G470" s="9" t="n">
        <v>45650.7152321281</v>
      </c>
      <c r="H470" s="3" t="n">
        <v>31.17</v>
      </c>
      <c r="I470" s="3" t="str">
        <f aca="false">IF(G470="","OPEN","RESOLVED")</f>
        <v>RESOLVED</v>
      </c>
      <c r="J470" s="3" t="n">
        <f aca="false">IF(C470="TIMING_MISMATCH_TIMEZONE",1,IF(ABS(D470)&gt;5000,4,IF(C470="FEE_VARIANCE_BREACH",120,IF(LEFT(C470,8)="ORPHANED",48,24))))</f>
        <v>48</v>
      </c>
      <c r="K470" s="3" t="str">
        <f aca="false">IF(H470="","",IF(H470&gt;J470,"BREACH","OK"))</f>
        <v>OK</v>
      </c>
    </row>
    <row r="471" customFormat="false" ht="15" hidden="false" customHeight="false" outlineLevel="0" collapsed="false">
      <c r="A471" s="3" t="s">
        <v>1438</v>
      </c>
      <c r="B471" s="3" t="s">
        <v>1439</v>
      </c>
      <c r="C471" s="3" t="s">
        <v>511</v>
      </c>
      <c r="D471" s="7" t="n">
        <v>1737.24</v>
      </c>
      <c r="E471" s="3" t="s">
        <v>512</v>
      </c>
      <c r="F471" s="8" t="n">
        <v>45649</v>
      </c>
      <c r="G471" s="9" t="n">
        <v>45651.8916119033</v>
      </c>
      <c r="H471" s="3" t="n">
        <v>59.4</v>
      </c>
      <c r="I471" s="3" t="str">
        <f aca="false">IF(G471="","OPEN","RESOLVED")</f>
        <v>RESOLVED</v>
      </c>
      <c r="J471" s="3" t="n">
        <f aca="false">IF(C471="TIMING_MISMATCH_TIMEZONE",1,IF(ABS(D471)&gt;5000,4,IF(C471="FEE_VARIANCE_BREACH",120,IF(LEFT(C471,8)="ORPHANED",48,24))))</f>
        <v>48</v>
      </c>
      <c r="K471" s="3" t="str">
        <f aca="false">IF(H471="","",IF(H471&gt;J471,"BREACH","OK"))</f>
        <v>BREACH</v>
      </c>
    </row>
    <row r="472" customFormat="false" ht="15" hidden="false" customHeight="false" outlineLevel="0" collapsed="false">
      <c r="A472" s="3" t="s">
        <v>1440</v>
      </c>
      <c r="B472" s="3" t="s">
        <v>1441</v>
      </c>
      <c r="C472" s="3" t="s">
        <v>531</v>
      </c>
      <c r="D472" s="7" t="n">
        <v>0</v>
      </c>
      <c r="E472" s="3" t="s">
        <v>512</v>
      </c>
      <c r="F472" s="8" t="n">
        <v>45649</v>
      </c>
      <c r="G472" s="9" t="n">
        <v>45649.4224295755</v>
      </c>
      <c r="H472" s="3" t="n">
        <v>0.14</v>
      </c>
      <c r="I472" s="3" t="str">
        <f aca="false">IF(G472="","OPEN","RESOLVED")</f>
        <v>RESOLVED</v>
      </c>
      <c r="J472" s="3" t="n">
        <f aca="false">IF(C472="TIMING_MISMATCH_TIMEZONE",1,IF(ABS(D472)&gt;5000,4,IF(C472="FEE_VARIANCE_BREACH",120,IF(LEFT(C472,8)="ORPHANED",48,24))))</f>
        <v>1</v>
      </c>
      <c r="K472" s="3" t="str">
        <f aca="false">IF(H472="","",IF(H472&gt;J472,"BREACH","OK"))</f>
        <v>OK</v>
      </c>
    </row>
    <row r="473" customFormat="false" ht="15" hidden="false" customHeight="false" outlineLevel="0" collapsed="false">
      <c r="A473" s="3" t="s">
        <v>1442</v>
      </c>
      <c r="B473" s="3" t="s">
        <v>1443</v>
      </c>
      <c r="C473" s="3" t="s">
        <v>517</v>
      </c>
      <c r="D473" s="7" t="n">
        <v>-3</v>
      </c>
      <c r="E473" s="3" t="s">
        <v>518</v>
      </c>
      <c r="F473" s="8" t="n">
        <v>45649</v>
      </c>
      <c r="G473" s="9" t="n">
        <v>45650.7365125763</v>
      </c>
      <c r="H473" s="3" t="n">
        <v>31.68</v>
      </c>
      <c r="I473" s="3" t="str">
        <f aca="false">IF(G473="","OPEN","RESOLVED")</f>
        <v>RESOLVED</v>
      </c>
      <c r="J473" s="3" t="n">
        <f aca="false">IF(C473="TIMING_MISMATCH_TIMEZONE",1,IF(ABS(D473)&gt;5000,4,IF(C473="FEE_VARIANCE_BREACH",120,IF(LEFT(C473,8)="ORPHANED",48,24))))</f>
        <v>24</v>
      </c>
      <c r="K473" s="3" t="str">
        <f aca="false">IF(H473="","",IF(H473&gt;J473,"BREACH","OK"))</f>
        <v>BREACH</v>
      </c>
    </row>
    <row r="474" customFormat="false" ht="15" hidden="false" customHeight="false" outlineLevel="0" collapsed="false">
      <c r="A474" s="3" t="s">
        <v>1444</v>
      </c>
      <c r="B474" s="3" t="s">
        <v>1445</v>
      </c>
      <c r="C474" s="3" t="s">
        <v>497</v>
      </c>
      <c r="D474" s="7" t="n">
        <v>-6.74</v>
      </c>
      <c r="E474" s="3" t="s">
        <v>498</v>
      </c>
      <c r="F474" s="8" t="n">
        <v>45649</v>
      </c>
      <c r="G474" s="9" t="n">
        <v>45656.1915557464</v>
      </c>
      <c r="H474" s="3" t="n">
        <v>114.6</v>
      </c>
      <c r="I474" s="3" t="str">
        <f aca="false">IF(G474="","OPEN","RESOLVED")</f>
        <v>RESOLVED</v>
      </c>
      <c r="J474" s="3" t="n">
        <f aca="false">IF(C474="TIMING_MISMATCH_TIMEZONE",1,IF(ABS(D474)&gt;5000,4,IF(C474="FEE_VARIANCE_BREACH",120,IF(LEFT(C474,8)="ORPHANED",48,24))))</f>
        <v>120</v>
      </c>
      <c r="K474" s="3" t="str">
        <f aca="false">IF(H474="","",IF(H474&gt;J474,"BREACH","OK"))</f>
        <v>OK</v>
      </c>
    </row>
    <row r="475" customFormat="false" ht="15" hidden="false" customHeight="false" outlineLevel="0" collapsed="false">
      <c r="A475" s="3" t="s">
        <v>1446</v>
      </c>
      <c r="B475" s="3" t="s">
        <v>1447</v>
      </c>
      <c r="C475" s="3" t="s">
        <v>497</v>
      </c>
      <c r="D475" s="7" t="n">
        <v>-1.08</v>
      </c>
      <c r="E475" s="3" t="s">
        <v>498</v>
      </c>
      <c r="F475" s="8" t="n">
        <v>45649</v>
      </c>
      <c r="G475" s="9" t="n">
        <v>45652.6442787977</v>
      </c>
      <c r="H475" s="3" t="n">
        <v>77.46</v>
      </c>
      <c r="I475" s="3" t="str">
        <f aca="false">IF(G475="","OPEN","RESOLVED")</f>
        <v>RESOLVED</v>
      </c>
      <c r="J475" s="3" t="n">
        <f aca="false">IF(C475="TIMING_MISMATCH_TIMEZONE",1,IF(ABS(D475)&gt;5000,4,IF(C475="FEE_VARIANCE_BREACH",120,IF(LEFT(C475,8)="ORPHANED",48,24))))</f>
        <v>120</v>
      </c>
      <c r="K475" s="3" t="str">
        <f aca="false">IF(H475="","",IF(H475&gt;J475,"BREACH","OK"))</f>
        <v>OK</v>
      </c>
    </row>
    <row r="476" customFormat="false" ht="15" hidden="false" customHeight="false" outlineLevel="0" collapsed="false">
      <c r="A476" s="3" t="s">
        <v>1448</v>
      </c>
      <c r="B476" s="3" t="s">
        <v>1449</v>
      </c>
      <c r="C476" s="3" t="s">
        <v>531</v>
      </c>
      <c r="D476" s="7" t="n">
        <v>0</v>
      </c>
      <c r="E476" s="3" t="s">
        <v>512</v>
      </c>
      <c r="F476" s="8" t="n">
        <v>45649</v>
      </c>
      <c r="G476" s="9" t="n">
        <v>45649.4207197676</v>
      </c>
      <c r="H476" s="3" t="n">
        <v>0.1</v>
      </c>
      <c r="I476" s="3" t="str">
        <f aca="false">IF(G476="","OPEN","RESOLVED")</f>
        <v>RESOLVED</v>
      </c>
      <c r="J476" s="3" t="n">
        <f aca="false">IF(C476="TIMING_MISMATCH_TIMEZONE",1,IF(ABS(D476)&gt;5000,4,IF(C476="FEE_VARIANCE_BREACH",120,IF(LEFT(C476,8)="ORPHANED",48,24))))</f>
        <v>1</v>
      </c>
      <c r="K476" s="3" t="str">
        <f aca="false">IF(H476="","",IF(H476&gt;J476,"BREACH","OK"))</f>
        <v>OK</v>
      </c>
    </row>
    <row r="477" customFormat="false" ht="15" hidden="false" customHeight="false" outlineLevel="0" collapsed="false">
      <c r="A477" s="3" t="s">
        <v>1450</v>
      </c>
      <c r="B477" s="3" t="s">
        <v>1451</v>
      </c>
      <c r="C477" s="3" t="s">
        <v>503</v>
      </c>
      <c r="D477" s="7" t="n">
        <v>-120.02</v>
      </c>
      <c r="E477" s="3" t="s">
        <v>504</v>
      </c>
      <c r="F477" s="8" t="n">
        <v>45649</v>
      </c>
      <c r="G477" s="9" t="n">
        <v>45650.2925843403</v>
      </c>
      <c r="H477" s="3" t="n">
        <v>21.02</v>
      </c>
      <c r="I477" s="3" t="str">
        <f aca="false">IF(G477="","OPEN","RESOLVED")</f>
        <v>RESOLVED</v>
      </c>
      <c r="J477" s="3" t="n">
        <f aca="false">IF(C477="TIMING_MISMATCH_TIMEZONE",1,IF(ABS(D477)&gt;5000,4,IF(C477="FEE_VARIANCE_BREACH",120,IF(LEFT(C477,8)="ORPHANED",48,24))))</f>
        <v>48</v>
      </c>
      <c r="K477" s="3" t="str">
        <f aca="false">IF(H477="","",IF(H477&gt;J477,"BREACH","OK"))</f>
        <v>OK</v>
      </c>
    </row>
    <row r="478" customFormat="false" ht="15" hidden="false" customHeight="false" outlineLevel="0" collapsed="false">
      <c r="A478" s="3" t="s">
        <v>1452</v>
      </c>
      <c r="B478" s="3" t="s">
        <v>1453</v>
      </c>
      <c r="C478" s="3" t="s">
        <v>531</v>
      </c>
      <c r="D478" s="7" t="n">
        <v>0</v>
      </c>
      <c r="E478" s="3" t="s">
        <v>512</v>
      </c>
      <c r="F478" s="8" t="n">
        <v>45649</v>
      </c>
      <c r="G478" s="9" t="n">
        <v>45649.4271316007</v>
      </c>
      <c r="H478" s="3" t="n">
        <v>0.25</v>
      </c>
      <c r="I478" s="3" t="str">
        <f aca="false">IF(G478="","OPEN","RESOLVED")</f>
        <v>RESOLVED</v>
      </c>
      <c r="J478" s="3" t="n">
        <f aca="false">IF(C478="TIMING_MISMATCH_TIMEZONE",1,IF(ABS(D478)&gt;5000,4,IF(C478="FEE_VARIANCE_BREACH",120,IF(LEFT(C478,8)="ORPHANED",48,24))))</f>
        <v>1</v>
      </c>
      <c r="K478" s="3" t="str">
        <f aca="false">IF(H478="","",IF(H478&gt;J478,"BREACH","OK"))</f>
        <v>OK</v>
      </c>
    </row>
    <row r="479" customFormat="false" ht="15" hidden="false" customHeight="false" outlineLevel="0" collapsed="false">
      <c r="A479" s="3" t="s">
        <v>1454</v>
      </c>
      <c r="B479" s="3" t="s">
        <v>1455</v>
      </c>
      <c r="C479" s="3" t="s">
        <v>497</v>
      </c>
      <c r="D479" s="7" t="n">
        <v>-2.77</v>
      </c>
      <c r="E479" s="3" t="s">
        <v>498</v>
      </c>
      <c r="F479" s="8" t="n">
        <v>45649</v>
      </c>
      <c r="G479" s="9" t="n">
        <v>45653.8208177852</v>
      </c>
      <c r="H479" s="3" t="n">
        <v>105.7</v>
      </c>
      <c r="I479" s="3" t="str">
        <f aca="false">IF(G479="","OPEN","RESOLVED")</f>
        <v>RESOLVED</v>
      </c>
      <c r="J479" s="3" t="n">
        <f aca="false">IF(C479="TIMING_MISMATCH_TIMEZONE",1,IF(ABS(D479)&gt;5000,4,IF(C479="FEE_VARIANCE_BREACH",120,IF(LEFT(C479,8)="ORPHANED",48,24))))</f>
        <v>120</v>
      </c>
      <c r="K479" s="3" t="str">
        <f aca="false">IF(H479="","",IF(H479&gt;J479,"BREACH","OK"))</f>
        <v>OK</v>
      </c>
    </row>
    <row r="480" customFormat="false" ht="15" hidden="false" customHeight="false" outlineLevel="0" collapsed="false">
      <c r="A480" s="3" t="s">
        <v>1456</v>
      </c>
      <c r="B480" s="3" t="s">
        <v>1457</v>
      </c>
      <c r="C480" s="3" t="s">
        <v>497</v>
      </c>
      <c r="D480" s="7" t="n">
        <v>-1.51</v>
      </c>
      <c r="E480" s="3" t="s">
        <v>498</v>
      </c>
      <c r="F480" s="8" t="n">
        <v>45649</v>
      </c>
      <c r="G480" s="9" t="n">
        <v>45652.0332826551</v>
      </c>
      <c r="H480" s="3" t="n">
        <v>62.8</v>
      </c>
      <c r="I480" s="3" t="str">
        <f aca="false">IF(G480="","OPEN","RESOLVED")</f>
        <v>RESOLVED</v>
      </c>
      <c r="J480" s="3" t="n">
        <f aca="false">IF(C480="TIMING_MISMATCH_TIMEZONE",1,IF(ABS(D480)&gt;5000,4,IF(C480="FEE_VARIANCE_BREACH",120,IF(LEFT(C480,8)="ORPHANED",48,24))))</f>
        <v>120</v>
      </c>
      <c r="K480" s="3" t="str">
        <f aca="false">IF(H480="","",IF(H480&gt;J480,"BREACH","OK"))</f>
        <v>OK</v>
      </c>
    </row>
    <row r="481" customFormat="false" ht="15" hidden="false" customHeight="false" outlineLevel="0" collapsed="false">
      <c r="A481" s="3" t="s">
        <v>1458</v>
      </c>
      <c r="B481" s="3" t="s">
        <v>1459</v>
      </c>
      <c r="C481" s="3" t="s">
        <v>531</v>
      </c>
      <c r="D481" s="7" t="n">
        <v>0</v>
      </c>
      <c r="E481" s="3" t="s">
        <v>512</v>
      </c>
      <c r="F481" s="8" t="n">
        <v>45649</v>
      </c>
      <c r="G481" s="9" t="n">
        <v>45649.4230458641</v>
      </c>
      <c r="H481" s="3" t="n">
        <v>0.15</v>
      </c>
      <c r="I481" s="3" t="str">
        <f aca="false">IF(G481="","OPEN","RESOLVED")</f>
        <v>RESOLVED</v>
      </c>
      <c r="J481" s="3" t="n">
        <f aca="false">IF(C481="TIMING_MISMATCH_TIMEZONE",1,IF(ABS(D481)&gt;5000,4,IF(C481="FEE_VARIANCE_BREACH",120,IF(LEFT(C481,8)="ORPHANED",48,24))))</f>
        <v>1</v>
      </c>
      <c r="K481" s="3" t="str">
        <f aca="false">IF(H481="","",IF(H481&gt;J481,"BREACH","OK"))</f>
        <v>OK</v>
      </c>
    </row>
    <row r="482" customFormat="false" ht="15" hidden="false" customHeight="false" outlineLevel="0" collapsed="false">
      <c r="A482" s="3" t="s">
        <v>1460</v>
      </c>
      <c r="B482" s="3" t="s">
        <v>1461</v>
      </c>
      <c r="C482" s="3" t="s">
        <v>517</v>
      </c>
      <c r="D482" s="7" t="n">
        <v>-45</v>
      </c>
      <c r="E482" s="3" t="s">
        <v>518</v>
      </c>
      <c r="F482" s="8" t="n">
        <v>45649</v>
      </c>
      <c r="G482" s="9" t="n">
        <v>45650.4682991702</v>
      </c>
      <c r="H482" s="3" t="n">
        <v>25.24</v>
      </c>
      <c r="I482" s="3" t="str">
        <f aca="false">IF(G482="","OPEN","RESOLVED")</f>
        <v>RESOLVED</v>
      </c>
      <c r="J482" s="3" t="n">
        <f aca="false">IF(C482="TIMING_MISMATCH_TIMEZONE",1,IF(ABS(D482)&gt;5000,4,IF(C482="FEE_VARIANCE_BREACH",120,IF(LEFT(C482,8)="ORPHANED",48,24))))</f>
        <v>24</v>
      </c>
      <c r="K482" s="3" t="str">
        <f aca="false">IF(H482="","",IF(H482&gt;J482,"BREACH","OK"))</f>
        <v>BREACH</v>
      </c>
    </row>
    <row r="483" customFormat="false" ht="15" hidden="false" customHeight="false" outlineLevel="0" collapsed="false">
      <c r="A483" s="3" t="s">
        <v>1462</v>
      </c>
      <c r="B483" s="3" t="s">
        <v>1463</v>
      </c>
      <c r="C483" s="3" t="s">
        <v>531</v>
      </c>
      <c r="D483" s="7" t="n">
        <v>0</v>
      </c>
      <c r="E483" s="3" t="s">
        <v>512</v>
      </c>
      <c r="F483" s="8" t="n">
        <v>45649</v>
      </c>
      <c r="G483" s="9" t="n">
        <v>45649.4302768849</v>
      </c>
      <c r="H483" s="3" t="n">
        <v>0.33</v>
      </c>
      <c r="I483" s="3" t="str">
        <f aca="false">IF(G483="","OPEN","RESOLVED")</f>
        <v>RESOLVED</v>
      </c>
      <c r="J483" s="3" t="n">
        <f aca="false">IF(C483="TIMING_MISMATCH_TIMEZONE",1,IF(ABS(D483)&gt;5000,4,IF(C483="FEE_VARIANCE_BREACH",120,IF(LEFT(C483,8)="ORPHANED",48,24))))</f>
        <v>1</v>
      </c>
      <c r="K483" s="3" t="str">
        <f aca="false">IF(H483="","",IF(H483&gt;J483,"BREACH","OK"))</f>
        <v>OK</v>
      </c>
    </row>
    <row r="484" customFormat="false" ht="15" hidden="false" customHeight="false" outlineLevel="0" collapsed="false">
      <c r="A484" s="3" t="s">
        <v>1464</v>
      </c>
      <c r="B484" s="3" t="s">
        <v>1465</v>
      </c>
      <c r="C484" s="3" t="s">
        <v>511</v>
      </c>
      <c r="D484" s="7" t="n">
        <v>379.56</v>
      </c>
      <c r="E484" s="3" t="s">
        <v>512</v>
      </c>
      <c r="F484" s="8" t="n">
        <v>45649</v>
      </c>
      <c r="G484" s="9" t="n">
        <v>45651.1302657512</v>
      </c>
      <c r="H484" s="3" t="n">
        <v>41.13</v>
      </c>
      <c r="I484" s="3" t="str">
        <f aca="false">IF(G484="","OPEN","RESOLVED")</f>
        <v>RESOLVED</v>
      </c>
      <c r="J484" s="3" t="n">
        <f aca="false">IF(C484="TIMING_MISMATCH_TIMEZONE",1,IF(ABS(D484)&gt;5000,4,IF(C484="FEE_VARIANCE_BREACH",120,IF(LEFT(C484,8)="ORPHANED",48,24))))</f>
        <v>48</v>
      </c>
      <c r="K484" s="3" t="str">
        <f aca="false">IF(H484="","",IF(H484&gt;J484,"BREACH","OK"))</f>
        <v>OK</v>
      </c>
    </row>
    <row r="485" customFormat="false" ht="15" hidden="false" customHeight="false" outlineLevel="0" collapsed="false">
      <c r="A485" s="3" t="s">
        <v>1466</v>
      </c>
      <c r="B485" s="3" t="s">
        <v>1467</v>
      </c>
      <c r="C485" s="3" t="s">
        <v>531</v>
      </c>
      <c r="D485" s="7" t="n">
        <v>0</v>
      </c>
      <c r="E485" s="3" t="s">
        <v>512</v>
      </c>
      <c r="F485" s="8" t="n">
        <v>45650</v>
      </c>
      <c r="G485" s="9" t="n">
        <v>45650.4229334273</v>
      </c>
      <c r="H485" s="3" t="n">
        <v>0.15</v>
      </c>
      <c r="I485" s="3" t="str">
        <f aca="false">IF(G485="","OPEN","RESOLVED")</f>
        <v>RESOLVED</v>
      </c>
      <c r="J485" s="3" t="n">
        <f aca="false">IF(C485="TIMING_MISMATCH_TIMEZONE",1,IF(ABS(D485)&gt;5000,4,IF(C485="FEE_VARIANCE_BREACH",120,IF(LEFT(C485,8)="ORPHANED",48,24))))</f>
        <v>1</v>
      </c>
      <c r="K485" s="3" t="str">
        <f aca="false">IF(H485="","",IF(H485&gt;J485,"BREACH","OK"))</f>
        <v>OK</v>
      </c>
    </row>
    <row r="486" customFormat="false" ht="15" hidden="false" customHeight="false" outlineLevel="0" collapsed="false">
      <c r="A486" s="3" t="s">
        <v>1468</v>
      </c>
      <c r="B486" s="3" t="s">
        <v>1469</v>
      </c>
      <c r="C486" s="3" t="s">
        <v>531</v>
      </c>
      <c r="D486" s="7" t="n">
        <v>0</v>
      </c>
      <c r="E486" s="3" t="s">
        <v>512</v>
      </c>
      <c r="F486" s="8" t="n">
        <v>45650</v>
      </c>
      <c r="G486" s="9" t="n">
        <v>45650.4218111281</v>
      </c>
      <c r="H486" s="3" t="n">
        <v>0.12</v>
      </c>
      <c r="I486" s="3" t="str">
        <f aca="false">IF(G486="","OPEN","RESOLVED")</f>
        <v>RESOLVED</v>
      </c>
      <c r="J486" s="3" t="n">
        <f aca="false">IF(C486="TIMING_MISMATCH_TIMEZONE",1,IF(ABS(D486)&gt;5000,4,IF(C486="FEE_VARIANCE_BREACH",120,IF(LEFT(C486,8)="ORPHANED",48,24))))</f>
        <v>1</v>
      </c>
      <c r="K486" s="3" t="str">
        <f aca="false">IF(H486="","",IF(H486&gt;J486,"BREACH","OK"))</f>
        <v>OK</v>
      </c>
    </row>
    <row r="487" customFormat="false" ht="15" hidden="false" customHeight="false" outlineLevel="0" collapsed="false">
      <c r="A487" s="3" t="s">
        <v>1470</v>
      </c>
      <c r="B487" s="3" t="s">
        <v>1471</v>
      </c>
      <c r="C487" s="3" t="s">
        <v>531</v>
      </c>
      <c r="D487" s="7" t="n">
        <v>0</v>
      </c>
      <c r="E487" s="3" t="s">
        <v>512</v>
      </c>
      <c r="F487" s="8" t="n">
        <v>45650</v>
      </c>
      <c r="G487" s="9" t="n">
        <v>45650.4372166066</v>
      </c>
      <c r="H487" s="3" t="n">
        <v>0.49</v>
      </c>
      <c r="I487" s="3" t="str">
        <f aca="false">IF(G487="","OPEN","RESOLVED")</f>
        <v>RESOLVED</v>
      </c>
      <c r="J487" s="3" t="n">
        <f aca="false">IF(C487="TIMING_MISMATCH_TIMEZONE",1,IF(ABS(D487)&gt;5000,4,IF(C487="FEE_VARIANCE_BREACH",120,IF(LEFT(C487,8)="ORPHANED",48,24))))</f>
        <v>1</v>
      </c>
      <c r="K487" s="3" t="str">
        <f aca="false">IF(H487="","",IF(H487&gt;J487,"BREACH","OK"))</f>
        <v>OK</v>
      </c>
    </row>
    <row r="488" customFormat="false" ht="15" hidden="false" customHeight="false" outlineLevel="0" collapsed="false">
      <c r="A488" s="3" t="s">
        <v>1472</v>
      </c>
      <c r="B488" s="3" t="s">
        <v>1473</v>
      </c>
      <c r="C488" s="3" t="s">
        <v>531</v>
      </c>
      <c r="D488" s="7" t="n">
        <v>0</v>
      </c>
      <c r="E488" s="3" t="s">
        <v>512</v>
      </c>
      <c r="F488" s="8" t="n">
        <v>45650</v>
      </c>
      <c r="G488" s="9" t="n">
        <v>45650.41875</v>
      </c>
      <c r="H488" s="3" t="n">
        <v>0.05</v>
      </c>
      <c r="I488" s="3" t="str">
        <f aca="false">IF(G488="","OPEN","RESOLVED")</f>
        <v>RESOLVED</v>
      </c>
      <c r="J488" s="3" t="n">
        <f aca="false">IF(C488="TIMING_MISMATCH_TIMEZONE",1,IF(ABS(D488)&gt;5000,4,IF(C488="FEE_VARIANCE_BREACH",120,IF(LEFT(C488,8)="ORPHANED",48,24))))</f>
        <v>1</v>
      </c>
      <c r="K488" s="3" t="str">
        <f aca="false">IF(H488="","",IF(H488&gt;J488,"BREACH","OK"))</f>
        <v>OK</v>
      </c>
    </row>
    <row r="489" customFormat="false" ht="15" hidden="false" customHeight="false" outlineLevel="0" collapsed="false">
      <c r="A489" s="3" t="s">
        <v>1474</v>
      </c>
      <c r="B489" s="3" t="s">
        <v>1475</v>
      </c>
      <c r="C489" s="3" t="s">
        <v>531</v>
      </c>
      <c r="D489" s="7" t="n">
        <v>0</v>
      </c>
      <c r="E489" s="3" t="s">
        <v>512</v>
      </c>
      <c r="F489" s="8" t="n">
        <v>45650</v>
      </c>
      <c r="G489" s="9" t="n">
        <v>45650.4232248742</v>
      </c>
      <c r="H489" s="3" t="n">
        <v>0.16</v>
      </c>
      <c r="I489" s="3" t="str">
        <f aca="false">IF(G489="","OPEN","RESOLVED")</f>
        <v>RESOLVED</v>
      </c>
      <c r="J489" s="3" t="n">
        <f aca="false">IF(C489="TIMING_MISMATCH_TIMEZONE",1,IF(ABS(D489)&gt;5000,4,IF(C489="FEE_VARIANCE_BREACH",120,IF(LEFT(C489,8)="ORPHANED",48,24))))</f>
        <v>1</v>
      </c>
      <c r="K489" s="3" t="str">
        <f aca="false">IF(H489="","",IF(H489&gt;J489,"BREACH","OK"))</f>
        <v>OK</v>
      </c>
    </row>
    <row r="490" customFormat="false" ht="15" hidden="false" customHeight="false" outlineLevel="0" collapsed="false">
      <c r="A490" s="3" t="s">
        <v>1476</v>
      </c>
      <c r="B490" s="3" t="s">
        <v>1477</v>
      </c>
      <c r="C490" s="3" t="s">
        <v>531</v>
      </c>
      <c r="D490" s="7" t="n">
        <v>0</v>
      </c>
      <c r="E490" s="3" t="s">
        <v>512</v>
      </c>
      <c r="F490" s="8" t="n">
        <v>45650</v>
      </c>
      <c r="G490" s="9" t="n">
        <v>45650.4198440363</v>
      </c>
      <c r="H490" s="3" t="n">
        <v>0.08</v>
      </c>
      <c r="I490" s="3" t="str">
        <f aca="false">IF(G490="","OPEN","RESOLVED")</f>
        <v>RESOLVED</v>
      </c>
      <c r="J490" s="3" t="n">
        <f aca="false">IF(C490="TIMING_MISMATCH_TIMEZONE",1,IF(ABS(D490)&gt;5000,4,IF(C490="FEE_VARIANCE_BREACH",120,IF(LEFT(C490,8)="ORPHANED",48,24))))</f>
        <v>1</v>
      </c>
      <c r="K490" s="3" t="str">
        <f aca="false">IF(H490="","",IF(H490&gt;J490,"BREACH","OK"))</f>
        <v>OK</v>
      </c>
    </row>
    <row r="491" customFormat="false" ht="15" hidden="false" customHeight="false" outlineLevel="0" collapsed="false">
      <c r="A491" s="3" t="s">
        <v>1478</v>
      </c>
      <c r="B491" s="3" t="s">
        <v>1479</v>
      </c>
      <c r="C491" s="3" t="s">
        <v>497</v>
      </c>
      <c r="D491" s="7" t="n">
        <v>-1.13</v>
      </c>
      <c r="E491" s="3" t="s">
        <v>498</v>
      </c>
      <c r="F491" s="8" t="n">
        <v>45650</v>
      </c>
      <c r="G491" s="9" t="n">
        <v>45657.0228398915</v>
      </c>
      <c r="H491" s="3" t="n">
        <v>110.55</v>
      </c>
      <c r="I491" s="3" t="str">
        <f aca="false">IF(G491="","OPEN","RESOLVED")</f>
        <v>RESOLVED</v>
      </c>
      <c r="J491" s="3" t="n">
        <f aca="false">IF(C491="TIMING_MISMATCH_TIMEZONE",1,IF(ABS(D491)&gt;5000,4,IF(C491="FEE_VARIANCE_BREACH",120,IF(LEFT(C491,8)="ORPHANED",48,24))))</f>
        <v>120</v>
      </c>
      <c r="K491" s="3" t="str">
        <f aca="false">IF(H491="","",IF(H491&gt;J491,"BREACH","OK"))</f>
        <v>OK</v>
      </c>
    </row>
    <row r="492" customFormat="false" ht="15" hidden="false" customHeight="false" outlineLevel="0" collapsed="false">
      <c r="A492" s="3" t="s">
        <v>1480</v>
      </c>
      <c r="B492" s="3" t="s">
        <v>1481</v>
      </c>
      <c r="C492" s="3" t="s">
        <v>497</v>
      </c>
      <c r="D492" s="7" t="n">
        <v>-2.56</v>
      </c>
      <c r="E492" s="3" t="s">
        <v>498</v>
      </c>
      <c r="F492" s="8" t="n">
        <v>45650</v>
      </c>
      <c r="G492" s="9" t="n">
        <v>45657.4885799515</v>
      </c>
      <c r="H492" s="3" t="n">
        <v>121.73</v>
      </c>
      <c r="I492" s="3" t="str">
        <f aca="false">IF(G492="","OPEN","RESOLVED")</f>
        <v>RESOLVED</v>
      </c>
      <c r="J492" s="3" t="n">
        <f aca="false">IF(C492="TIMING_MISMATCH_TIMEZONE",1,IF(ABS(D492)&gt;5000,4,IF(C492="FEE_VARIANCE_BREACH",120,IF(LEFT(C492,8)="ORPHANED",48,24))))</f>
        <v>120</v>
      </c>
      <c r="K492" s="3" t="str">
        <f aca="false">IF(H492="","",IF(H492&gt;J492,"BREACH","OK"))</f>
        <v>BREACH</v>
      </c>
    </row>
    <row r="493" customFormat="false" ht="15" hidden="false" customHeight="false" outlineLevel="0" collapsed="false">
      <c r="A493" s="3" t="s">
        <v>1482</v>
      </c>
      <c r="B493" s="3" t="s">
        <v>1483</v>
      </c>
      <c r="C493" s="3" t="s">
        <v>531</v>
      </c>
      <c r="D493" s="7" t="n">
        <v>0</v>
      </c>
      <c r="E493" s="3" t="s">
        <v>512</v>
      </c>
      <c r="F493" s="8" t="n">
        <v>45650</v>
      </c>
      <c r="G493" s="9" t="n">
        <v>45650.4291561011</v>
      </c>
      <c r="H493" s="3" t="n">
        <v>0.3</v>
      </c>
      <c r="I493" s="3" t="str">
        <f aca="false">IF(G493="","OPEN","RESOLVED")</f>
        <v>RESOLVED</v>
      </c>
      <c r="J493" s="3" t="n">
        <f aca="false">IF(C493="TIMING_MISMATCH_TIMEZONE",1,IF(ABS(D493)&gt;5000,4,IF(C493="FEE_VARIANCE_BREACH",120,IF(LEFT(C493,8)="ORPHANED",48,24))))</f>
        <v>1</v>
      </c>
      <c r="K493" s="3" t="str">
        <f aca="false">IF(H493="","",IF(H493&gt;J493,"BREACH","OK"))</f>
        <v>OK</v>
      </c>
    </row>
    <row r="494" customFormat="false" ht="15" hidden="false" customHeight="false" outlineLevel="0" collapsed="false">
      <c r="A494" s="3" t="s">
        <v>1484</v>
      </c>
      <c r="B494" s="3" t="s">
        <v>1485</v>
      </c>
      <c r="C494" s="3" t="s">
        <v>531</v>
      </c>
      <c r="D494" s="7" t="n">
        <v>0</v>
      </c>
      <c r="E494" s="3" t="s">
        <v>512</v>
      </c>
      <c r="F494" s="8" t="n">
        <v>45650</v>
      </c>
      <c r="G494" s="9" t="n">
        <v>45650.4310170848</v>
      </c>
      <c r="H494" s="3" t="n">
        <v>0.34</v>
      </c>
      <c r="I494" s="3" t="str">
        <f aca="false">IF(G494="","OPEN","RESOLVED")</f>
        <v>RESOLVED</v>
      </c>
      <c r="J494" s="3" t="n">
        <f aca="false">IF(C494="TIMING_MISMATCH_TIMEZONE",1,IF(ABS(D494)&gt;5000,4,IF(C494="FEE_VARIANCE_BREACH",120,IF(LEFT(C494,8)="ORPHANED",48,24))))</f>
        <v>1</v>
      </c>
      <c r="K494" s="3" t="str">
        <f aca="false">IF(H494="","",IF(H494&gt;J494,"BREACH","OK"))</f>
        <v>OK</v>
      </c>
    </row>
    <row r="495" customFormat="false" ht="15" hidden="false" customHeight="false" outlineLevel="0" collapsed="false">
      <c r="A495" s="3" t="s">
        <v>1486</v>
      </c>
      <c r="B495" s="3" t="s">
        <v>1487</v>
      </c>
      <c r="C495" s="3" t="s">
        <v>531</v>
      </c>
      <c r="D495" s="7" t="n">
        <v>0</v>
      </c>
      <c r="E495" s="3" t="s">
        <v>512</v>
      </c>
      <c r="F495" s="8" t="n">
        <v>45650</v>
      </c>
      <c r="G495" s="9" t="n">
        <v>45650.4261909549</v>
      </c>
      <c r="H495" s="3" t="n">
        <v>0.23</v>
      </c>
      <c r="I495" s="3" t="str">
        <f aca="false">IF(G495="","OPEN","RESOLVED")</f>
        <v>RESOLVED</v>
      </c>
      <c r="J495" s="3" t="n">
        <f aca="false">IF(C495="TIMING_MISMATCH_TIMEZONE",1,IF(ABS(D495)&gt;5000,4,IF(C495="FEE_VARIANCE_BREACH",120,IF(LEFT(C495,8)="ORPHANED",48,24))))</f>
        <v>1</v>
      </c>
      <c r="K495" s="3" t="str">
        <f aca="false">IF(H495="","",IF(H495&gt;J495,"BREACH","OK"))</f>
        <v>OK</v>
      </c>
    </row>
    <row r="496" customFormat="false" ht="15" hidden="false" customHeight="false" outlineLevel="0" collapsed="false">
      <c r="A496" s="3" t="s">
        <v>1488</v>
      </c>
      <c r="B496" s="3" t="s">
        <v>1489</v>
      </c>
      <c r="C496" s="3" t="s">
        <v>531</v>
      </c>
      <c r="D496" s="7" t="n">
        <v>0</v>
      </c>
      <c r="E496" s="3" t="s">
        <v>512</v>
      </c>
      <c r="F496" s="8" t="n">
        <v>45650</v>
      </c>
      <c r="G496" s="9" t="n">
        <v>45650.4292915954</v>
      </c>
      <c r="H496" s="3" t="n">
        <v>0.3</v>
      </c>
      <c r="I496" s="3" t="str">
        <f aca="false">IF(G496="","OPEN","RESOLVED")</f>
        <v>RESOLVED</v>
      </c>
      <c r="J496" s="3" t="n">
        <f aca="false">IF(C496="TIMING_MISMATCH_TIMEZONE",1,IF(ABS(D496)&gt;5000,4,IF(C496="FEE_VARIANCE_BREACH",120,IF(LEFT(C496,8)="ORPHANED",48,24))))</f>
        <v>1</v>
      </c>
      <c r="K496" s="3" t="str">
        <f aca="false">IF(H496="","",IF(H496&gt;J496,"BREACH","OK"))</f>
        <v>OK</v>
      </c>
    </row>
    <row r="497" customFormat="false" ht="15" hidden="false" customHeight="false" outlineLevel="0" collapsed="false">
      <c r="A497" s="3" t="s">
        <v>1490</v>
      </c>
      <c r="B497" s="3" t="s">
        <v>1491</v>
      </c>
      <c r="C497" s="3" t="s">
        <v>497</v>
      </c>
      <c r="D497" s="7" t="n">
        <v>-2.55</v>
      </c>
      <c r="E497" s="3" t="s">
        <v>498</v>
      </c>
      <c r="F497" s="8" t="n">
        <v>45650</v>
      </c>
      <c r="G497" s="9" t="n">
        <v>45652.9159252398</v>
      </c>
      <c r="H497" s="3" t="n">
        <v>59.98</v>
      </c>
      <c r="I497" s="3" t="str">
        <f aca="false">IF(G497="","OPEN","RESOLVED")</f>
        <v>RESOLVED</v>
      </c>
      <c r="J497" s="3" t="n">
        <f aca="false">IF(C497="TIMING_MISMATCH_TIMEZONE",1,IF(ABS(D497)&gt;5000,4,IF(C497="FEE_VARIANCE_BREACH",120,IF(LEFT(C497,8)="ORPHANED",48,24))))</f>
        <v>120</v>
      </c>
      <c r="K497" s="3" t="str">
        <f aca="false">IF(H497="","",IF(H497&gt;J497,"BREACH","OK"))</f>
        <v>OK</v>
      </c>
    </row>
    <row r="498" customFormat="false" ht="15" hidden="false" customHeight="false" outlineLevel="0" collapsed="false">
      <c r="A498" s="3" t="s">
        <v>1492</v>
      </c>
      <c r="B498" s="3" t="s">
        <v>1493</v>
      </c>
      <c r="C498" s="3" t="s">
        <v>531</v>
      </c>
      <c r="D498" s="7" t="n">
        <v>0</v>
      </c>
      <c r="E498" s="3" t="s">
        <v>512</v>
      </c>
      <c r="F498" s="8" t="n">
        <v>45650</v>
      </c>
      <c r="G498" s="9" t="n">
        <v>45650.4262922209</v>
      </c>
      <c r="H498" s="3" t="n">
        <v>0.23</v>
      </c>
      <c r="I498" s="3" t="str">
        <f aca="false">IF(G498="","OPEN","RESOLVED")</f>
        <v>RESOLVED</v>
      </c>
      <c r="J498" s="3" t="n">
        <f aca="false">IF(C498="TIMING_MISMATCH_TIMEZONE",1,IF(ABS(D498)&gt;5000,4,IF(C498="FEE_VARIANCE_BREACH",120,IF(LEFT(C498,8)="ORPHANED",48,24))))</f>
        <v>1</v>
      </c>
      <c r="K498" s="3" t="str">
        <f aca="false">IF(H498="","",IF(H498&gt;J498,"BREACH","OK"))</f>
        <v>OK</v>
      </c>
    </row>
    <row r="499" customFormat="false" ht="15" hidden="false" customHeight="false" outlineLevel="0" collapsed="false">
      <c r="A499" s="3" t="s">
        <v>1494</v>
      </c>
      <c r="B499" s="3" t="s">
        <v>1495</v>
      </c>
      <c r="C499" s="3" t="s">
        <v>531</v>
      </c>
      <c r="D499" s="7" t="n">
        <v>0</v>
      </c>
      <c r="E499" s="3" t="s">
        <v>512</v>
      </c>
      <c r="F499" s="8" t="n">
        <v>45650</v>
      </c>
      <c r="G499" s="9" t="n">
        <v>45650.4244277037</v>
      </c>
      <c r="H499" s="3" t="n">
        <v>0.19</v>
      </c>
      <c r="I499" s="3" t="str">
        <f aca="false">IF(G499="","OPEN","RESOLVED")</f>
        <v>RESOLVED</v>
      </c>
      <c r="J499" s="3" t="n">
        <f aca="false">IF(C499="TIMING_MISMATCH_TIMEZONE",1,IF(ABS(D499)&gt;5000,4,IF(C499="FEE_VARIANCE_BREACH",120,IF(LEFT(C499,8)="ORPHANED",48,24))))</f>
        <v>1</v>
      </c>
      <c r="K499" s="3" t="str">
        <f aca="false">IF(H499="","",IF(H499&gt;J499,"BREACH","OK"))</f>
        <v>OK</v>
      </c>
    </row>
    <row r="500" customFormat="false" ht="15" hidden="false" customHeight="false" outlineLevel="0" collapsed="false">
      <c r="A500" s="3" t="s">
        <v>1496</v>
      </c>
      <c r="B500" s="3" t="s">
        <v>1497</v>
      </c>
      <c r="C500" s="3" t="s">
        <v>531</v>
      </c>
      <c r="D500" s="7" t="n">
        <v>0</v>
      </c>
      <c r="E500" s="3" t="s">
        <v>512</v>
      </c>
      <c r="F500" s="8" t="n">
        <v>45650</v>
      </c>
      <c r="G500" s="9" t="n">
        <v>45650.4235856618</v>
      </c>
      <c r="H500" s="3" t="n">
        <v>0.17</v>
      </c>
      <c r="I500" s="3" t="str">
        <f aca="false">IF(G500="","OPEN","RESOLVED")</f>
        <v>RESOLVED</v>
      </c>
      <c r="J500" s="3" t="n">
        <f aca="false">IF(C500="TIMING_MISMATCH_TIMEZONE",1,IF(ABS(D500)&gt;5000,4,IF(C500="FEE_VARIANCE_BREACH",120,IF(LEFT(C500,8)="ORPHANED",48,24))))</f>
        <v>1</v>
      </c>
      <c r="K500" s="3" t="str">
        <f aca="false">IF(H500="","",IF(H500&gt;J500,"BREACH","OK"))</f>
        <v>OK</v>
      </c>
    </row>
    <row r="501" customFormat="false" ht="15" hidden="false" customHeight="false" outlineLevel="0" collapsed="false">
      <c r="A501" s="3" t="s">
        <v>1498</v>
      </c>
      <c r="B501" s="3" t="s">
        <v>1499</v>
      </c>
      <c r="C501" s="3" t="s">
        <v>497</v>
      </c>
      <c r="D501" s="7" t="n">
        <v>-0.8</v>
      </c>
      <c r="E501" s="3" t="s">
        <v>498</v>
      </c>
      <c r="F501" s="8" t="n">
        <v>45650</v>
      </c>
      <c r="G501" s="9" t="n">
        <v>45656.0812656415</v>
      </c>
      <c r="H501" s="3" t="n">
        <v>87.95</v>
      </c>
      <c r="I501" s="3" t="str">
        <f aca="false">IF(G501="","OPEN","RESOLVED")</f>
        <v>RESOLVED</v>
      </c>
      <c r="J501" s="3" t="n">
        <f aca="false">IF(C501="TIMING_MISMATCH_TIMEZONE",1,IF(ABS(D501)&gt;5000,4,IF(C501="FEE_VARIANCE_BREACH",120,IF(LEFT(C501,8)="ORPHANED",48,24))))</f>
        <v>120</v>
      </c>
      <c r="K501" s="3" t="str">
        <f aca="false">IF(H501="","",IF(H501&gt;J501,"BREACH","OK"))</f>
        <v>OK</v>
      </c>
    </row>
    <row r="502" customFormat="false" ht="15" hidden="false" customHeight="false" outlineLevel="0" collapsed="false">
      <c r="A502" s="3" t="s">
        <v>1500</v>
      </c>
      <c r="B502" s="3" t="s">
        <v>1501</v>
      </c>
      <c r="C502" s="3" t="s">
        <v>497</v>
      </c>
      <c r="D502" s="7" t="n">
        <v>-0.6</v>
      </c>
      <c r="E502" s="3" t="s">
        <v>498</v>
      </c>
      <c r="F502" s="8" t="n">
        <v>45650</v>
      </c>
      <c r="G502" s="9" t="n">
        <v>45656.3207828975</v>
      </c>
      <c r="H502" s="3" t="n">
        <v>93.7</v>
      </c>
      <c r="I502" s="3" t="str">
        <f aca="false">IF(G502="","OPEN","RESOLVED")</f>
        <v>RESOLVED</v>
      </c>
      <c r="J502" s="3" t="n">
        <f aca="false">IF(C502="TIMING_MISMATCH_TIMEZONE",1,IF(ABS(D502)&gt;5000,4,IF(C502="FEE_VARIANCE_BREACH",120,IF(LEFT(C502,8)="ORPHANED",48,24))))</f>
        <v>120</v>
      </c>
      <c r="K502" s="3" t="str">
        <f aca="false">IF(H502="","",IF(H502&gt;J502,"BREACH","OK"))</f>
        <v>OK</v>
      </c>
    </row>
    <row r="503" customFormat="false" ht="15" hidden="false" customHeight="false" outlineLevel="0" collapsed="false">
      <c r="A503" s="3" t="s">
        <v>1502</v>
      </c>
      <c r="B503" s="3" t="s">
        <v>1503</v>
      </c>
      <c r="C503" s="3" t="s">
        <v>497</v>
      </c>
      <c r="D503" s="7" t="n">
        <v>-0.87</v>
      </c>
      <c r="E503" s="3" t="s">
        <v>498</v>
      </c>
      <c r="F503" s="8" t="n">
        <v>45650</v>
      </c>
      <c r="G503" s="9" t="n">
        <v>45653.6330650558</v>
      </c>
      <c r="H503" s="3" t="n">
        <v>77.19</v>
      </c>
      <c r="I503" s="3" t="str">
        <f aca="false">IF(G503="","OPEN","RESOLVED")</f>
        <v>RESOLVED</v>
      </c>
      <c r="J503" s="3" t="n">
        <f aca="false">IF(C503="TIMING_MISMATCH_TIMEZONE",1,IF(ABS(D503)&gt;5000,4,IF(C503="FEE_VARIANCE_BREACH",120,IF(LEFT(C503,8)="ORPHANED",48,24))))</f>
        <v>120</v>
      </c>
      <c r="K503" s="3" t="str">
        <f aca="false">IF(H503="","",IF(H503&gt;J503,"BREACH","OK"))</f>
        <v>OK</v>
      </c>
    </row>
    <row r="504" customFormat="false" ht="15" hidden="false" customHeight="false" outlineLevel="0" collapsed="false">
      <c r="A504" s="3" t="s">
        <v>1504</v>
      </c>
      <c r="B504" s="3" t="s">
        <v>1505</v>
      </c>
      <c r="C504" s="3" t="s">
        <v>503</v>
      </c>
      <c r="D504" s="7" t="n">
        <v>-165.52</v>
      </c>
      <c r="E504" s="3" t="s">
        <v>504</v>
      </c>
      <c r="F504" s="8" t="n">
        <v>45650</v>
      </c>
      <c r="G504" s="9" t="n">
        <v>45653.1894410555</v>
      </c>
      <c r="H504" s="3" t="n">
        <v>66.55</v>
      </c>
      <c r="I504" s="3" t="str">
        <f aca="false">IF(G504="","OPEN","RESOLVED")</f>
        <v>RESOLVED</v>
      </c>
      <c r="J504" s="3" t="n">
        <f aca="false">IF(C504="TIMING_MISMATCH_TIMEZONE",1,IF(ABS(D504)&gt;5000,4,IF(C504="FEE_VARIANCE_BREACH",120,IF(LEFT(C504,8)="ORPHANED",48,24))))</f>
        <v>48</v>
      </c>
      <c r="K504" s="3" t="str">
        <f aca="false">IF(H504="","",IF(H504&gt;J504,"BREACH","OK"))</f>
        <v>BREACH</v>
      </c>
    </row>
    <row r="505" customFormat="false" ht="15" hidden="false" customHeight="false" outlineLevel="0" collapsed="false">
      <c r="A505" s="3" t="s">
        <v>1506</v>
      </c>
      <c r="B505" s="3" t="s">
        <v>1507</v>
      </c>
      <c r="C505" s="3" t="s">
        <v>531</v>
      </c>
      <c r="D505" s="7" t="n">
        <v>0</v>
      </c>
      <c r="E505" s="3" t="s">
        <v>512</v>
      </c>
      <c r="F505" s="8" t="n">
        <v>45650</v>
      </c>
      <c r="G505" s="9" t="n">
        <v>45650.4229492013</v>
      </c>
      <c r="H505" s="3" t="n">
        <v>0.15</v>
      </c>
      <c r="I505" s="3" t="str">
        <f aca="false">IF(G505="","OPEN","RESOLVED")</f>
        <v>RESOLVED</v>
      </c>
      <c r="J505" s="3" t="n">
        <f aca="false">IF(C505="TIMING_MISMATCH_TIMEZONE",1,IF(ABS(D505)&gt;5000,4,IF(C505="FEE_VARIANCE_BREACH",120,IF(LEFT(C505,8)="ORPHANED",48,24))))</f>
        <v>1</v>
      </c>
      <c r="K505" s="3" t="str">
        <f aca="false">IF(H505="","",IF(H505&gt;J505,"BREACH","OK"))</f>
        <v>OK</v>
      </c>
    </row>
    <row r="506" customFormat="false" ht="15" hidden="false" customHeight="false" outlineLevel="0" collapsed="false">
      <c r="A506" s="3" t="s">
        <v>1508</v>
      </c>
      <c r="B506" s="3" t="s">
        <v>1509</v>
      </c>
      <c r="C506" s="3" t="s">
        <v>531</v>
      </c>
      <c r="D506" s="7" t="n">
        <v>0</v>
      </c>
      <c r="E506" s="3" t="s">
        <v>512</v>
      </c>
      <c r="F506" s="8" t="n">
        <v>45650</v>
      </c>
      <c r="G506" s="9" t="n">
        <v>45650.4215172183</v>
      </c>
      <c r="H506" s="3" t="n">
        <v>0.12</v>
      </c>
      <c r="I506" s="3" t="str">
        <f aca="false">IF(G506="","OPEN","RESOLVED")</f>
        <v>RESOLVED</v>
      </c>
      <c r="J506" s="3" t="n">
        <f aca="false">IF(C506="TIMING_MISMATCH_TIMEZONE",1,IF(ABS(D506)&gt;5000,4,IF(C506="FEE_VARIANCE_BREACH",120,IF(LEFT(C506,8)="ORPHANED",48,24))))</f>
        <v>1</v>
      </c>
      <c r="K506" s="3" t="str">
        <f aca="false">IF(H506="","",IF(H506&gt;J506,"BREACH","OK"))</f>
        <v>OK</v>
      </c>
    </row>
    <row r="507" customFormat="false" ht="15" hidden="false" customHeight="false" outlineLevel="0" collapsed="false">
      <c r="A507" s="3" t="s">
        <v>1510</v>
      </c>
      <c r="B507" s="3" t="s">
        <v>1511</v>
      </c>
      <c r="C507" s="3" t="s">
        <v>531</v>
      </c>
      <c r="D507" s="7" t="n">
        <v>0</v>
      </c>
      <c r="E507" s="3" t="s">
        <v>512</v>
      </c>
      <c r="F507" s="8" t="n">
        <v>45650</v>
      </c>
      <c r="G507" s="9" t="n">
        <v>45650.4230422705</v>
      </c>
      <c r="H507" s="3" t="n">
        <v>0.15</v>
      </c>
      <c r="I507" s="3" t="str">
        <f aca="false">IF(G507="","OPEN","RESOLVED")</f>
        <v>RESOLVED</v>
      </c>
      <c r="J507" s="3" t="n">
        <f aca="false">IF(C507="TIMING_MISMATCH_TIMEZONE",1,IF(ABS(D507)&gt;5000,4,IF(C507="FEE_VARIANCE_BREACH",120,IF(LEFT(C507,8)="ORPHANED",48,24))))</f>
        <v>1</v>
      </c>
      <c r="K507" s="3" t="str">
        <f aca="false">IF(H507="","",IF(H507&gt;J507,"BREACH","OK"))</f>
        <v>OK</v>
      </c>
    </row>
    <row r="508" customFormat="false" ht="15" hidden="false" customHeight="false" outlineLevel="0" collapsed="false">
      <c r="A508" s="3" t="s">
        <v>1512</v>
      </c>
      <c r="B508" s="3" t="s">
        <v>1513</v>
      </c>
      <c r="C508" s="3" t="s">
        <v>531</v>
      </c>
      <c r="D508" s="7" t="n">
        <v>0</v>
      </c>
      <c r="E508" s="3" t="s">
        <v>512</v>
      </c>
      <c r="F508" s="8" t="n">
        <v>45651</v>
      </c>
      <c r="G508" s="9" t="n">
        <v>45651.4235411434</v>
      </c>
      <c r="H508" s="3" t="n">
        <v>0.16</v>
      </c>
      <c r="I508" s="3" t="str">
        <f aca="false">IF(G508="","OPEN","RESOLVED")</f>
        <v>RESOLVED</v>
      </c>
      <c r="J508" s="3" t="n">
        <f aca="false">IF(C508="TIMING_MISMATCH_TIMEZONE",1,IF(ABS(D508)&gt;5000,4,IF(C508="FEE_VARIANCE_BREACH",120,IF(LEFT(C508,8)="ORPHANED",48,24))))</f>
        <v>1</v>
      </c>
      <c r="K508" s="3" t="str">
        <f aca="false">IF(H508="","",IF(H508&gt;J508,"BREACH","OK"))</f>
        <v>OK</v>
      </c>
    </row>
    <row r="509" customFormat="false" ht="15" hidden="false" customHeight="false" outlineLevel="0" collapsed="false">
      <c r="A509" s="3" t="s">
        <v>1514</v>
      </c>
      <c r="B509" s="3" t="s">
        <v>1515</v>
      </c>
      <c r="C509" s="3" t="s">
        <v>517</v>
      </c>
      <c r="D509" s="7" t="n">
        <v>-7.49</v>
      </c>
      <c r="E509" s="3" t="s">
        <v>518</v>
      </c>
      <c r="F509" s="8" t="n">
        <v>45651</v>
      </c>
      <c r="G509" s="9" t="n">
        <v>45651.838122411</v>
      </c>
      <c r="H509" s="3" t="n">
        <v>10.11</v>
      </c>
      <c r="I509" s="3" t="str">
        <f aca="false">IF(G509="","OPEN","RESOLVED")</f>
        <v>RESOLVED</v>
      </c>
      <c r="J509" s="3" t="n">
        <f aca="false">IF(C509="TIMING_MISMATCH_TIMEZONE",1,IF(ABS(D509)&gt;5000,4,IF(C509="FEE_VARIANCE_BREACH",120,IF(LEFT(C509,8)="ORPHANED",48,24))))</f>
        <v>24</v>
      </c>
      <c r="K509" s="3" t="str">
        <f aca="false">IF(H509="","",IF(H509&gt;J509,"BREACH","OK"))</f>
        <v>OK</v>
      </c>
    </row>
    <row r="510" customFormat="false" ht="15" hidden="false" customHeight="false" outlineLevel="0" collapsed="false">
      <c r="A510" s="3" t="s">
        <v>1516</v>
      </c>
      <c r="B510" s="3" t="s">
        <v>1517</v>
      </c>
      <c r="C510" s="3" t="s">
        <v>497</v>
      </c>
      <c r="D510" s="7" t="n">
        <v>-1.72</v>
      </c>
      <c r="E510" s="3" t="s">
        <v>498</v>
      </c>
      <c r="F510" s="8" t="n">
        <v>45651</v>
      </c>
      <c r="G510" s="9" t="n">
        <v>45657.3339509823</v>
      </c>
      <c r="H510" s="3" t="n">
        <v>94.01</v>
      </c>
      <c r="I510" s="3" t="str">
        <f aca="false">IF(G510="","OPEN","RESOLVED")</f>
        <v>RESOLVED</v>
      </c>
      <c r="J510" s="3" t="n">
        <f aca="false">IF(C510="TIMING_MISMATCH_TIMEZONE",1,IF(ABS(D510)&gt;5000,4,IF(C510="FEE_VARIANCE_BREACH",120,IF(LEFT(C510,8)="ORPHANED",48,24))))</f>
        <v>120</v>
      </c>
      <c r="K510" s="3" t="str">
        <f aca="false">IF(H510="","",IF(H510&gt;J510,"BREACH","OK"))</f>
        <v>OK</v>
      </c>
    </row>
    <row r="511" customFormat="false" ht="15" hidden="false" customHeight="false" outlineLevel="0" collapsed="false">
      <c r="A511" s="3" t="s">
        <v>1518</v>
      </c>
      <c r="B511" s="3" t="s">
        <v>1519</v>
      </c>
      <c r="C511" s="3" t="s">
        <v>531</v>
      </c>
      <c r="D511" s="7" t="n">
        <v>0</v>
      </c>
      <c r="E511" s="3" t="s">
        <v>512</v>
      </c>
      <c r="F511" s="8" t="n">
        <v>45651</v>
      </c>
      <c r="G511" s="9" t="n">
        <v>45651.4256675577</v>
      </c>
      <c r="H511" s="3" t="n">
        <v>0.22</v>
      </c>
      <c r="I511" s="3" t="str">
        <f aca="false">IF(G511="","OPEN","RESOLVED")</f>
        <v>RESOLVED</v>
      </c>
      <c r="J511" s="3" t="n">
        <f aca="false">IF(C511="TIMING_MISMATCH_TIMEZONE",1,IF(ABS(D511)&gt;5000,4,IF(C511="FEE_VARIANCE_BREACH",120,IF(LEFT(C511,8)="ORPHANED",48,24))))</f>
        <v>1</v>
      </c>
      <c r="K511" s="3" t="str">
        <f aca="false">IF(H511="","",IF(H511&gt;J511,"BREACH","OK"))</f>
        <v>OK</v>
      </c>
    </row>
    <row r="512" customFormat="false" ht="15" hidden="false" customHeight="false" outlineLevel="0" collapsed="false">
      <c r="A512" s="3" t="s">
        <v>1520</v>
      </c>
      <c r="B512" s="3" t="s">
        <v>1521</v>
      </c>
      <c r="C512" s="3" t="s">
        <v>531</v>
      </c>
      <c r="D512" s="7" t="n">
        <v>0</v>
      </c>
      <c r="E512" s="3" t="s">
        <v>512</v>
      </c>
      <c r="F512" s="8" t="n">
        <v>45651</v>
      </c>
      <c r="G512" s="9" t="n">
        <v>45651.4247598104</v>
      </c>
      <c r="H512" s="3" t="n">
        <v>0.19</v>
      </c>
      <c r="I512" s="3" t="str">
        <f aca="false">IF(G512="","OPEN","RESOLVED")</f>
        <v>RESOLVED</v>
      </c>
      <c r="J512" s="3" t="n">
        <f aca="false">IF(C512="TIMING_MISMATCH_TIMEZONE",1,IF(ABS(D512)&gt;5000,4,IF(C512="FEE_VARIANCE_BREACH",120,IF(LEFT(C512,8)="ORPHANED",48,24))))</f>
        <v>1</v>
      </c>
      <c r="K512" s="3" t="str">
        <f aca="false">IF(H512="","",IF(H512&gt;J512,"BREACH","OK"))</f>
        <v>OK</v>
      </c>
    </row>
    <row r="513" customFormat="false" ht="15" hidden="false" customHeight="false" outlineLevel="0" collapsed="false">
      <c r="A513" s="3" t="s">
        <v>1522</v>
      </c>
      <c r="B513" s="3" t="s">
        <v>1523</v>
      </c>
      <c r="C513" s="3" t="s">
        <v>497</v>
      </c>
      <c r="D513" s="7" t="n">
        <v>-1.69</v>
      </c>
      <c r="E513" s="3" t="s">
        <v>498</v>
      </c>
      <c r="F513" s="8" t="n">
        <v>45651</v>
      </c>
      <c r="G513" s="9" t="n">
        <v>45658.5335290797</v>
      </c>
      <c r="H513" s="3" t="n">
        <v>122.8</v>
      </c>
      <c r="I513" s="3" t="str">
        <f aca="false">IF(G513="","OPEN","RESOLVED")</f>
        <v>RESOLVED</v>
      </c>
      <c r="J513" s="3" t="n">
        <f aca="false">IF(C513="TIMING_MISMATCH_TIMEZONE",1,IF(ABS(D513)&gt;5000,4,IF(C513="FEE_VARIANCE_BREACH",120,IF(LEFT(C513,8)="ORPHANED",48,24))))</f>
        <v>120</v>
      </c>
      <c r="K513" s="3" t="str">
        <f aca="false">IF(H513="","",IF(H513&gt;J513,"BREACH","OK"))</f>
        <v>BREACH</v>
      </c>
    </row>
    <row r="514" customFormat="false" ht="15" hidden="false" customHeight="false" outlineLevel="0" collapsed="false">
      <c r="A514" s="3" t="s">
        <v>1524</v>
      </c>
      <c r="B514" s="3" t="s">
        <v>1525</v>
      </c>
      <c r="C514" s="3" t="s">
        <v>503</v>
      </c>
      <c r="D514" s="7" t="n">
        <v>-342</v>
      </c>
      <c r="E514" s="3" t="s">
        <v>504</v>
      </c>
      <c r="F514" s="8" t="n">
        <v>45651</v>
      </c>
      <c r="G514" s="9" t="n">
        <v>45656.6501161481</v>
      </c>
      <c r="H514" s="3" t="n">
        <v>77.6</v>
      </c>
      <c r="I514" s="3" t="str">
        <f aca="false">IF(G514="","OPEN","RESOLVED")</f>
        <v>RESOLVED</v>
      </c>
      <c r="J514" s="3" t="n">
        <f aca="false">IF(C514="TIMING_MISMATCH_TIMEZONE",1,IF(ABS(D514)&gt;5000,4,IF(C514="FEE_VARIANCE_BREACH",120,IF(LEFT(C514,8)="ORPHANED",48,24))))</f>
        <v>48</v>
      </c>
      <c r="K514" s="3" t="str">
        <f aca="false">IF(H514="","",IF(H514&gt;J514,"BREACH","OK"))</f>
        <v>BREACH</v>
      </c>
    </row>
    <row r="515" customFormat="false" ht="15" hidden="false" customHeight="false" outlineLevel="0" collapsed="false">
      <c r="A515" s="3" t="s">
        <v>1526</v>
      </c>
      <c r="B515" s="3" t="s">
        <v>1527</v>
      </c>
      <c r="C515" s="3" t="s">
        <v>497</v>
      </c>
      <c r="D515" s="7" t="n">
        <v>-3.8</v>
      </c>
      <c r="E515" s="3" t="s">
        <v>498</v>
      </c>
      <c r="F515" s="8" t="n">
        <v>45651</v>
      </c>
      <c r="G515" s="9" t="n">
        <v>45658.8065866215</v>
      </c>
      <c r="H515" s="3" t="n">
        <v>129.36</v>
      </c>
      <c r="I515" s="3" t="str">
        <f aca="false">IF(G515="","OPEN","RESOLVED")</f>
        <v>RESOLVED</v>
      </c>
      <c r="J515" s="3" t="n">
        <f aca="false">IF(C515="TIMING_MISMATCH_TIMEZONE",1,IF(ABS(D515)&gt;5000,4,IF(C515="FEE_VARIANCE_BREACH",120,IF(LEFT(C515,8)="ORPHANED",48,24))))</f>
        <v>120</v>
      </c>
      <c r="K515" s="3" t="str">
        <f aca="false">IF(H515="","",IF(H515&gt;J515,"BREACH","OK"))</f>
        <v>BREACH</v>
      </c>
    </row>
    <row r="516" customFormat="false" ht="15" hidden="false" customHeight="false" outlineLevel="0" collapsed="false">
      <c r="A516" s="3" t="s">
        <v>1528</v>
      </c>
      <c r="B516" s="3" t="s">
        <v>1529</v>
      </c>
      <c r="C516" s="3" t="s">
        <v>503</v>
      </c>
      <c r="D516" s="7" t="n">
        <v>-201.73</v>
      </c>
      <c r="E516" s="3" t="s">
        <v>504</v>
      </c>
      <c r="F516" s="8" t="n">
        <v>45651</v>
      </c>
      <c r="G516" s="9" t="n">
        <v>45652.4675475752</v>
      </c>
      <c r="H516" s="3" t="n">
        <v>25.22</v>
      </c>
      <c r="I516" s="3" t="str">
        <f aca="false">IF(G516="","OPEN","RESOLVED")</f>
        <v>RESOLVED</v>
      </c>
      <c r="J516" s="3" t="n">
        <f aca="false">IF(C516="TIMING_MISMATCH_TIMEZONE",1,IF(ABS(D516)&gt;5000,4,IF(C516="FEE_VARIANCE_BREACH",120,IF(LEFT(C516,8)="ORPHANED",48,24))))</f>
        <v>48</v>
      </c>
      <c r="K516" s="3" t="str">
        <f aca="false">IF(H516="","",IF(H516&gt;J516,"BREACH","OK"))</f>
        <v>OK</v>
      </c>
    </row>
    <row r="517" customFormat="false" ht="15" hidden="false" customHeight="false" outlineLevel="0" collapsed="false">
      <c r="A517" s="3" t="s">
        <v>1530</v>
      </c>
      <c r="B517" s="3" t="s">
        <v>1531</v>
      </c>
      <c r="C517" s="3" t="s">
        <v>531</v>
      </c>
      <c r="D517" s="7" t="n">
        <v>0</v>
      </c>
      <c r="E517" s="3" t="s">
        <v>512</v>
      </c>
      <c r="F517" s="8" t="n">
        <v>45651</v>
      </c>
      <c r="G517" s="9" t="n">
        <v>45651.4298994115</v>
      </c>
      <c r="H517" s="3" t="n">
        <v>0.32</v>
      </c>
      <c r="I517" s="3" t="str">
        <f aca="false">IF(G517="","OPEN","RESOLVED")</f>
        <v>RESOLVED</v>
      </c>
      <c r="J517" s="3" t="n">
        <f aca="false">IF(C517="TIMING_MISMATCH_TIMEZONE",1,IF(ABS(D517)&gt;5000,4,IF(C517="FEE_VARIANCE_BREACH",120,IF(LEFT(C517,8)="ORPHANED",48,24))))</f>
        <v>1</v>
      </c>
      <c r="K517" s="3" t="str">
        <f aca="false">IF(H517="","",IF(H517&gt;J517,"BREACH","OK"))</f>
        <v>OK</v>
      </c>
    </row>
    <row r="518" customFormat="false" ht="15" hidden="false" customHeight="false" outlineLevel="0" collapsed="false">
      <c r="A518" s="3" t="s">
        <v>1532</v>
      </c>
      <c r="B518" s="3" t="s">
        <v>1533</v>
      </c>
      <c r="C518" s="3" t="s">
        <v>531</v>
      </c>
      <c r="D518" s="7" t="n">
        <v>0</v>
      </c>
      <c r="E518" s="3" t="s">
        <v>512</v>
      </c>
      <c r="F518" s="8" t="n">
        <v>45651</v>
      </c>
      <c r="G518" s="9" t="n">
        <v>45651.4310047421</v>
      </c>
      <c r="H518" s="3" t="n">
        <v>0.34</v>
      </c>
      <c r="I518" s="3" t="str">
        <f aca="false">IF(G518="","OPEN","RESOLVED")</f>
        <v>RESOLVED</v>
      </c>
      <c r="J518" s="3" t="n">
        <f aca="false">IF(C518="TIMING_MISMATCH_TIMEZONE",1,IF(ABS(D518)&gt;5000,4,IF(C518="FEE_VARIANCE_BREACH",120,IF(LEFT(C518,8)="ORPHANED",48,24))))</f>
        <v>1</v>
      </c>
      <c r="K518" s="3" t="str">
        <f aca="false">IF(H518="","",IF(H518&gt;J518,"BREACH","OK"))</f>
        <v>OK</v>
      </c>
    </row>
    <row r="519" customFormat="false" ht="15" hidden="false" customHeight="false" outlineLevel="0" collapsed="false">
      <c r="A519" s="3" t="s">
        <v>1534</v>
      </c>
      <c r="B519" s="3" t="s">
        <v>1535</v>
      </c>
      <c r="C519" s="3" t="s">
        <v>531</v>
      </c>
      <c r="D519" s="7" t="n">
        <v>0</v>
      </c>
      <c r="E519" s="3" t="s">
        <v>512</v>
      </c>
      <c r="F519" s="8" t="n">
        <v>45651</v>
      </c>
      <c r="G519" s="9" t="n">
        <v>45651.427959798</v>
      </c>
      <c r="H519" s="3" t="n">
        <v>0.27</v>
      </c>
      <c r="I519" s="3" t="str">
        <f aca="false">IF(G519="","OPEN","RESOLVED")</f>
        <v>RESOLVED</v>
      </c>
      <c r="J519" s="3" t="n">
        <f aca="false">IF(C519="TIMING_MISMATCH_TIMEZONE",1,IF(ABS(D519)&gt;5000,4,IF(C519="FEE_VARIANCE_BREACH",120,IF(LEFT(C519,8)="ORPHANED",48,24))))</f>
        <v>1</v>
      </c>
      <c r="K519" s="3" t="str">
        <f aca="false">IF(H519="","",IF(H519&gt;J519,"BREACH","OK"))</f>
        <v>OK</v>
      </c>
    </row>
    <row r="520" customFormat="false" ht="15" hidden="false" customHeight="false" outlineLevel="0" collapsed="false">
      <c r="A520" s="3" t="s">
        <v>1536</v>
      </c>
      <c r="B520" s="3" t="s">
        <v>1537</v>
      </c>
      <c r="C520" s="3" t="s">
        <v>531</v>
      </c>
      <c r="D520" s="7" t="n">
        <v>0</v>
      </c>
      <c r="E520" s="3" t="s">
        <v>512</v>
      </c>
      <c r="F520" s="8" t="n">
        <v>45651</v>
      </c>
      <c r="G520" s="9" t="n">
        <v>45651.4188919659</v>
      </c>
      <c r="H520" s="3" t="n">
        <v>0.05</v>
      </c>
      <c r="I520" s="3" t="str">
        <f aca="false">IF(G520="","OPEN","RESOLVED")</f>
        <v>RESOLVED</v>
      </c>
      <c r="J520" s="3" t="n">
        <f aca="false">IF(C520="TIMING_MISMATCH_TIMEZONE",1,IF(ABS(D520)&gt;5000,4,IF(C520="FEE_VARIANCE_BREACH",120,IF(LEFT(C520,8)="ORPHANED",48,24))))</f>
        <v>1</v>
      </c>
      <c r="K520" s="3" t="str">
        <f aca="false">IF(H520="","",IF(H520&gt;J520,"BREACH","OK"))</f>
        <v>OK</v>
      </c>
    </row>
    <row r="521" customFormat="false" ht="15" hidden="false" customHeight="false" outlineLevel="0" collapsed="false">
      <c r="A521" s="3" t="s">
        <v>1538</v>
      </c>
      <c r="B521" s="3" t="s">
        <v>1539</v>
      </c>
      <c r="C521" s="3" t="s">
        <v>531</v>
      </c>
      <c r="D521" s="7" t="n">
        <v>0</v>
      </c>
      <c r="E521" s="3" t="s">
        <v>512</v>
      </c>
      <c r="F521" s="8" t="n">
        <v>45651</v>
      </c>
      <c r="G521" s="9" t="n">
        <v>45651.4271274762</v>
      </c>
      <c r="H521" s="3" t="n">
        <v>0.25</v>
      </c>
      <c r="I521" s="3" t="str">
        <f aca="false">IF(G521="","OPEN","RESOLVED")</f>
        <v>RESOLVED</v>
      </c>
      <c r="J521" s="3" t="n">
        <f aca="false">IF(C521="TIMING_MISMATCH_TIMEZONE",1,IF(ABS(D521)&gt;5000,4,IF(C521="FEE_VARIANCE_BREACH",120,IF(LEFT(C521,8)="ORPHANED",48,24))))</f>
        <v>1</v>
      </c>
      <c r="K521" s="3" t="str">
        <f aca="false">IF(H521="","",IF(H521&gt;J521,"BREACH","OK"))</f>
        <v>OK</v>
      </c>
    </row>
    <row r="522" customFormat="false" ht="15" hidden="false" customHeight="false" outlineLevel="0" collapsed="false">
      <c r="A522" s="3" t="s">
        <v>1540</v>
      </c>
      <c r="B522" s="3" t="s">
        <v>1541</v>
      </c>
      <c r="C522" s="3" t="s">
        <v>531</v>
      </c>
      <c r="D522" s="7" t="n">
        <v>0</v>
      </c>
      <c r="E522" s="3" t="s">
        <v>512</v>
      </c>
      <c r="F522" s="8" t="n">
        <v>45651</v>
      </c>
      <c r="G522" s="9" t="n">
        <v>45651.41875</v>
      </c>
      <c r="H522" s="3" t="n">
        <v>0.05</v>
      </c>
      <c r="I522" s="3" t="str">
        <f aca="false">IF(G522="","OPEN","RESOLVED")</f>
        <v>RESOLVED</v>
      </c>
      <c r="J522" s="3" t="n">
        <f aca="false">IF(C522="TIMING_MISMATCH_TIMEZONE",1,IF(ABS(D522)&gt;5000,4,IF(C522="FEE_VARIANCE_BREACH",120,IF(LEFT(C522,8)="ORPHANED",48,24))))</f>
        <v>1</v>
      </c>
      <c r="K522" s="3" t="str">
        <f aca="false">IF(H522="","",IF(H522&gt;J522,"BREACH","OK"))</f>
        <v>OK</v>
      </c>
    </row>
    <row r="523" customFormat="false" ht="15" hidden="false" customHeight="false" outlineLevel="0" collapsed="false">
      <c r="A523" s="3" t="s">
        <v>1542</v>
      </c>
      <c r="B523" s="3" t="s">
        <v>1543</v>
      </c>
      <c r="C523" s="3" t="s">
        <v>531</v>
      </c>
      <c r="D523" s="7" t="n">
        <v>0</v>
      </c>
      <c r="E523" s="3" t="s">
        <v>512</v>
      </c>
      <c r="F523" s="8" t="n">
        <v>45651</v>
      </c>
      <c r="G523" s="9" t="n">
        <v>45651.4301295415</v>
      </c>
      <c r="H523" s="3" t="n">
        <v>0.32</v>
      </c>
      <c r="I523" s="3" t="str">
        <f aca="false">IF(G523="","OPEN","RESOLVED")</f>
        <v>RESOLVED</v>
      </c>
      <c r="J523" s="3" t="n">
        <f aca="false">IF(C523="TIMING_MISMATCH_TIMEZONE",1,IF(ABS(D523)&gt;5000,4,IF(C523="FEE_VARIANCE_BREACH",120,IF(LEFT(C523,8)="ORPHANED",48,24))))</f>
        <v>1</v>
      </c>
      <c r="K523" s="3" t="str">
        <f aca="false">IF(H523="","",IF(H523&gt;J523,"BREACH","OK"))</f>
        <v>OK</v>
      </c>
    </row>
    <row r="524" customFormat="false" ht="15" hidden="false" customHeight="false" outlineLevel="0" collapsed="false">
      <c r="A524" s="3" t="s">
        <v>1544</v>
      </c>
      <c r="B524" s="3" t="s">
        <v>1545</v>
      </c>
      <c r="C524" s="3" t="s">
        <v>497</v>
      </c>
      <c r="D524" s="7" t="n">
        <v>-10.33</v>
      </c>
      <c r="E524" s="3" t="s">
        <v>498</v>
      </c>
      <c r="F524" s="8" t="n">
        <v>45651</v>
      </c>
      <c r="G524" s="9" t="n">
        <v>45656.6401073582</v>
      </c>
      <c r="H524" s="3" t="n">
        <v>77.36</v>
      </c>
      <c r="I524" s="3" t="str">
        <f aca="false">IF(G524="","OPEN","RESOLVED")</f>
        <v>RESOLVED</v>
      </c>
      <c r="J524" s="3" t="n">
        <f aca="false">IF(C524="TIMING_MISMATCH_TIMEZONE",1,IF(ABS(D524)&gt;5000,4,IF(C524="FEE_VARIANCE_BREACH",120,IF(LEFT(C524,8)="ORPHANED",48,24))))</f>
        <v>120</v>
      </c>
      <c r="K524" s="3" t="str">
        <f aca="false">IF(H524="","",IF(H524&gt;J524,"BREACH","OK"))</f>
        <v>OK</v>
      </c>
    </row>
    <row r="525" customFormat="false" ht="15" hidden="false" customHeight="false" outlineLevel="0" collapsed="false">
      <c r="A525" s="3" t="s">
        <v>1546</v>
      </c>
      <c r="B525" s="3" t="s">
        <v>1547</v>
      </c>
      <c r="C525" s="3" t="s">
        <v>531</v>
      </c>
      <c r="D525" s="7" t="n">
        <v>0</v>
      </c>
      <c r="E525" s="3" t="s">
        <v>512</v>
      </c>
      <c r="F525" s="8" t="n">
        <v>45651</v>
      </c>
      <c r="G525" s="9" t="n">
        <v>45651.4264093609</v>
      </c>
      <c r="H525" s="3" t="n">
        <v>0.23</v>
      </c>
      <c r="I525" s="3" t="str">
        <f aca="false">IF(G525="","OPEN","RESOLVED")</f>
        <v>RESOLVED</v>
      </c>
      <c r="J525" s="3" t="n">
        <f aca="false">IF(C525="TIMING_MISMATCH_TIMEZONE",1,IF(ABS(D525)&gt;5000,4,IF(C525="FEE_VARIANCE_BREACH",120,IF(LEFT(C525,8)="ORPHANED",48,24))))</f>
        <v>1</v>
      </c>
      <c r="K525" s="3" t="str">
        <f aca="false">IF(H525="","",IF(H525&gt;J525,"BREACH","OK"))</f>
        <v>OK</v>
      </c>
    </row>
    <row r="526" customFormat="false" ht="15" hidden="false" customHeight="false" outlineLevel="0" collapsed="false">
      <c r="A526" s="3" t="s">
        <v>1548</v>
      </c>
      <c r="B526" s="3" t="s">
        <v>1549</v>
      </c>
      <c r="C526" s="3" t="s">
        <v>497</v>
      </c>
      <c r="D526" s="7" t="n">
        <v>-0.52</v>
      </c>
      <c r="E526" s="3" t="s">
        <v>498</v>
      </c>
      <c r="F526" s="8" t="n">
        <v>45651</v>
      </c>
      <c r="G526" s="9" t="n">
        <v>45656.6206737642</v>
      </c>
      <c r="H526" s="3" t="n">
        <v>76.9</v>
      </c>
      <c r="I526" s="3" t="str">
        <f aca="false">IF(G526="","OPEN","RESOLVED")</f>
        <v>RESOLVED</v>
      </c>
      <c r="J526" s="3" t="n">
        <f aca="false">IF(C526="TIMING_MISMATCH_TIMEZONE",1,IF(ABS(D526)&gt;5000,4,IF(C526="FEE_VARIANCE_BREACH",120,IF(LEFT(C526,8)="ORPHANED",48,24))))</f>
        <v>120</v>
      </c>
      <c r="K526" s="3" t="str">
        <f aca="false">IF(H526="","",IF(H526&gt;J526,"BREACH","OK"))</f>
        <v>OK</v>
      </c>
    </row>
    <row r="527" customFormat="false" ht="15" hidden="false" customHeight="false" outlineLevel="0" collapsed="false">
      <c r="A527" s="3" t="s">
        <v>1550</v>
      </c>
      <c r="B527" s="3" t="s">
        <v>1551</v>
      </c>
      <c r="C527" s="3" t="s">
        <v>531</v>
      </c>
      <c r="D527" s="7" t="n">
        <v>0</v>
      </c>
      <c r="E527" s="3" t="s">
        <v>512</v>
      </c>
      <c r="F527" s="8" t="n">
        <v>45652</v>
      </c>
      <c r="G527" s="9" t="n">
        <v>45652.41875</v>
      </c>
      <c r="H527" s="3" t="n">
        <v>0.05</v>
      </c>
      <c r="I527" s="3" t="str">
        <f aca="false">IF(G527="","OPEN","RESOLVED")</f>
        <v>RESOLVED</v>
      </c>
      <c r="J527" s="3" t="n">
        <f aca="false">IF(C527="TIMING_MISMATCH_TIMEZONE",1,IF(ABS(D527)&gt;5000,4,IF(C527="FEE_VARIANCE_BREACH",120,IF(LEFT(C527,8)="ORPHANED",48,24))))</f>
        <v>1</v>
      </c>
      <c r="K527" s="3" t="str">
        <f aca="false">IF(H527="","",IF(H527&gt;J527,"BREACH","OK"))</f>
        <v>OK</v>
      </c>
    </row>
    <row r="528" customFormat="false" ht="15" hidden="false" customHeight="false" outlineLevel="0" collapsed="false">
      <c r="A528" s="3" t="s">
        <v>1552</v>
      </c>
      <c r="B528" s="3" t="s">
        <v>1553</v>
      </c>
      <c r="C528" s="3" t="s">
        <v>531</v>
      </c>
      <c r="D528" s="7" t="n">
        <v>0</v>
      </c>
      <c r="E528" s="3" t="s">
        <v>512</v>
      </c>
      <c r="F528" s="8" t="n">
        <v>45652</v>
      </c>
      <c r="G528" s="9" t="n">
        <v>45652.41875</v>
      </c>
      <c r="H528" s="3" t="n">
        <v>0.05</v>
      </c>
      <c r="I528" s="3" t="str">
        <f aca="false">IF(G528="","OPEN","RESOLVED")</f>
        <v>RESOLVED</v>
      </c>
      <c r="J528" s="3" t="n">
        <f aca="false">IF(C528="TIMING_MISMATCH_TIMEZONE",1,IF(ABS(D528)&gt;5000,4,IF(C528="FEE_VARIANCE_BREACH",120,IF(LEFT(C528,8)="ORPHANED",48,24))))</f>
        <v>1</v>
      </c>
      <c r="K528" s="3" t="str">
        <f aca="false">IF(H528="","",IF(H528&gt;J528,"BREACH","OK"))</f>
        <v>OK</v>
      </c>
    </row>
    <row r="529" customFormat="false" ht="15" hidden="false" customHeight="false" outlineLevel="0" collapsed="false">
      <c r="A529" s="3" t="s">
        <v>1554</v>
      </c>
      <c r="B529" s="3" t="s">
        <v>1555</v>
      </c>
      <c r="C529" s="3" t="s">
        <v>531</v>
      </c>
      <c r="D529" s="7" t="n">
        <v>0</v>
      </c>
      <c r="E529" s="3" t="s">
        <v>512</v>
      </c>
      <c r="F529" s="8" t="n">
        <v>45652</v>
      </c>
      <c r="G529" s="9" t="n">
        <v>45652.4276090118</v>
      </c>
      <c r="H529" s="3" t="n">
        <v>0.26</v>
      </c>
      <c r="I529" s="3" t="str">
        <f aca="false">IF(G529="","OPEN","RESOLVED")</f>
        <v>RESOLVED</v>
      </c>
      <c r="J529" s="3" t="n">
        <f aca="false">IF(C529="TIMING_MISMATCH_TIMEZONE",1,IF(ABS(D529)&gt;5000,4,IF(C529="FEE_VARIANCE_BREACH",120,IF(LEFT(C529,8)="ORPHANED",48,24))))</f>
        <v>1</v>
      </c>
      <c r="K529" s="3" t="str">
        <f aca="false">IF(H529="","",IF(H529&gt;J529,"BREACH","OK"))</f>
        <v>OK</v>
      </c>
    </row>
    <row r="530" customFormat="false" ht="15" hidden="false" customHeight="false" outlineLevel="0" collapsed="false">
      <c r="A530" s="3" t="s">
        <v>1556</v>
      </c>
      <c r="B530" s="3" t="s">
        <v>1557</v>
      </c>
      <c r="C530" s="3" t="s">
        <v>503</v>
      </c>
      <c r="D530" s="7" t="n">
        <v>-311.19</v>
      </c>
      <c r="E530" s="3" t="s">
        <v>504</v>
      </c>
      <c r="F530" s="8" t="n">
        <v>45652</v>
      </c>
      <c r="G530" s="9" t="n">
        <v>45656.3428641792</v>
      </c>
      <c r="H530" s="3" t="n">
        <v>46.23</v>
      </c>
      <c r="I530" s="3" t="str">
        <f aca="false">IF(G530="","OPEN","RESOLVED")</f>
        <v>RESOLVED</v>
      </c>
      <c r="J530" s="3" t="n">
        <f aca="false">IF(C530="TIMING_MISMATCH_TIMEZONE",1,IF(ABS(D530)&gt;5000,4,IF(C530="FEE_VARIANCE_BREACH",120,IF(LEFT(C530,8)="ORPHANED",48,24))))</f>
        <v>48</v>
      </c>
      <c r="K530" s="3" t="str">
        <f aca="false">IF(H530="","",IF(H530&gt;J530,"BREACH","OK"))</f>
        <v>OK</v>
      </c>
    </row>
    <row r="531" customFormat="false" ht="15" hidden="false" customHeight="false" outlineLevel="0" collapsed="false">
      <c r="A531" s="3" t="s">
        <v>1558</v>
      </c>
      <c r="B531" s="3" t="s">
        <v>1559</v>
      </c>
      <c r="C531" s="3" t="s">
        <v>497</v>
      </c>
      <c r="D531" s="7" t="n">
        <v>-3.48</v>
      </c>
      <c r="E531" s="3" t="s">
        <v>498</v>
      </c>
      <c r="F531" s="8" t="n">
        <v>45652</v>
      </c>
      <c r="G531" s="9" t="n">
        <v>45658.6530741051</v>
      </c>
      <c r="H531" s="3" t="n">
        <v>101.67</v>
      </c>
      <c r="I531" s="3" t="str">
        <f aca="false">IF(G531="","OPEN","RESOLVED")</f>
        <v>RESOLVED</v>
      </c>
      <c r="J531" s="3" t="n">
        <f aca="false">IF(C531="TIMING_MISMATCH_TIMEZONE",1,IF(ABS(D531)&gt;5000,4,IF(C531="FEE_VARIANCE_BREACH",120,IF(LEFT(C531,8)="ORPHANED",48,24))))</f>
        <v>120</v>
      </c>
      <c r="K531" s="3" t="str">
        <f aca="false">IF(H531="","",IF(H531&gt;J531,"BREACH","OK"))</f>
        <v>OK</v>
      </c>
    </row>
    <row r="532" customFormat="false" ht="15" hidden="false" customHeight="false" outlineLevel="0" collapsed="false">
      <c r="A532" s="3" t="s">
        <v>1560</v>
      </c>
      <c r="B532" s="3" t="s">
        <v>1561</v>
      </c>
      <c r="C532" s="3" t="s">
        <v>497</v>
      </c>
      <c r="D532" s="7" t="n">
        <v>-0.72</v>
      </c>
      <c r="E532" s="3" t="s">
        <v>498</v>
      </c>
      <c r="F532" s="8" t="n">
        <v>45652</v>
      </c>
      <c r="G532" s="9" t="n">
        <v>45656.9559223553</v>
      </c>
      <c r="H532" s="3" t="n">
        <v>60.94</v>
      </c>
      <c r="I532" s="3" t="str">
        <f aca="false">IF(G532="","OPEN","RESOLVED")</f>
        <v>RESOLVED</v>
      </c>
      <c r="J532" s="3" t="n">
        <f aca="false">IF(C532="TIMING_MISMATCH_TIMEZONE",1,IF(ABS(D532)&gt;5000,4,IF(C532="FEE_VARIANCE_BREACH",120,IF(LEFT(C532,8)="ORPHANED",48,24))))</f>
        <v>120</v>
      </c>
      <c r="K532" s="3" t="str">
        <f aca="false">IF(H532="","",IF(H532&gt;J532,"BREACH","OK"))</f>
        <v>OK</v>
      </c>
    </row>
    <row r="533" customFormat="false" ht="15" hidden="false" customHeight="false" outlineLevel="0" collapsed="false">
      <c r="A533" s="3" t="s">
        <v>1562</v>
      </c>
      <c r="B533" s="3" t="s">
        <v>1563</v>
      </c>
      <c r="C533" s="3" t="s">
        <v>503</v>
      </c>
      <c r="D533" s="7" t="n">
        <v>-62.71</v>
      </c>
      <c r="E533" s="3" t="s">
        <v>504</v>
      </c>
      <c r="F533" s="8" t="n">
        <v>45652</v>
      </c>
      <c r="G533" s="9" t="n">
        <v>45653.3830101654</v>
      </c>
      <c r="H533" s="3" t="n">
        <v>23.19</v>
      </c>
      <c r="I533" s="3" t="str">
        <f aca="false">IF(G533="","OPEN","RESOLVED")</f>
        <v>RESOLVED</v>
      </c>
      <c r="J533" s="3" t="n">
        <f aca="false">IF(C533="TIMING_MISMATCH_TIMEZONE",1,IF(ABS(D533)&gt;5000,4,IF(C533="FEE_VARIANCE_BREACH",120,IF(LEFT(C533,8)="ORPHANED",48,24))))</f>
        <v>48</v>
      </c>
      <c r="K533" s="3" t="str">
        <f aca="false">IF(H533="","",IF(H533&gt;J533,"BREACH","OK"))</f>
        <v>OK</v>
      </c>
    </row>
    <row r="534" customFormat="false" ht="15" hidden="false" customHeight="false" outlineLevel="0" collapsed="false">
      <c r="A534" s="3" t="s">
        <v>1564</v>
      </c>
      <c r="B534" s="3" t="s">
        <v>1565</v>
      </c>
      <c r="C534" s="3" t="s">
        <v>497</v>
      </c>
      <c r="D534" s="7" t="n">
        <v>-0.53</v>
      </c>
      <c r="E534" s="3" t="s">
        <v>498</v>
      </c>
      <c r="F534" s="8" t="n">
        <v>45652</v>
      </c>
      <c r="G534" s="9" t="n">
        <v>45657.6683024252</v>
      </c>
      <c r="H534" s="3" t="n">
        <v>78.04</v>
      </c>
      <c r="I534" s="3" t="str">
        <f aca="false">IF(G534="","OPEN","RESOLVED")</f>
        <v>RESOLVED</v>
      </c>
      <c r="J534" s="3" t="n">
        <f aca="false">IF(C534="TIMING_MISMATCH_TIMEZONE",1,IF(ABS(D534)&gt;5000,4,IF(C534="FEE_VARIANCE_BREACH",120,IF(LEFT(C534,8)="ORPHANED",48,24))))</f>
        <v>120</v>
      </c>
      <c r="K534" s="3" t="str">
        <f aca="false">IF(H534="","",IF(H534&gt;J534,"BREACH","OK"))</f>
        <v>OK</v>
      </c>
    </row>
    <row r="535" customFormat="false" ht="15" hidden="false" customHeight="false" outlineLevel="0" collapsed="false">
      <c r="A535" s="3" t="s">
        <v>1566</v>
      </c>
      <c r="B535" s="3" t="s">
        <v>1567</v>
      </c>
      <c r="C535" s="3" t="s">
        <v>531</v>
      </c>
      <c r="D535" s="7" t="n">
        <v>0</v>
      </c>
      <c r="E535" s="3" t="s">
        <v>512</v>
      </c>
      <c r="F535" s="8" t="n">
        <v>45652</v>
      </c>
      <c r="G535" s="9" t="n">
        <v>45652.4306194251</v>
      </c>
      <c r="H535" s="3" t="n">
        <v>0.33</v>
      </c>
      <c r="I535" s="3" t="str">
        <f aca="false">IF(G535="","OPEN","RESOLVED")</f>
        <v>RESOLVED</v>
      </c>
      <c r="J535" s="3" t="n">
        <f aca="false">IF(C535="TIMING_MISMATCH_TIMEZONE",1,IF(ABS(D535)&gt;5000,4,IF(C535="FEE_VARIANCE_BREACH",120,IF(LEFT(C535,8)="ORPHANED",48,24))))</f>
        <v>1</v>
      </c>
      <c r="K535" s="3" t="str">
        <f aca="false">IF(H535="","",IF(H535&gt;J535,"BREACH","OK"))</f>
        <v>OK</v>
      </c>
    </row>
    <row r="536" customFormat="false" ht="15" hidden="false" customHeight="false" outlineLevel="0" collapsed="false">
      <c r="A536" s="3" t="s">
        <v>1568</v>
      </c>
      <c r="B536" s="3" t="s">
        <v>1569</v>
      </c>
      <c r="C536" s="3" t="s">
        <v>531</v>
      </c>
      <c r="D536" s="7" t="n">
        <v>0</v>
      </c>
      <c r="E536" s="3" t="s">
        <v>512</v>
      </c>
      <c r="F536" s="8" t="n">
        <v>45652</v>
      </c>
      <c r="G536" s="9" t="n">
        <v>45652.4268939888</v>
      </c>
      <c r="H536" s="3" t="n">
        <v>0.25</v>
      </c>
      <c r="I536" s="3" t="str">
        <f aca="false">IF(G536="","OPEN","RESOLVED")</f>
        <v>RESOLVED</v>
      </c>
      <c r="J536" s="3" t="n">
        <f aca="false">IF(C536="TIMING_MISMATCH_TIMEZONE",1,IF(ABS(D536)&gt;5000,4,IF(C536="FEE_VARIANCE_BREACH",120,IF(LEFT(C536,8)="ORPHANED",48,24))))</f>
        <v>1</v>
      </c>
      <c r="K536" s="3" t="str">
        <f aca="false">IF(H536="","",IF(H536&gt;J536,"BREACH","OK"))</f>
        <v>OK</v>
      </c>
    </row>
    <row r="537" customFormat="false" ht="15" hidden="false" customHeight="false" outlineLevel="0" collapsed="false">
      <c r="A537" s="3" t="s">
        <v>1570</v>
      </c>
      <c r="B537" s="3" t="s">
        <v>1571</v>
      </c>
      <c r="C537" s="3" t="s">
        <v>511</v>
      </c>
      <c r="D537" s="7" t="n">
        <v>749.22</v>
      </c>
      <c r="E537" s="3" t="s">
        <v>512</v>
      </c>
      <c r="F537" s="8" t="n">
        <v>45652</v>
      </c>
      <c r="G537" s="9" t="n">
        <v>45653.5881764388</v>
      </c>
      <c r="H537" s="3" t="n">
        <v>28.12</v>
      </c>
      <c r="I537" s="3" t="str">
        <f aca="false">IF(G537="","OPEN","RESOLVED")</f>
        <v>RESOLVED</v>
      </c>
      <c r="J537" s="3" t="n">
        <f aca="false">IF(C537="TIMING_MISMATCH_TIMEZONE",1,IF(ABS(D537)&gt;5000,4,IF(C537="FEE_VARIANCE_BREACH",120,IF(LEFT(C537,8)="ORPHANED",48,24))))</f>
        <v>48</v>
      </c>
      <c r="K537" s="3" t="str">
        <f aca="false">IF(H537="","",IF(H537&gt;J537,"BREACH","OK"))</f>
        <v>OK</v>
      </c>
    </row>
    <row r="538" customFormat="false" ht="15" hidden="false" customHeight="false" outlineLevel="0" collapsed="false">
      <c r="A538" s="3" t="s">
        <v>1572</v>
      </c>
      <c r="B538" s="3" t="s">
        <v>1573</v>
      </c>
      <c r="C538" s="3" t="s">
        <v>531</v>
      </c>
      <c r="D538" s="7" t="n">
        <v>0</v>
      </c>
      <c r="E538" s="3" t="s">
        <v>512</v>
      </c>
      <c r="F538" s="8" t="n">
        <v>45652</v>
      </c>
      <c r="G538" s="9" t="n">
        <v>45652.41875</v>
      </c>
      <c r="H538" s="3" t="n">
        <v>0.05</v>
      </c>
      <c r="I538" s="3" t="str">
        <f aca="false">IF(G538="","OPEN","RESOLVED")</f>
        <v>RESOLVED</v>
      </c>
      <c r="J538" s="3" t="n">
        <f aca="false">IF(C538="TIMING_MISMATCH_TIMEZONE",1,IF(ABS(D538)&gt;5000,4,IF(C538="FEE_VARIANCE_BREACH",120,IF(LEFT(C538,8)="ORPHANED",48,24))))</f>
        <v>1</v>
      </c>
      <c r="K538" s="3" t="str">
        <f aca="false">IF(H538="","",IF(H538&gt;J538,"BREACH","OK"))</f>
        <v>OK</v>
      </c>
    </row>
    <row r="539" customFormat="false" ht="15" hidden="false" customHeight="false" outlineLevel="0" collapsed="false">
      <c r="A539" s="3" t="s">
        <v>1574</v>
      </c>
      <c r="B539" s="3" t="s">
        <v>1575</v>
      </c>
      <c r="C539" s="3" t="s">
        <v>531</v>
      </c>
      <c r="D539" s="7" t="n">
        <v>0</v>
      </c>
      <c r="E539" s="3" t="s">
        <v>512</v>
      </c>
      <c r="F539" s="8" t="n">
        <v>45652</v>
      </c>
      <c r="G539" s="9" t="n">
        <v>45652.4271906932</v>
      </c>
      <c r="H539" s="3" t="n">
        <v>0.25</v>
      </c>
      <c r="I539" s="3" t="str">
        <f aca="false">IF(G539="","OPEN","RESOLVED")</f>
        <v>RESOLVED</v>
      </c>
      <c r="J539" s="3" t="n">
        <f aca="false">IF(C539="TIMING_MISMATCH_TIMEZONE",1,IF(ABS(D539)&gt;5000,4,IF(C539="FEE_VARIANCE_BREACH",120,IF(LEFT(C539,8)="ORPHANED",48,24))))</f>
        <v>1</v>
      </c>
      <c r="K539" s="3" t="str">
        <f aca="false">IF(H539="","",IF(H539&gt;J539,"BREACH","OK"))</f>
        <v>OK</v>
      </c>
    </row>
    <row r="540" customFormat="false" ht="15" hidden="false" customHeight="false" outlineLevel="0" collapsed="false">
      <c r="A540" s="3" t="s">
        <v>1576</v>
      </c>
      <c r="B540" s="3" t="s">
        <v>1577</v>
      </c>
      <c r="C540" s="3" t="s">
        <v>531</v>
      </c>
      <c r="D540" s="7" t="n">
        <v>0</v>
      </c>
      <c r="E540" s="3" t="s">
        <v>512</v>
      </c>
      <c r="F540" s="8" t="n">
        <v>45652</v>
      </c>
      <c r="G540" s="9" t="n">
        <v>45652.4281447922</v>
      </c>
      <c r="H540" s="3" t="n">
        <v>0.28</v>
      </c>
      <c r="I540" s="3" t="str">
        <f aca="false">IF(G540="","OPEN","RESOLVED")</f>
        <v>RESOLVED</v>
      </c>
      <c r="J540" s="3" t="n">
        <f aca="false">IF(C540="TIMING_MISMATCH_TIMEZONE",1,IF(ABS(D540)&gt;5000,4,IF(C540="FEE_VARIANCE_BREACH",120,IF(LEFT(C540,8)="ORPHANED",48,24))))</f>
        <v>1</v>
      </c>
      <c r="K540" s="3" t="str">
        <f aca="false">IF(H540="","",IF(H540&gt;J540,"BREACH","OK"))</f>
        <v>OK</v>
      </c>
    </row>
    <row r="541" customFormat="false" ht="15" hidden="false" customHeight="false" outlineLevel="0" collapsed="false">
      <c r="A541" s="3" t="s">
        <v>1578</v>
      </c>
      <c r="B541" s="3" t="s">
        <v>1579</v>
      </c>
      <c r="C541" s="3" t="s">
        <v>503</v>
      </c>
      <c r="D541" s="7" t="n">
        <v>-187.68</v>
      </c>
      <c r="E541" s="3" t="s">
        <v>504</v>
      </c>
      <c r="F541" s="8" t="n">
        <v>45652</v>
      </c>
      <c r="G541" s="9" t="n">
        <v>45656.2567455838</v>
      </c>
      <c r="H541" s="3" t="n">
        <v>44.16</v>
      </c>
      <c r="I541" s="3" t="str">
        <f aca="false">IF(G541="","OPEN","RESOLVED")</f>
        <v>RESOLVED</v>
      </c>
      <c r="J541" s="3" t="n">
        <f aca="false">IF(C541="TIMING_MISMATCH_TIMEZONE",1,IF(ABS(D541)&gt;5000,4,IF(C541="FEE_VARIANCE_BREACH",120,IF(LEFT(C541,8)="ORPHANED",48,24))))</f>
        <v>48</v>
      </c>
      <c r="K541" s="3" t="str">
        <f aca="false">IF(H541="","",IF(H541&gt;J541,"BREACH","OK"))</f>
        <v>OK</v>
      </c>
    </row>
    <row r="542" customFormat="false" ht="15" hidden="false" customHeight="false" outlineLevel="0" collapsed="false">
      <c r="A542" s="3" t="s">
        <v>1580</v>
      </c>
      <c r="B542" s="3" t="s">
        <v>1581</v>
      </c>
      <c r="C542" s="3" t="s">
        <v>531</v>
      </c>
      <c r="D542" s="7" t="n">
        <v>0</v>
      </c>
      <c r="E542" s="3" t="s">
        <v>512</v>
      </c>
      <c r="F542" s="8" t="n">
        <v>45652</v>
      </c>
      <c r="G542" s="9" t="n">
        <v>45652.4257493469</v>
      </c>
      <c r="H542" s="3" t="n">
        <v>0.22</v>
      </c>
      <c r="I542" s="3" t="str">
        <f aca="false">IF(G542="","OPEN","RESOLVED")</f>
        <v>RESOLVED</v>
      </c>
      <c r="J542" s="3" t="n">
        <f aca="false">IF(C542="TIMING_MISMATCH_TIMEZONE",1,IF(ABS(D542)&gt;5000,4,IF(C542="FEE_VARIANCE_BREACH",120,IF(LEFT(C542,8)="ORPHANED",48,24))))</f>
        <v>1</v>
      </c>
      <c r="K542" s="3" t="str">
        <f aca="false">IF(H542="","",IF(H542&gt;J542,"BREACH","OK"))</f>
        <v>OK</v>
      </c>
    </row>
    <row r="543" customFormat="false" ht="15" hidden="false" customHeight="false" outlineLevel="0" collapsed="false">
      <c r="A543" s="3" t="s">
        <v>1582</v>
      </c>
      <c r="B543" s="3" t="s">
        <v>1583</v>
      </c>
      <c r="C543" s="3" t="s">
        <v>531</v>
      </c>
      <c r="D543" s="7" t="n">
        <v>0</v>
      </c>
      <c r="E543" s="3" t="s">
        <v>512</v>
      </c>
      <c r="F543" s="8" t="n">
        <v>45652</v>
      </c>
      <c r="G543" s="9" t="n">
        <v>45652.4235802892</v>
      </c>
      <c r="H543" s="3" t="n">
        <v>0.17</v>
      </c>
      <c r="I543" s="3" t="str">
        <f aca="false">IF(G543="","OPEN","RESOLVED")</f>
        <v>RESOLVED</v>
      </c>
      <c r="J543" s="3" t="n">
        <f aca="false">IF(C543="TIMING_MISMATCH_TIMEZONE",1,IF(ABS(D543)&gt;5000,4,IF(C543="FEE_VARIANCE_BREACH",120,IF(LEFT(C543,8)="ORPHANED",48,24))))</f>
        <v>1</v>
      </c>
      <c r="K543" s="3" t="str">
        <f aca="false">IF(H543="","",IF(H543&gt;J543,"BREACH","OK"))</f>
        <v>OK</v>
      </c>
    </row>
    <row r="544" customFormat="false" ht="15" hidden="false" customHeight="false" outlineLevel="0" collapsed="false">
      <c r="A544" s="3" t="s">
        <v>1584</v>
      </c>
      <c r="B544" s="3" t="s">
        <v>1585</v>
      </c>
      <c r="C544" s="3" t="s">
        <v>497</v>
      </c>
      <c r="D544" s="7" t="n">
        <v>-2.2</v>
      </c>
      <c r="E544" s="3" t="s">
        <v>498</v>
      </c>
      <c r="F544" s="8" t="n">
        <v>45652</v>
      </c>
      <c r="G544" s="9" t="n">
        <v>45656.0186890067</v>
      </c>
      <c r="H544" s="3" t="n">
        <v>38.45</v>
      </c>
      <c r="I544" s="3" t="str">
        <f aca="false">IF(G544="","OPEN","RESOLVED")</f>
        <v>RESOLVED</v>
      </c>
      <c r="J544" s="3" t="n">
        <f aca="false">IF(C544="TIMING_MISMATCH_TIMEZONE",1,IF(ABS(D544)&gt;5000,4,IF(C544="FEE_VARIANCE_BREACH",120,IF(LEFT(C544,8)="ORPHANED",48,24))))</f>
        <v>120</v>
      </c>
      <c r="K544" s="3" t="str">
        <f aca="false">IF(H544="","",IF(H544&gt;J544,"BREACH","OK"))</f>
        <v>OK</v>
      </c>
    </row>
    <row r="545" customFormat="false" ht="15" hidden="false" customHeight="false" outlineLevel="0" collapsed="false">
      <c r="A545" s="3" t="s">
        <v>1586</v>
      </c>
      <c r="B545" s="3" t="s">
        <v>1587</v>
      </c>
      <c r="C545" s="3" t="s">
        <v>531</v>
      </c>
      <c r="D545" s="7" t="n">
        <v>0</v>
      </c>
      <c r="E545" s="3" t="s">
        <v>512</v>
      </c>
      <c r="F545" s="8" t="n">
        <v>45652</v>
      </c>
      <c r="G545" s="9" t="n">
        <v>45652.4244642774</v>
      </c>
      <c r="H545" s="3" t="n">
        <v>0.19</v>
      </c>
      <c r="I545" s="3" t="str">
        <f aca="false">IF(G545="","OPEN","RESOLVED")</f>
        <v>RESOLVED</v>
      </c>
      <c r="J545" s="3" t="n">
        <f aca="false">IF(C545="TIMING_MISMATCH_TIMEZONE",1,IF(ABS(D545)&gt;5000,4,IF(C545="FEE_VARIANCE_BREACH",120,IF(LEFT(C545,8)="ORPHANED",48,24))))</f>
        <v>1</v>
      </c>
      <c r="K545" s="3" t="str">
        <f aca="false">IF(H545="","",IF(H545&gt;J545,"BREACH","OK"))</f>
        <v>OK</v>
      </c>
    </row>
    <row r="546" customFormat="false" ht="15" hidden="false" customHeight="false" outlineLevel="0" collapsed="false">
      <c r="A546" s="3" t="s">
        <v>1588</v>
      </c>
      <c r="B546" s="3" t="s">
        <v>1589</v>
      </c>
      <c r="C546" s="3" t="s">
        <v>497</v>
      </c>
      <c r="D546" s="7" t="n">
        <v>-0.65</v>
      </c>
      <c r="E546" s="3" t="s">
        <v>498</v>
      </c>
      <c r="F546" s="8" t="n">
        <v>45652</v>
      </c>
      <c r="G546" s="9" t="n">
        <v>45656.8281610797</v>
      </c>
      <c r="H546" s="3" t="n">
        <v>57.88</v>
      </c>
      <c r="I546" s="3" t="str">
        <f aca="false">IF(G546="","OPEN","RESOLVED")</f>
        <v>RESOLVED</v>
      </c>
      <c r="J546" s="3" t="n">
        <f aca="false">IF(C546="TIMING_MISMATCH_TIMEZONE",1,IF(ABS(D546)&gt;5000,4,IF(C546="FEE_VARIANCE_BREACH",120,IF(LEFT(C546,8)="ORPHANED",48,24))))</f>
        <v>120</v>
      </c>
      <c r="K546" s="3" t="str">
        <f aca="false">IF(H546="","",IF(H546&gt;J546,"BREACH","OK"))</f>
        <v>OK</v>
      </c>
    </row>
    <row r="547" customFormat="false" ht="15" hidden="false" customHeight="false" outlineLevel="0" collapsed="false">
      <c r="A547" s="3" t="s">
        <v>1590</v>
      </c>
      <c r="B547" s="3" t="s">
        <v>1591</v>
      </c>
      <c r="C547" s="3" t="s">
        <v>531</v>
      </c>
      <c r="D547" s="7" t="n">
        <v>0</v>
      </c>
      <c r="E547" s="3" t="s">
        <v>512</v>
      </c>
      <c r="F547" s="8" t="n">
        <v>45652</v>
      </c>
      <c r="G547" s="9" t="n">
        <v>45652.4277872863</v>
      </c>
      <c r="H547" s="3" t="n">
        <v>0.27</v>
      </c>
      <c r="I547" s="3" t="str">
        <f aca="false">IF(G547="","OPEN","RESOLVED")</f>
        <v>RESOLVED</v>
      </c>
      <c r="J547" s="3" t="n">
        <f aca="false">IF(C547="TIMING_MISMATCH_TIMEZONE",1,IF(ABS(D547)&gt;5000,4,IF(C547="FEE_VARIANCE_BREACH",120,IF(LEFT(C547,8)="ORPHANED",48,24))))</f>
        <v>1</v>
      </c>
      <c r="K547" s="3" t="str">
        <f aca="false">IF(H547="","",IF(H547&gt;J547,"BREACH","OK"))</f>
        <v>OK</v>
      </c>
    </row>
    <row r="548" customFormat="false" ht="15" hidden="false" customHeight="false" outlineLevel="0" collapsed="false">
      <c r="A548" s="3" t="s">
        <v>1592</v>
      </c>
      <c r="B548" s="3" t="s">
        <v>1593</v>
      </c>
      <c r="C548" s="3" t="s">
        <v>517</v>
      </c>
      <c r="D548" s="7" t="n">
        <v>-12</v>
      </c>
      <c r="E548" s="3" t="s">
        <v>518</v>
      </c>
      <c r="F548" s="8" t="n">
        <v>45652</v>
      </c>
      <c r="G548" s="9" t="n">
        <v>45656.2113193894</v>
      </c>
      <c r="H548" s="3" t="n">
        <v>43.07</v>
      </c>
      <c r="I548" s="3" t="str">
        <f aca="false">IF(G548="","OPEN","RESOLVED")</f>
        <v>RESOLVED</v>
      </c>
      <c r="J548" s="3" t="n">
        <f aca="false">IF(C548="TIMING_MISMATCH_TIMEZONE",1,IF(ABS(D548)&gt;5000,4,IF(C548="FEE_VARIANCE_BREACH",120,IF(LEFT(C548,8)="ORPHANED",48,24))))</f>
        <v>24</v>
      </c>
      <c r="K548" s="3" t="str">
        <f aca="false">IF(H548="","",IF(H548&gt;J548,"BREACH","OK"))</f>
        <v>BREACH</v>
      </c>
    </row>
    <row r="549" customFormat="false" ht="15" hidden="false" customHeight="false" outlineLevel="0" collapsed="false">
      <c r="A549" s="3" t="s">
        <v>1594</v>
      </c>
      <c r="B549" s="3" t="s">
        <v>1595</v>
      </c>
      <c r="C549" s="3" t="s">
        <v>531</v>
      </c>
      <c r="D549" s="7" t="n">
        <v>0</v>
      </c>
      <c r="E549" s="3" t="s">
        <v>512</v>
      </c>
      <c r="F549" s="8" t="n">
        <v>45652</v>
      </c>
      <c r="G549" s="9" t="n">
        <v>45652.4309025796</v>
      </c>
      <c r="H549" s="3" t="n">
        <v>0.34</v>
      </c>
      <c r="I549" s="3" t="str">
        <f aca="false">IF(G549="","OPEN","RESOLVED")</f>
        <v>RESOLVED</v>
      </c>
      <c r="J549" s="3" t="n">
        <f aca="false">IF(C549="TIMING_MISMATCH_TIMEZONE",1,IF(ABS(D549)&gt;5000,4,IF(C549="FEE_VARIANCE_BREACH",120,IF(LEFT(C549,8)="ORPHANED",48,24))))</f>
        <v>1</v>
      </c>
      <c r="K549" s="3" t="str">
        <f aca="false">IF(H549="","",IF(H549&gt;J549,"BREACH","OK"))</f>
        <v>OK</v>
      </c>
    </row>
    <row r="550" customFormat="false" ht="15" hidden="false" customHeight="false" outlineLevel="0" collapsed="false">
      <c r="A550" s="3" t="s">
        <v>1596</v>
      </c>
      <c r="B550" s="3" t="s">
        <v>1597</v>
      </c>
      <c r="C550" s="3" t="s">
        <v>531</v>
      </c>
      <c r="D550" s="7" t="n">
        <v>0</v>
      </c>
      <c r="E550" s="3" t="s">
        <v>512</v>
      </c>
      <c r="F550" s="8" t="n">
        <v>45652</v>
      </c>
      <c r="G550" s="9" t="n">
        <v>45652.4270773615</v>
      </c>
      <c r="H550" s="3" t="n">
        <v>0.25</v>
      </c>
      <c r="I550" s="3" t="str">
        <f aca="false">IF(G550="","OPEN","RESOLVED")</f>
        <v>RESOLVED</v>
      </c>
      <c r="J550" s="3" t="n">
        <f aca="false">IF(C550="TIMING_MISMATCH_TIMEZONE",1,IF(ABS(D550)&gt;5000,4,IF(C550="FEE_VARIANCE_BREACH",120,IF(LEFT(C550,8)="ORPHANED",48,24))))</f>
        <v>1</v>
      </c>
      <c r="K550" s="3" t="str">
        <f aca="false">IF(H550="","",IF(H550&gt;J550,"BREACH","OK"))</f>
        <v>OK</v>
      </c>
    </row>
    <row r="551" customFormat="false" ht="15" hidden="false" customHeight="false" outlineLevel="0" collapsed="false">
      <c r="A551" s="3" t="s">
        <v>1598</v>
      </c>
      <c r="B551" s="3" t="s">
        <v>1599</v>
      </c>
      <c r="C551" s="3" t="s">
        <v>531</v>
      </c>
      <c r="D551" s="7" t="n">
        <v>0</v>
      </c>
      <c r="E551" s="3" t="s">
        <v>512</v>
      </c>
      <c r="F551" s="8" t="n">
        <v>45652</v>
      </c>
      <c r="G551" s="9" t="n">
        <v>45652.41875</v>
      </c>
      <c r="H551" s="3" t="n">
        <v>0.05</v>
      </c>
      <c r="I551" s="3" t="str">
        <f aca="false">IF(G551="","OPEN","RESOLVED")</f>
        <v>RESOLVED</v>
      </c>
      <c r="J551" s="3" t="n">
        <f aca="false">IF(C551="TIMING_MISMATCH_TIMEZONE",1,IF(ABS(D551)&gt;5000,4,IF(C551="FEE_VARIANCE_BREACH",120,IF(LEFT(C551,8)="ORPHANED",48,24))))</f>
        <v>1</v>
      </c>
      <c r="K551" s="3" t="str">
        <f aca="false">IF(H551="","",IF(H551&gt;J551,"BREACH","OK"))</f>
        <v>OK</v>
      </c>
    </row>
    <row r="552" customFormat="false" ht="15" hidden="false" customHeight="false" outlineLevel="0" collapsed="false">
      <c r="A552" s="3" t="s">
        <v>1600</v>
      </c>
      <c r="B552" s="3" t="s">
        <v>1601</v>
      </c>
      <c r="C552" s="3" t="s">
        <v>497</v>
      </c>
      <c r="D552" s="7" t="n">
        <v>-1.42</v>
      </c>
      <c r="E552" s="3" t="s">
        <v>498</v>
      </c>
      <c r="F552" s="8" t="n">
        <v>45652</v>
      </c>
      <c r="G552" s="9" t="n">
        <v>45660.6568506609</v>
      </c>
      <c r="H552" s="3" t="n">
        <v>149.76</v>
      </c>
      <c r="I552" s="3" t="str">
        <f aca="false">IF(G552="","OPEN","RESOLVED")</f>
        <v>RESOLVED</v>
      </c>
      <c r="J552" s="3" t="n">
        <f aca="false">IF(C552="TIMING_MISMATCH_TIMEZONE",1,IF(ABS(D552)&gt;5000,4,IF(C552="FEE_VARIANCE_BREACH",120,IF(LEFT(C552,8)="ORPHANED",48,24))))</f>
        <v>120</v>
      </c>
      <c r="K552" s="3" t="str">
        <f aca="false">IF(H552="","",IF(H552&gt;J552,"BREACH","OK"))</f>
        <v>BREACH</v>
      </c>
    </row>
    <row r="553" customFormat="false" ht="15" hidden="false" customHeight="false" outlineLevel="0" collapsed="false">
      <c r="A553" s="3" t="s">
        <v>1602</v>
      </c>
      <c r="B553" s="3" t="s">
        <v>1603</v>
      </c>
      <c r="C553" s="3" t="s">
        <v>503</v>
      </c>
      <c r="D553" s="7" t="n">
        <v>-474.35</v>
      </c>
      <c r="E553" s="3" t="s">
        <v>504</v>
      </c>
      <c r="F553" s="8" t="n">
        <v>45652</v>
      </c>
      <c r="G553" s="9" t="n">
        <v>45656.6260293732</v>
      </c>
      <c r="H553" s="3" t="n">
        <v>53.02</v>
      </c>
      <c r="I553" s="3" t="str">
        <f aca="false">IF(G553="","OPEN","RESOLVED")</f>
        <v>RESOLVED</v>
      </c>
      <c r="J553" s="3" t="n">
        <f aca="false">IF(C553="TIMING_MISMATCH_TIMEZONE",1,IF(ABS(D553)&gt;5000,4,IF(C553="FEE_VARIANCE_BREACH",120,IF(LEFT(C553,8)="ORPHANED",48,24))))</f>
        <v>48</v>
      </c>
      <c r="K553" s="3" t="str">
        <f aca="false">IF(H553="","",IF(H553&gt;J553,"BREACH","OK"))</f>
        <v>BREACH</v>
      </c>
    </row>
    <row r="554" customFormat="false" ht="15" hidden="false" customHeight="false" outlineLevel="0" collapsed="false">
      <c r="A554" s="3" t="s">
        <v>1604</v>
      </c>
      <c r="B554" s="3" t="s">
        <v>1605</v>
      </c>
      <c r="C554" s="3" t="s">
        <v>531</v>
      </c>
      <c r="D554" s="7" t="n">
        <v>0</v>
      </c>
      <c r="E554" s="3" t="s">
        <v>512</v>
      </c>
      <c r="F554" s="8" t="n">
        <v>45653</v>
      </c>
      <c r="G554" s="9" t="n">
        <v>45653.4223512903</v>
      </c>
      <c r="H554" s="3" t="n">
        <v>0.14</v>
      </c>
      <c r="I554" s="3" t="str">
        <f aca="false">IF(G554="","OPEN","RESOLVED")</f>
        <v>RESOLVED</v>
      </c>
      <c r="J554" s="3" t="n">
        <f aca="false">IF(C554="TIMING_MISMATCH_TIMEZONE",1,IF(ABS(D554)&gt;5000,4,IF(C554="FEE_VARIANCE_BREACH",120,IF(LEFT(C554,8)="ORPHANED",48,24))))</f>
        <v>1</v>
      </c>
      <c r="K554" s="3" t="str">
        <f aca="false">IF(H554="","",IF(H554&gt;J554,"BREACH","OK"))</f>
        <v>OK</v>
      </c>
    </row>
    <row r="555" customFormat="false" ht="15" hidden="false" customHeight="false" outlineLevel="0" collapsed="false">
      <c r="A555" s="3" t="s">
        <v>1606</v>
      </c>
      <c r="B555" s="3" t="s">
        <v>1607</v>
      </c>
      <c r="C555" s="3" t="s">
        <v>531</v>
      </c>
      <c r="D555" s="7" t="n">
        <v>0</v>
      </c>
      <c r="E555" s="3" t="s">
        <v>512</v>
      </c>
      <c r="F555" s="8" t="n">
        <v>45653</v>
      </c>
      <c r="G555" s="9" t="n">
        <v>45653.4289104942</v>
      </c>
      <c r="H555" s="3" t="n">
        <v>0.29</v>
      </c>
      <c r="I555" s="3" t="str">
        <f aca="false">IF(G555="","OPEN","RESOLVED")</f>
        <v>RESOLVED</v>
      </c>
      <c r="J555" s="3" t="n">
        <f aca="false">IF(C555="TIMING_MISMATCH_TIMEZONE",1,IF(ABS(D555)&gt;5000,4,IF(C555="FEE_VARIANCE_BREACH",120,IF(LEFT(C555,8)="ORPHANED",48,24))))</f>
        <v>1</v>
      </c>
      <c r="K555" s="3" t="str">
        <f aca="false">IF(H555="","",IF(H555&gt;J555,"BREACH","OK"))</f>
        <v>OK</v>
      </c>
    </row>
    <row r="556" customFormat="false" ht="15" hidden="false" customHeight="false" outlineLevel="0" collapsed="false">
      <c r="A556" s="3" t="s">
        <v>1608</v>
      </c>
      <c r="B556" s="3" t="s">
        <v>1609</v>
      </c>
      <c r="C556" s="3" t="s">
        <v>497</v>
      </c>
      <c r="D556" s="7" t="n">
        <v>-0.63</v>
      </c>
      <c r="E556" s="3" t="s">
        <v>498</v>
      </c>
      <c r="F556" s="8" t="n">
        <v>45653</v>
      </c>
      <c r="G556" s="9" t="n">
        <v>45659.4443259496</v>
      </c>
      <c r="H556" s="3" t="n">
        <v>96.66</v>
      </c>
      <c r="I556" s="3" t="str">
        <f aca="false">IF(G556="","OPEN","RESOLVED")</f>
        <v>RESOLVED</v>
      </c>
      <c r="J556" s="3" t="n">
        <f aca="false">IF(C556="TIMING_MISMATCH_TIMEZONE",1,IF(ABS(D556)&gt;5000,4,IF(C556="FEE_VARIANCE_BREACH",120,IF(LEFT(C556,8)="ORPHANED",48,24))))</f>
        <v>120</v>
      </c>
      <c r="K556" s="3" t="str">
        <f aca="false">IF(H556="","",IF(H556&gt;J556,"BREACH","OK"))</f>
        <v>OK</v>
      </c>
    </row>
    <row r="557" customFormat="false" ht="15" hidden="false" customHeight="false" outlineLevel="0" collapsed="false">
      <c r="A557" s="3" t="s">
        <v>1610</v>
      </c>
      <c r="B557" s="3" t="s">
        <v>1611</v>
      </c>
      <c r="C557" s="3" t="s">
        <v>531</v>
      </c>
      <c r="D557" s="7" t="n">
        <v>0</v>
      </c>
      <c r="E557" s="3" t="s">
        <v>512</v>
      </c>
      <c r="F557" s="8" t="n">
        <v>45653</v>
      </c>
      <c r="G557" s="9" t="n">
        <v>45653.4293216673</v>
      </c>
      <c r="H557" s="3" t="n">
        <v>0.3</v>
      </c>
      <c r="I557" s="3" t="str">
        <f aca="false">IF(G557="","OPEN","RESOLVED")</f>
        <v>RESOLVED</v>
      </c>
      <c r="J557" s="3" t="n">
        <f aca="false">IF(C557="TIMING_MISMATCH_TIMEZONE",1,IF(ABS(D557)&gt;5000,4,IF(C557="FEE_VARIANCE_BREACH",120,IF(LEFT(C557,8)="ORPHANED",48,24))))</f>
        <v>1</v>
      </c>
      <c r="K557" s="3" t="str">
        <f aca="false">IF(H557="","",IF(H557&gt;J557,"BREACH","OK"))</f>
        <v>OK</v>
      </c>
    </row>
    <row r="558" customFormat="false" ht="15" hidden="false" customHeight="false" outlineLevel="0" collapsed="false">
      <c r="A558" s="3" t="s">
        <v>1612</v>
      </c>
      <c r="B558" s="3" t="s">
        <v>1613</v>
      </c>
      <c r="C558" s="3" t="s">
        <v>531</v>
      </c>
      <c r="D558" s="7" t="n">
        <v>0</v>
      </c>
      <c r="E558" s="3" t="s">
        <v>512</v>
      </c>
      <c r="F558" s="8" t="n">
        <v>45653</v>
      </c>
      <c r="G558" s="9" t="n">
        <v>45653.4276162477</v>
      </c>
      <c r="H558" s="3" t="n">
        <v>0.26</v>
      </c>
      <c r="I558" s="3" t="str">
        <f aca="false">IF(G558="","OPEN","RESOLVED")</f>
        <v>RESOLVED</v>
      </c>
      <c r="J558" s="3" t="n">
        <f aca="false">IF(C558="TIMING_MISMATCH_TIMEZONE",1,IF(ABS(D558)&gt;5000,4,IF(C558="FEE_VARIANCE_BREACH",120,IF(LEFT(C558,8)="ORPHANED",48,24))))</f>
        <v>1</v>
      </c>
      <c r="K558" s="3" t="str">
        <f aca="false">IF(H558="","",IF(H558&gt;J558,"BREACH","OK"))</f>
        <v>OK</v>
      </c>
    </row>
    <row r="559" customFormat="false" ht="15" hidden="false" customHeight="false" outlineLevel="0" collapsed="false">
      <c r="A559" s="3" t="s">
        <v>1614</v>
      </c>
      <c r="B559" s="3" t="s">
        <v>1615</v>
      </c>
      <c r="C559" s="3" t="s">
        <v>511</v>
      </c>
      <c r="D559" s="7" t="n">
        <v>567.33</v>
      </c>
      <c r="E559" s="3" t="s">
        <v>512</v>
      </c>
      <c r="F559" s="8" t="n">
        <v>45653</v>
      </c>
      <c r="G559" s="9" t="n">
        <v>45657.0283722329</v>
      </c>
      <c r="H559" s="3" t="n">
        <v>38.68</v>
      </c>
      <c r="I559" s="3" t="str">
        <f aca="false">IF(G559="","OPEN","RESOLVED")</f>
        <v>RESOLVED</v>
      </c>
      <c r="J559" s="3" t="n">
        <f aca="false">IF(C559="TIMING_MISMATCH_TIMEZONE",1,IF(ABS(D559)&gt;5000,4,IF(C559="FEE_VARIANCE_BREACH",120,IF(LEFT(C559,8)="ORPHANED",48,24))))</f>
        <v>48</v>
      </c>
      <c r="K559" s="3" t="str">
        <f aca="false">IF(H559="","",IF(H559&gt;J559,"BREACH","OK"))</f>
        <v>OK</v>
      </c>
    </row>
    <row r="560" customFormat="false" ht="15" hidden="false" customHeight="false" outlineLevel="0" collapsed="false">
      <c r="A560" s="3" t="s">
        <v>1616</v>
      </c>
      <c r="B560" s="3" t="s">
        <v>1617</v>
      </c>
      <c r="C560" s="3" t="s">
        <v>497</v>
      </c>
      <c r="D560" s="7" t="n">
        <v>-6.21</v>
      </c>
      <c r="E560" s="3" t="s">
        <v>498</v>
      </c>
      <c r="F560" s="8" t="n">
        <v>45653</v>
      </c>
      <c r="G560" s="9" t="n">
        <v>45658.7801616631</v>
      </c>
      <c r="H560" s="3" t="n">
        <v>80.72</v>
      </c>
      <c r="I560" s="3" t="str">
        <f aca="false">IF(G560="","OPEN","RESOLVED")</f>
        <v>RESOLVED</v>
      </c>
      <c r="J560" s="3" t="n">
        <f aca="false">IF(C560="TIMING_MISMATCH_TIMEZONE",1,IF(ABS(D560)&gt;5000,4,IF(C560="FEE_VARIANCE_BREACH",120,IF(LEFT(C560,8)="ORPHANED",48,24))))</f>
        <v>120</v>
      </c>
      <c r="K560" s="3" t="str">
        <f aca="false">IF(H560="","",IF(H560&gt;J560,"BREACH","OK"))</f>
        <v>OK</v>
      </c>
    </row>
    <row r="561" customFormat="false" ht="15" hidden="false" customHeight="false" outlineLevel="0" collapsed="false">
      <c r="A561" s="3" t="s">
        <v>1618</v>
      </c>
      <c r="B561" s="3" t="s">
        <v>1619</v>
      </c>
      <c r="C561" s="3" t="s">
        <v>531</v>
      </c>
      <c r="D561" s="7" t="n">
        <v>0</v>
      </c>
      <c r="E561" s="3" t="s">
        <v>512</v>
      </c>
      <c r="F561" s="8" t="n">
        <v>45653</v>
      </c>
      <c r="G561" s="9" t="n">
        <v>45653.4278680676</v>
      </c>
      <c r="H561" s="3" t="n">
        <v>0.27</v>
      </c>
      <c r="I561" s="3" t="str">
        <f aca="false">IF(G561="","OPEN","RESOLVED")</f>
        <v>RESOLVED</v>
      </c>
      <c r="J561" s="3" t="n">
        <f aca="false">IF(C561="TIMING_MISMATCH_TIMEZONE",1,IF(ABS(D561)&gt;5000,4,IF(C561="FEE_VARIANCE_BREACH",120,IF(LEFT(C561,8)="ORPHANED",48,24))))</f>
        <v>1</v>
      </c>
      <c r="K561" s="3" t="str">
        <f aca="false">IF(H561="","",IF(H561&gt;J561,"BREACH","OK"))</f>
        <v>OK</v>
      </c>
    </row>
    <row r="562" customFormat="false" ht="15" hidden="false" customHeight="false" outlineLevel="0" collapsed="false">
      <c r="A562" s="3" t="s">
        <v>1620</v>
      </c>
      <c r="B562" s="3" t="s">
        <v>1621</v>
      </c>
      <c r="C562" s="3" t="s">
        <v>531</v>
      </c>
      <c r="D562" s="7" t="n">
        <v>0</v>
      </c>
      <c r="E562" s="3" t="s">
        <v>512</v>
      </c>
      <c r="F562" s="8" t="n">
        <v>45653</v>
      </c>
      <c r="G562" s="9" t="n">
        <v>45653.4204656924</v>
      </c>
      <c r="H562" s="3" t="n">
        <v>0.09</v>
      </c>
      <c r="I562" s="3" t="str">
        <f aca="false">IF(G562="","OPEN","RESOLVED")</f>
        <v>RESOLVED</v>
      </c>
      <c r="J562" s="3" t="n">
        <f aca="false">IF(C562="TIMING_MISMATCH_TIMEZONE",1,IF(ABS(D562)&gt;5000,4,IF(C562="FEE_VARIANCE_BREACH",120,IF(LEFT(C562,8)="ORPHANED",48,24))))</f>
        <v>1</v>
      </c>
      <c r="K562" s="3" t="str">
        <f aca="false">IF(H562="","",IF(H562&gt;J562,"BREACH","OK"))</f>
        <v>OK</v>
      </c>
    </row>
    <row r="563" customFormat="false" ht="15" hidden="false" customHeight="false" outlineLevel="0" collapsed="false">
      <c r="A563" s="3" t="s">
        <v>1622</v>
      </c>
      <c r="B563" s="3" t="s">
        <v>1623</v>
      </c>
      <c r="C563" s="3" t="s">
        <v>497</v>
      </c>
      <c r="D563" s="7" t="n">
        <v>-7.76</v>
      </c>
      <c r="E563" s="3" t="s">
        <v>498</v>
      </c>
      <c r="F563" s="8" t="n">
        <v>45653</v>
      </c>
      <c r="G563" s="9" t="n">
        <v>45657.2176523039</v>
      </c>
      <c r="H563" s="3" t="n">
        <v>43.22</v>
      </c>
      <c r="I563" s="3" t="str">
        <f aca="false">IF(G563="","OPEN","RESOLVED")</f>
        <v>RESOLVED</v>
      </c>
      <c r="J563" s="3" t="n">
        <f aca="false">IF(C563="TIMING_MISMATCH_TIMEZONE",1,IF(ABS(D563)&gt;5000,4,IF(C563="FEE_VARIANCE_BREACH",120,IF(LEFT(C563,8)="ORPHANED",48,24))))</f>
        <v>120</v>
      </c>
      <c r="K563" s="3" t="str">
        <f aca="false">IF(H563="","",IF(H563&gt;J563,"BREACH","OK"))</f>
        <v>OK</v>
      </c>
    </row>
    <row r="564" customFormat="false" ht="15" hidden="false" customHeight="false" outlineLevel="0" collapsed="false">
      <c r="A564" s="3" t="s">
        <v>1624</v>
      </c>
      <c r="B564" s="3" t="s">
        <v>1625</v>
      </c>
      <c r="C564" s="3" t="s">
        <v>497</v>
      </c>
      <c r="D564" s="7" t="n">
        <v>-1.44</v>
      </c>
      <c r="E564" s="3" t="s">
        <v>498</v>
      </c>
      <c r="F564" s="8" t="n">
        <v>45653</v>
      </c>
      <c r="G564" s="9" t="n">
        <v>45658.6631001948</v>
      </c>
      <c r="H564" s="3" t="n">
        <v>77.91</v>
      </c>
      <c r="I564" s="3" t="str">
        <f aca="false">IF(G564="","OPEN","RESOLVED")</f>
        <v>RESOLVED</v>
      </c>
      <c r="J564" s="3" t="n">
        <f aca="false">IF(C564="TIMING_MISMATCH_TIMEZONE",1,IF(ABS(D564)&gt;5000,4,IF(C564="FEE_VARIANCE_BREACH",120,IF(LEFT(C564,8)="ORPHANED",48,24))))</f>
        <v>120</v>
      </c>
      <c r="K564" s="3" t="str">
        <f aca="false">IF(H564="","",IF(H564&gt;J564,"BREACH","OK"))</f>
        <v>OK</v>
      </c>
    </row>
    <row r="565" customFormat="false" ht="15" hidden="false" customHeight="false" outlineLevel="0" collapsed="false">
      <c r="A565" s="3" t="s">
        <v>1626</v>
      </c>
      <c r="B565" s="3" t="s">
        <v>1627</v>
      </c>
      <c r="C565" s="3" t="s">
        <v>531</v>
      </c>
      <c r="D565" s="7" t="n">
        <v>0</v>
      </c>
      <c r="E565" s="3" t="s">
        <v>512</v>
      </c>
      <c r="F565" s="8" t="n">
        <v>45653</v>
      </c>
      <c r="G565" s="9" t="n">
        <v>45653.4278576478</v>
      </c>
      <c r="H565" s="3" t="n">
        <v>0.27</v>
      </c>
      <c r="I565" s="3" t="str">
        <f aca="false">IF(G565="","OPEN","RESOLVED")</f>
        <v>RESOLVED</v>
      </c>
      <c r="J565" s="3" t="n">
        <f aca="false">IF(C565="TIMING_MISMATCH_TIMEZONE",1,IF(ABS(D565)&gt;5000,4,IF(C565="FEE_VARIANCE_BREACH",120,IF(LEFT(C565,8)="ORPHANED",48,24))))</f>
        <v>1</v>
      </c>
      <c r="K565" s="3" t="str">
        <f aca="false">IF(H565="","",IF(H565&gt;J565,"BREACH","OK"))</f>
        <v>OK</v>
      </c>
    </row>
    <row r="566" customFormat="false" ht="15" hidden="false" customHeight="false" outlineLevel="0" collapsed="false">
      <c r="A566" s="3" t="s">
        <v>1628</v>
      </c>
      <c r="B566" s="3" t="s">
        <v>1629</v>
      </c>
      <c r="C566" s="3" t="s">
        <v>511</v>
      </c>
      <c r="D566" s="7" t="n">
        <v>37.84</v>
      </c>
      <c r="E566" s="3" t="s">
        <v>512</v>
      </c>
      <c r="F566" s="8" t="n">
        <v>45653</v>
      </c>
      <c r="G566" s="9" t="n">
        <v>45656.9112412724</v>
      </c>
      <c r="H566" s="3" t="n">
        <v>35.87</v>
      </c>
      <c r="I566" s="3" t="str">
        <f aca="false">IF(G566="","OPEN","RESOLVED")</f>
        <v>RESOLVED</v>
      </c>
      <c r="J566" s="3" t="n">
        <f aca="false">IF(C566="TIMING_MISMATCH_TIMEZONE",1,IF(ABS(D566)&gt;5000,4,IF(C566="FEE_VARIANCE_BREACH",120,IF(LEFT(C566,8)="ORPHANED",48,24))))</f>
        <v>48</v>
      </c>
      <c r="K566" s="3" t="str">
        <f aca="false">IF(H566="","",IF(H566&gt;J566,"BREACH","OK"))</f>
        <v>OK</v>
      </c>
    </row>
    <row r="567" customFormat="false" ht="15" hidden="false" customHeight="false" outlineLevel="0" collapsed="false">
      <c r="A567" s="3" t="s">
        <v>1630</v>
      </c>
      <c r="B567" s="3" t="s">
        <v>1631</v>
      </c>
      <c r="C567" s="3" t="s">
        <v>531</v>
      </c>
      <c r="D567" s="7" t="n">
        <v>0</v>
      </c>
      <c r="E567" s="3" t="s">
        <v>512</v>
      </c>
      <c r="F567" s="8" t="n">
        <v>45653</v>
      </c>
      <c r="G567" s="9" t="n">
        <v>45653.4233824065</v>
      </c>
      <c r="H567" s="3" t="n">
        <v>0.16</v>
      </c>
      <c r="I567" s="3" t="str">
        <f aca="false">IF(G567="","OPEN","RESOLVED")</f>
        <v>RESOLVED</v>
      </c>
      <c r="J567" s="3" t="n">
        <f aca="false">IF(C567="TIMING_MISMATCH_TIMEZONE",1,IF(ABS(D567)&gt;5000,4,IF(C567="FEE_VARIANCE_BREACH",120,IF(LEFT(C567,8)="ORPHANED",48,24))))</f>
        <v>1</v>
      </c>
      <c r="K567" s="3" t="str">
        <f aca="false">IF(H567="","",IF(H567&gt;J567,"BREACH","OK"))</f>
        <v>OK</v>
      </c>
    </row>
    <row r="568" customFormat="false" ht="15" hidden="false" customHeight="false" outlineLevel="0" collapsed="false">
      <c r="A568" s="3" t="s">
        <v>1632</v>
      </c>
      <c r="B568" s="3" t="s">
        <v>1633</v>
      </c>
      <c r="C568" s="3" t="s">
        <v>531</v>
      </c>
      <c r="D568" s="7" t="n">
        <v>0</v>
      </c>
      <c r="E568" s="3" t="s">
        <v>512</v>
      </c>
      <c r="F568" s="8" t="n">
        <v>45653</v>
      </c>
      <c r="G568" s="9" t="n">
        <v>45653.423617733</v>
      </c>
      <c r="H568" s="3" t="n">
        <v>0.17</v>
      </c>
      <c r="I568" s="3" t="str">
        <f aca="false">IF(G568="","OPEN","RESOLVED")</f>
        <v>RESOLVED</v>
      </c>
      <c r="J568" s="3" t="n">
        <f aca="false">IF(C568="TIMING_MISMATCH_TIMEZONE",1,IF(ABS(D568)&gt;5000,4,IF(C568="FEE_VARIANCE_BREACH",120,IF(LEFT(C568,8)="ORPHANED",48,24))))</f>
        <v>1</v>
      </c>
      <c r="K568" s="3" t="str">
        <f aca="false">IF(H568="","",IF(H568&gt;J568,"BREACH","OK"))</f>
        <v>OK</v>
      </c>
    </row>
    <row r="569" customFormat="false" ht="15" hidden="false" customHeight="false" outlineLevel="0" collapsed="false">
      <c r="A569" s="3" t="s">
        <v>1634</v>
      </c>
      <c r="B569" s="3" t="s">
        <v>1635</v>
      </c>
      <c r="C569" s="3" t="s">
        <v>497</v>
      </c>
      <c r="D569" s="7" t="n">
        <v>-1.16</v>
      </c>
      <c r="E569" s="3" t="s">
        <v>498</v>
      </c>
      <c r="F569" s="8" t="n">
        <v>45653</v>
      </c>
      <c r="G569" s="9" t="n">
        <v>45657.8110240197</v>
      </c>
      <c r="H569" s="3" t="n">
        <v>57.46</v>
      </c>
      <c r="I569" s="3" t="str">
        <f aca="false">IF(G569="","OPEN","RESOLVED")</f>
        <v>RESOLVED</v>
      </c>
      <c r="J569" s="3" t="n">
        <f aca="false">IF(C569="TIMING_MISMATCH_TIMEZONE",1,IF(ABS(D569)&gt;5000,4,IF(C569="FEE_VARIANCE_BREACH",120,IF(LEFT(C569,8)="ORPHANED",48,24))))</f>
        <v>120</v>
      </c>
      <c r="K569" s="3" t="str">
        <f aca="false">IF(H569="","",IF(H569&gt;J569,"BREACH","OK"))</f>
        <v>OK</v>
      </c>
    </row>
    <row r="570" customFormat="false" ht="15" hidden="false" customHeight="false" outlineLevel="0" collapsed="false">
      <c r="A570" s="3" t="s">
        <v>1636</v>
      </c>
      <c r="B570" s="3" t="s">
        <v>1637</v>
      </c>
      <c r="C570" s="3" t="s">
        <v>511</v>
      </c>
      <c r="D570" s="7" t="n">
        <v>414</v>
      </c>
      <c r="E570" s="3" t="s">
        <v>512</v>
      </c>
      <c r="F570" s="8" t="n">
        <v>45653</v>
      </c>
      <c r="G570" s="9" t="n">
        <v>45657.3574247077</v>
      </c>
      <c r="H570" s="3" t="n">
        <v>46.58</v>
      </c>
      <c r="I570" s="3" t="str">
        <f aca="false">IF(G570="","OPEN","RESOLVED")</f>
        <v>RESOLVED</v>
      </c>
      <c r="J570" s="3" t="n">
        <f aca="false">IF(C570="TIMING_MISMATCH_TIMEZONE",1,IF(ABS(D570)&gt;5000,4,IF(C570="FEE_VARIANCE_BREACH",120,IF(LEFT(C570,8)="ORPHANED",48,24))))</f>
        <v>48</v>
      </c>
      <c r="K570" s="3" t="str">
        <f aca="false">IF(H570="","",IF(H570&gt;J570,"BREACH","OK"))</f>
        <v>OK</v>
      </c>
    </row>
    <row r="571" customFormat="false" ht="15" hidden="false" customHeight="false" outlineLevel="0" collapsed="false">
      <c r="A571" s="3" t="s">
        <v>1638</v>
      </c>
      <c r="B571" s="3" t="s">
        <v>1639</v>
      </c>
      <c r="C571" s="3" t="s">
        <v>531</v>
      </c>
      <c r="D571" s="7" t="n">
        <v>0</v>
      </c>
      <c r="E571" s="3" t="s">
        <v>512</v>
      </c>
      <c r="F571" s="8" t="n">
        <v>45653</v>
      </c>
      <c r="G571" s="9" t="n">
        <v>45653.4308160301</v>
      </c>
      <c r="H571" s="3" t="n">
        <v>0.34</v>
      </c>
      <c r="I571" s="3" t="str">
        <f aca="false">IF(G571="","OPEN","RESOLVED")</f>
        <v>RESOLVED</v>
      </c>
      <c r="J571" s="3" t="n">
        <f aca="false">IF(C571="TIMING_MISMATCH_TIMEZONE",1,IF(ABS(D571)&gt;5000,4,IF(C571="FEE_VARIANCE_BREACH",120,IF(LEFT(C571,8)="ORPHANED",48,24))))</f>
        <v>1</v>
      </c>
      <c r="K571" s="3" t="str">
        <f aca="false">IF(H571="","",IF(H571&gt;J571,"BREACH","OK"))</f>
        <v>OK</v>
      </c>
    </row>
    <row r="572" customFormat="false" ht="15" hidden="false" customHeight="false" outlineLevel="0" collapsed="false">
      <c r="A572" s="3" t="s">
        <v>1640</v>
      </c>
      <c r="B572" s="3" t="s">
        <v>1641</v>
      </c>
      <c r="C572" s="3" t="s">
        <v>531</v>
      </c>
      <c r="D572" s="7" t="n">
        <v>0</v>
      </c>
      <c r="E572" s="3" t="s">
        <v>512</v>
      </c>
      <c r="F572" s="8" t="n">
        <v>45653</v>
      </c>
      <c r="G572" s="9" t="n">
        <v>45653.4301752641</v>
      </c>
      <c r="H572" s="3" t="n">
        <v>0.32</v>
      </c>
      <c r="I572" s="3" t="str">
        <f aca="false">IF(G572="","OPEN","RESOLVED")</f>
        <v>RESOLVED</v>
      </c>
      <c r="J572" s="3" t="n">
        <f aca="false">IF(C572="TIMING_MISMATCH_TIMEZONE",1,IF(ABS(D572)&gt;5000,4,IF(C572="FEE_VARIANCE_BREACH",120,IF(LEFT(C572,8)="ORPHANED",48,24))))</f>
        <v>1</v>
      </c>
      <c r="K572" s="3" t="str">
        <f aca="false">IF(H572="","",IF(H572&gt;J572,"BREACH","OK"))</f>
        <v>OK</v>
      </c>
    </row>
    <row r="573" customFormat="false" ht="15" hidden="false" customHeight="false" outlineLevel="0" collapsed="false">
      <c r="A573" s="3" t="s">
        <v>1642</v>
      </c>
      <c r="B573" s="3" t="s">
        <v>1643</v>
      </c>
      <c r="C573" s="3" t="s">
        <v>531</v>
      </c>
      <c r="D573" s="7" t="n">
        <v>0</v>
      </c>
      <c r="E573" s="3" t="s">
        <v>512</v>
      </c>
      <c r="F573" s="8" t="n">
        <v>45656</v>
      </c>
      <c r="G573" s="9" t="n">
        <v>45656.429285807</v>
      </c>
      <c r="H573" s="3" t="n">
        <v>0.3</v>
      </c>
      <c r="I573" s="3" t="str">
        <f aca="false">IF(G573="","OPEN","RESOLVED")</f>
        <v>RESOLVED</v>
      </c>
      <c r="J573" s="3" t="n">
        <f aca="false">IF(C573="TIMING_MISMATCH_TIMEZONE",1,IF(ABS(D573)&gt;5000,4,IF(C573="FEE_VARIANCE_BREACH",120,IF(LEFT(C573,8)="ORPHANED",48,24))))</f>
        <v>1</v>
      </c>
      <c r="K573" s="3" t="str">
        <f aca="false">IF(H573="","",IF(H573&gt;J573,"BREACH","OK"))</f>
        <v>OK</v>
      </c>
    </row>
    <row r="574" customFormat="false" ht="15" hidden="false" customHeight="false" outlineLevel="0" collapsed="false">
      <c r="A574" s="3" t="s">
        <v>1644</v>
      </c>
      <c r="B574" s="3" t="s">
        <v>1645</v>
      </c>
      <c r="C574" s="3" t="s">
        <v>531</v>
      </c>
      <c r="D574" s="7" t="n">
        <v>0</v>
      </c>
      <c r="E574" s="3" t="s">
        <v>512</v>
      </c>
      <c r="F574" s="8" t="n">
        <v>45656</v>
      </c>
      <c r="G574" s="9" t="n">
        <v>45656.4251929012</v>
      </c>
      <c r="H574" s="3" t="n">
        <v>0.2</v>
      </c>
      <c r="I574" s="3" t="str">
        <f aca="false">IF(G574="","OPEN","RESOLVED")</f>
        <v>RESOLVED</v>
      </c>
      <c r="J574" s="3" t="n">
        <f aca="false">IF(C574="TIMING_MISMATCH_TIMEZONE",1,IF(ABS(D574)&gt;5000,4,IF(C574="FEE_VARIANCE_BREACH",120,IF(LEFT(C574,8)="ORPHANED",48,24))))</f>
        <v>1</v>
      </c>
      <c r="K574" s="3" t="str">
        <f aca="false">IF(H574="","",IF(H574&gt;J574,"BREACH","OK"))</f>
        <v>OK</v>
      </c>
    </row>
    <row r="575" customFormat="false" ht="15" hidden="false" customHeight="false" outlineLevel="0" collapsed="false">
      <c r="A575" s="3" t="s">
        <v>1646</v>
      </c>
      <c r="B575" s="3" t="s">
        <v>1647</v>
      </c>
      <c r="C575" s="3" t="s">
        <v>531</v>
      </c>
      <c r="D575" s="7" t="n">
        <v>0</v>
      </c>
      <c r="E575" s="3" t="s">
        <v>512</v>
      </c>
      <c r="F575" s="8" t="n">
        <v>45656</v>
      </c>
      <c r="G575" s="9" t="n">
        <v>45656.4253399248</v>
      </c>
      <c r="H575" s="3" t="n">
        <v>0.21</v>
      </c>
      <c r="I575" s="3" t="str">
        <f aca="false">IF(G575="","OPEN","RESOLVED")</f>
        <v>RESOLVED</v>
      </c>
      <c r="J575" s="3" t="n">
        <f aca="false">IF(C575="TIMING_MISMATCH_TIMEZONE",1,IF(ABS(D575)&gt;5000,4,IF(C575="FEE_VARIANCE_BREACH",120,IF(LEFT(C575,8)="ORPHANED",48,24))))</f>
        <v>1</v>
      </c>
      <c r="K575" s="3" t="str">
        <f aca="false">IF(H575="","",IF(H575&gt;J575,"BREACH","OK"))</f>
        <v>OK</v>
      </c>
    </row>
    <row r="576" customFormat="false" ht="15" hidden="false" customHeight="false" outlineLevel="0" collapsed="false">
      <c r="A576" s="3" t="s">
        <v>1648</v>
      </c>
      <c r="B576" s="3" t="s">
        <v>1649</v>
      </c>
      <c r="C576" s="3" t="s">
        <v>531</v>
      </c>
      <c r="D576" s="7" t="n">
        <v>0</v>
      </c>
      <c r="E576" s="3" t="s">
        <v>512</v>
      </c>
      <c r="F576" s="8" t="n">
        <v>45656</v>
      </c>
      <c r="G576" s="9" t="n">
        <v>45656.4199684638</v>
      </c>
      <c r="H576" s="3" t="n">
        <v>0.08</v>
      </c>
      <c r="I576" s="3" t="str">
        <f aca="false">IF(G576="","OPEN","RESOLVED")</f>
        <v>RESOLVED</v>
      </c>
      <c r="J576" s="3" t="n">
        <f aca="false">IF(C576="TIMING_MISMATCH_TIMEZONE",1,IF(ABS(D576)&gt;5000,4,IF(C576="FEE_VARIANCE_BREACH",120,IF(LEFT(C576,8)="ORPHANED",48,24))))</f>
        <v>1</v>
      </c>
      <c r="K576" s="3" t="str">
        <f aca="false">IF(H576="","",IF(H576&gt;J576,"BREACH","OK"))</f>
        <v>OK</v>
      </c>
    </row>
    <row r="577" customFormat="false" ht="15" hidden="false" customHeight="false" outlineLevel="0" collapsed="false">
      <c r="A577" s="3" t="s">
        <v>1650</v>
      </c>
      <c r="B577" s="3" t="s">
        <v>1651</v>
      </c>
      <c r="C577" s="3" t="s">
        <v>531</v>
      </c>
      <c r="D577" s="7" t="n">
        <v>0</v>
      </c>
      <c r="E577" s="3" t="s">
        <v>512</v>
      </c>
      <c r="F577" s="8" t="n">
        <v>45656</v>
      </c>
      <c r="G577" s="9" t="n">
        <v>45656.4321869769</v>
      </c>
      <c r="H577" s="3" t="n">
        <v>0.37</v>
      </c>
      <c r="I577" s="3" t="str">
        <f aca="false">IF(G577="","OPEN","RESOLVED")</f>
        <v>RESOLVED</v>
      </c>
      <c r="J577" s="3" t="n">
        <f aca="false">IF(C577="TIMING_MISMATCH_TIMEZONE",1,IF(ABS(D577)&gt;5000,4,IF(C577="FEE_VARIANCE_BREACH",120,IF(LEFT(C577,8)="ORPHANED",48,24))))</f>
        <v>1</v>
      </c>
      <c r="K577" s="3" t="str">
        <f aca="false">IF(H577="","",IF(H577&gt;J577,"BREACH","OK"))</f>
        <v>OK</v>
      </c>
    </row>
    <row r="578" customFormat="false" ht="15" hidden="false" customHeight="false" outlineLevel="0" collapsed="false">
      <c r="A578" s="3" t="s">
        <v>1652</v>
      </c>
      <c r="B578" s="3" t="s">
        <v>1653</v>
      </c>
      <c r="C578" s="3" t="s">
        <v>497</v>
      </c>
      <c r="D578" s="7" t="n">
        <v>-2.59</v>
      </c>
      <c r="E578" s="3" t="s">
        <v>498</v>
      </c>
      <c r="F578" s="8" t="n">
        <v>45656</v>
      </c>
      <c r="G578" s="9" t="n">
        <v>45660.7107484613</v>
      </c>
      <c r="H578" s="3" t="n">
        <v>103.06</v>
      </c>
      <c r="I578" s="3" t="str">
        <f aca="false">IF(G578="","OPEN","RESOLVED")</f>
        <v>RESOLVED</v>
      </c>
      <c r="J578" s="3" t="n">
        <f aca="false">IF(C578="TIMING_MISMATCH_TIMEZONE",1,IF(ABS(D578)&gt;5000,4,IF(C578="FEE_VARIANCE_BREACH",120,IF(LEFT(C578,8)="ORPHANED",48,24))))</f>
        <v>120</v>
      </c>
      <c r="K578" s="3" t="str">
        <f aca="false">IF(H578="","",IF(H578&gt;J578,"BREACH","OK"))</f>
        <v>OK</v>
      </c>
    </row>
    <row r="579" customFormat="false" ht="15" hidden="false" customHeight="false" outlineLevel="0" collapsed="false">
      <c r="A579" s="3" t="s">
        <v>1654</v>
      </c>
      <c r="B579" s="3" t="s">
        <v>1655</v>
      </c>
      <c r="C579" s="3" t="s">
        <v>497</v>
      </c>
      <c r="D579" s="7" t="n">
        <v>-1.17</v>
      </c>
      <c r="E579" s="3" t="s">
        <v>498</v>
      </c>
      <c r="F579" s="8" t="n">
        <v>45656</v>
      </c>
      <c r="G579" s="9" t="n">
        <v>45660.4327513142</v>
      </c>
      <c r="H579" s="3" t="n">
        <v>96.39</v>
      </c>
      <c r="I579" s="3" t="str">
        <f aca="false">IF(G579="","OPEN","RESOLVED")</f>
        <v>RESOLVED</v>
      </c>
      <c r="J579" s="3" t="n">
        <f aca="false">IF(C579="TIMING_MISMATCH_TIMEZONE",1,IF(ABS(D579)&gt;5000,4,IF(C579="FEE_VARIANCE_BREACH",120,IF(LEFT(C579,8)="ORPHANED",48,24))))</f>
        <v>120</v>
      </c>
      <c r="K579" s="3" t="str">
        <f aca="false">IF(H579="","",IF(H579&gt;J579,"BREACH","OK"))</f>
        <v>OK</v>
      </c>
    </row>
    <row r="580" customFormat="false" ht="15" hidden="false" customHeight="false" outlineLevel="0" collapsed="false">
      <c r="A580" s="3" t="s">
        <v>1656</v>
      </c>
      <c r="B580" s="3" t="s">
        <v>1657</v>
      </c>
      <c r="C580" s="3" t="s">
        <v>531</v>
      </c>
      <c r="D580" s="7" t="n">
        <v>0</v>
      </c>
      <c r="E580" s="3" t="s">
        <v>512</v>
      </c>
      <c r="F580" s="8" t="n">
        <v>45656</v>
      </c>
      <c r="G580" s="9" t="n">
        <v>45656.4225641866</v>
      </c>
      <c r="H580" s="3" t="n">
        <v>0.14</v>
      </c>
      <c r="I580" s="3" t="str">
        <f aca="false">IF(G580="","OPEN","RESOLVED")</f>
        <v>RESOLVED</v>
      </c>
      <c r="J580" s="3" t="n">
        <f aca="false">IF(C580="TIMING_MISMATCH_TIMEZONE",1,IF(ABS(D580)&gt;5000,4,IF(C580="FEE_VARIANCE_BREACH",120,IF(LEFT(C580,8)="ORPHANED",48,24))))</f>
        <v>1</v>
      </c>
      <c r="K580" s="3" t="str">
        <f aca="false">IF(H580="","",IF(H580&gt;J580,"BREACH","OK"))</f>
        <v>OK</v>
      </c>
    </row>
    <row r="581" customFormat="false" ht="15" hidden="false" customHeight="false" outlineLevel="0" collapsed="false">
      <c r="A581" s="3" t="s">
        <v>1658</v>
      </c>
      <c r="B581" s="3" t="s">
        <v>1659</v>
      </c>
      <c r="C581" s="3" t="s">
        <v>497</v>
      </c>
      <c r="D581" s="7" t="n">
        <v>-2.81</v>
      </c>
      <c r="E581" s="3" t="s">
        <v>498</v>
      </c>
      <c r="F581" s="8" t="n">
        <v>45656</v>
      </c>
      <c r="G581" s="9" t="n">
        <v>45659.6665656043</v>
      </c>
      <c r="H581" s="3" t="n">
        <v>78</v>
      </c>
      <c r="I581" s="3" t="str">
        <f aca="false">IF(G581="","OPEN","RESOLVED")</f>
        <v>RESOLVED</v>
      </c>
      <c r="J581" s="3" t="n">
        <f aca="false">IF(C581="TIMING_MISMATCH_TIMEZONE",1,IF(ABS(D581)&gt;5000,4,IF(C581="FEE_VARIANCE_BREACH",120,IF(LEFT(C581,8)="ORPHANED",48,24))))</f>
        <v>120</v>
      </c>
      <c r="K581" s="3" t="str">
        <f aca="false">IF(H581="","",IF(H581&gt;J581,"BREACH","OK"))</f>
        <v>OK</v>
      </c>
    </row>
    <row r="582" customFormat="false" ht="15" hidden="false" customHeight="false" outlineLevel="0" collapsed="false">
      <c r="A582" s="3" t="s">
        <v>1660</v>
      </c>
      <c r="B582" s="3" t="s">
        <v>1661</v>
      </c>
      <c r="C582" s="3" t="s">
        <v>497</v>
      </c>
      <c r="D582" s="7" t="n">
        <v>-2.28</v>
      </c>
      <c r="E582" s="3" t="s">
        <v>498</v>
      </c>
      <c r="F582" s="8" t="n">
        <v>45656</v>
      </c>
      <c r="G582" s="9" t="n">
        <v>45660.7828637932</v>
      </c>
      <c r="H582" s="3" t="n">
        <v>104.79</v>
      </c>
      <c r="I582" s="3" t="str">
        <f aca="false">IF(G582="","OPEN","RESOLVED")</f>
        <v>RESOLVED</v>
      </c>
      <c r="J582" s="3" t="n">
        <f aca="false">IF(C582="TIMING_MISMATCH_TIMEZONE",1,IF(ABS(D582)&gt;5000,4,IF(C582="FEE_VARIANCE_BREACH",120,IF(LEFT(C582,8)="ORPHANED",48,24))))</f>
        <v>120</v>
      </c>
      <c r="K582" s="3" t="str">
        <f aca="false">IF(H582="","",IF(H582&gt;J582,"BREACH","OK"))</f>
        <v>OK</v>
      </c>
    </row>
    <row r="583" customFormat="false" ht="15" hidden="false" customHeight="false" outlineLevel="0" collapsed="false">
      <c r="A583" s="3" t="s">
        <v>1662</v>
      </c>
      <c r="B583" s="3" t="s">
        <v>1663</v>
      </c>
      <c r="C583" s="3" t="s">
        <v>531</v>
      </c>
      <c r="D583" s="7" t="n">
        <v>0</v>
      </c>
      <c r="E583" s="3" t="s">
        <v>512</v>
      </c>
      <c r="F583" s="8" t="n">
        <v>45656</v>
      </c>
      <c r="G583" s="9" t="n">
        <v>45656.4219065151</v>
      </c>
      <c r="H583" s="3" t="n">
        <v>0.13</v>
      </c>
      <c r="I583" s="3" t="str">
        <f aca="false">IF(G583="","OPEN","RESOLVED")</f>
        <v>RESOLVED</v>
      </c>
      <c r="J583" s="3" t="n">
        <f aca="false">IF(C583="TIMING_MISMATCH_TIMEZONE",1,IF(ABS(D583)&gt;5000,4,IF(C583="FEE_VARIANCE_BREACH",120,IF(LEFT(C583,8)="ORPHANED",48,24))))</f>
        <v>1</v>
      </c>
      <c r="K583" s="3" t="str">
        <f aca="false">IF(H583="","",IF(H583&gt;J583,"BREACH","OK"))</f>
        <v>OK</v>
      </c>
    </row>
    <row r="584" customFormat="false" ht="15" hidden="false" customHeight="false" outlineLevel="0" collapsed="false">
      <c r="A584" s="3" t="s">
        <v>1664</v>
      </c>
      <c r="B584" s="3" t="s">
        <v>1665</v>
      </c>
      <c r="C584" s="3" t="s">
        <v>531</v>
      </c>
      <c r="D584" s="7" t="n">
        <v>0</v>
      </c>
      <c r="E584" s="3" t="s">
        <v>512</v>
      </c>
      <c r="F584" s="8" t="n">
        <v>45656</v>
      </c>
      <c r="G584" s="9" t="n">
        <v>45656.4313076241</v>
      </c>
      <c r="H584" s="3" t="n">
        <v>0.35</v>
      </c>
      <c r="I584" s="3" t="str">
        <f aca="false">IF(G584="","OPEN","RESOLVED")</f>
        <v>RESOLVED</v>
      </c>
      <c r="J584" s="3" t="n">
        <f aca="false">IF(C584="TIMING_MISMATCH_TIMEZONE",1,IF(ABS(D584)&gt;5000,4,IF(C584="FEE_VARIANCE_BREACH",120,IF(LEFT(C584,8)="ORPHANED",48,24))))</f>
        <v>1</v>
      </c>
      <c r="K584" s="3" t="str">
        <f aca="false">IF(H584="","",IF(H584&gt;J584,"BREACH","OK"))</f>
        <v>OK</v>
      </c>
    </row>
    <row r="585" customFormat="false" ht="15" hidden="false" customHeight="false" outlineLevel="0" collapsed="false">
      <c r="A585" s="3" t="s">
        <v>1666</v>
      </c>
      <c r="B585" s="3" t="s">
        <v>1667</v>
      </c>
      <c r="C585" s="3" t="s">
        <v>531</v>
      </c>
      <c r="D585" s="7" t="n">
        <v>0</v>
      </c>
      <c r="E585" s="3" t="s">
        <v>512</v>
      </c>
      <c r="F585" s="8" t="n">
        <v>45656</v>
      </c>
      <c r="G585" s="9" t="n">
        <v>45656.41875</v>
      </c>
      <c r="H585" s="3" t="n">
        <v>0.05</v>
      </c>
      <c r="I585" s="3" t="str">
        <f aca="false">IF(G585="","OPEN","RESOLVED")</f>
        <v>RESOLVED</v>
      </c>
      <c r="J585" s="3" t="n">
        <f aca="false">IF(C585="TIMING_MISMATCH_TIMEZONE",1,IF(ABS(D585)&gt;5000,4,IF(C585="FEE_VARIANCE_BREACH",120,IF(LEFT(C585,8)="ORPHANED",48,24))))</f>
        <v>1</v>
      </c>
      <c r="K585" s="3" t="str">
        <f aca="false">IF(H585="","",IF(H585&gt;J585,"BREACH","OK"))</f>
        <v>OK</v>
      </c>
    </row>
    <row r="586" customFormat="false" ht="15" hidden="false" customHeight="false" outlineLevel="0" collapsed="false">
      <c r="A586" s="3" t="s">
        <v>1668</v>
      </c>
      <c r="B586" s="3" t="s">
        <v>1669</v>
      </c>
      <c r="C586" s="3" t="s">
        <v>497</v>
      </c>
      <c r="D586" s="7" t="n">
        <v>-4.04</v>
      </c>
      <c r="E586" s="3" t="s">
        <v>498</v>
      </c>
      <c r="F586" s="8" t="n">
        <v>45656</v>
      </c>
      <c r="G586" s="9" t="n">
        <v>45658.9522926488</v>
      </c>
      <c r="H586" s="3" t="n">
        <v>60.86</v>
      </c>
      <c r="I586" s="3" t="str">
        <f aca="false">IF(G586="","OPEN","RESOLVED")</f>
        <v>RESOLVED</v>
      </c>
      <c r="J586" s="3" t="n">
        <f aca="false">IF(C586="TIMING_MISMATCH_TIMEZONE",1,IF(ABS(D586)&gt;5000,4,IF(C586="FEE_VARIANCE_BREACH",120,IF(LEFT(C586,8)="ORPHANED",48,24))))</f>
        <v>120</v>
      </c>
      <c r="K586" s="3" t="str">
        <f aca="false">IF(H586="","",IF(H586&gt;J586,"BREACH","OK"))</f>
        <v>OK</v>
      </c>
    </row>
    <row r="587" customFormat="false" ht="15" hidden="false" customHeight="false" outlineLevel="0" collapsed="false">
      <c r="A587" s="3" t="s">
        <v>1670</v>
      </c>
      <c r="B587" s="3" t="s">
        <v>1671</v>
      </c>
      <c r="C587" s="3" t="s">
        <v>531</v>
      </c>
      <c r="D587" s="7" t="n">
        <v>0</v>
      </c>
      <c r="E587" s="3" t="s">
        <v>512</v>
      </c>
      <c r="F587" s="8" t="n">
        <v>45656</v>
      </c>
      <c r="G587" s="9" t="n">
        <v>45656.4253060172</v>
      </c>
      <c r="H587" s="3" t="n">
        <v>0.21</v>
      </c>
      <c r="I587" s="3" t="str">
        <f aca="false">IF(G587="","OPEN","RESOLVED")</f>
        <v>RESOLVED</v>
      </c>
      <c r="J587" s="3" t="n">
        <f aca="false">IF(C587="TIMING_MISMATCH_TIMEZONE",1,IF(ABS(D587)&gt;5000,4,IF(C587="FEE_VARIANCE_BREACH",120,IF(LEFT(C587,8)="ORPHANED",48,24))))</f>
        <v>1</v>
      </c>
      <c r="K587" s="3" t="str">
        <f aca="false">IF(H587="","",IF(H587&gt;J587,"BREACH","OK"))</f>
        <v>OK</v>
      </c>
    </row>
    <row r="588" customFormat="false" ht="15" hidden="false" customHeight="false" outlineLevel="0" collapsed="false">
      <c r="A588" s="3" t="s">
        <v>1672</v>
      </c>
      <c r="B588" s="3" t="s">
        <v>1673</v>
      </c>
      <c r="C588" s="3" t="s">
        <v>511</v>
      </c>
      <c r="D588" s="7" t="n">
        <v>459.57</v>
      </c>
      <c r="E588" s="3" t="s">
        <v>512</v>
      </c>
      <c r="F588" s="8" t="n">
        <v>45656</v>
      </c>
      <c r="G588" s="9" t="n">
        <v>45657.4162813742</v>
      </c>
      <c r="H588" s="3" t="n">
        <v>23.99</v>
      </c>
      <c r="I588" s="3" t="str">
        <f aca="false">IF(G588="","OPEN","RESOLVED")</f>
        <v>RESOLVED</v>
      </c>
      <c r="J588" s="3" t="n">
        <f aca="false">IF(C588="TIMING_MISMATCH_TIMEZONE",1,IF(ABS(D588)&gt;5000,4,IF(C588="FEE_VARIANCE_BREACH",120,IF(LEFT(C588,8)="ORPHANED",48,24))))</f>
        <v>48</v>
      </c>
      <c r="K588" s="3" t="str">
        <f aca="false">IF(H588="","",IF(H588&gt;J588,"BREACH","OK"))</f>
        <v>OK</v>
      </c>
    </row>
    <row r="589" customFormat="false" ht="15" hidden="false" customHeight="false" outlineLevel="0" collapsed="false">
      <c r="A589" s="3" t="s">
        <v>1674</v>
      </c>
      <c r="B589" s="3" t="s">
        <v>1675</v>
      </c>
      <c r="C589" s="3" t="s">
        <v>531</v>
      </c>
      <c r="D589" s="7" t="n">
        <v>0</v>
      </c>
      <c r="E589" s="3" t="s">
        <v>512</v>
      </c>
      <c r="F589" s="8" t="n">
        <v>45656</v>
      </c>
      <c r="G589" s="9" t="n">
        <v>45656.4233799704</v>
      </c>
      <c r="H589" s="3" t="n">
        <v>0.16</v>
      </c>
      <c r="I589" s="3" t="str">
        <f aca="false">IF(G589="","OPEN","RESOLVED")</f>
        <v>RESOLVED</v>
      </c>
      <c r="J589" s="3" t="n">
        <f aca="false">IF(C589="TIMING_MISMATCH_TIMEZONE",1,IF(ABS(D589)&gt;5000,4,IF(C589="FEE_VARIANCE_BREACH",120,IF(LEFT(C589,8)="ORPHANED",48,24))))</f>
        <v>1</v>
      </c>
      <c r="K589" s="3" t="str">
        <f aca="false">IF(H589="","",IF(H589&gt;J589,"BREACH","OK"))</f>
        <v>OK</v>
      </c>
    </row>
    <row r="590" customFormat="false" ht="15" hidden="false" customHeight="false" outlineLevel="0" collapsed="false">
      <c r="A590" s="3" t="s">
        <v>1676</v>
      </c>
      <c r="B590" s="3" t="s">
        <v>1677</v>
      </c>
      <c r="C590" s="3" t="s">
        <v>531</v>
      </c>
      <c r="D590" s="7" t="n">
        <v>0</v>
      </c>
      <c r="E590" s="3" t="s">
        <v>512</v>
      </c>
      <c r="F590" s="8" t="n">
        <v>45656</v>
      </c>
      <c r="G590" s="9" t="n">
        <v>45656.4227021255</v>
      </c>
      <c r="H590" s="3" t="n">
        <v>0.14</v>
      </c>
      <c r="I590" s="3" t="str">
        <f aca="false">IF(G590="","OPEN","RESOLVED")</f>
        <v>RESOLVED</v>
      </c>
      <c r="J590" s="3" t="n">
        <f aca="false">IF(C590="TIMING_MISMATCH_TIMEZONE",1,IF(ABS(D590)&gt;5000,4,IF(C590="FEE_VARIANCE_BREACH",120,IF(LEFT(C590,8)="ORPHANED",48,24))))</f>
        <v>1</v>
      </c>
      <c r="K590" s="3" t="str">
        <f aca="false">IF(H590="","",IF(H590&gt;J590,"BREACH","OK"))</f>
        <v>OK</v>
      </c>
    </row>
    <row r="591" customFormat="false" ht="15" hidden="false" customHeight="false" outlineLevel="0" collapsed="false">
      <c r="A591" s="3" t="s">
        <v>1678</v>
      </c>
      <c r="B591" s="3" t="s">
        <v>1679</v>
      </c>
      <c r="C591" s="3" t="s">
        <v>531</v>
      </c>
      <c r="D591" s="7" t="n">
        <v>0</v>
      </c>
      <c r="E591" s="3" t="s">
        <v>512</v>
      </c>
      <c r="F591" s="8" t="n">
        <v>45656</v>
      </c>
      <c r="G591" s="9" t="n">
        <v>45656.4263399838</v>
      </c>
      <c r="H591" s="3" t="n">
        <v>0.23</v>
      </c>
      <c r="I591" s="3" t="str">
        <f aca="false">IF(G591="","OPEN","RESOLVED")</f>
        <v>RESOLVED</v>
      </c>
      <c r="J591" s="3" t="n">
        <f aca="false">IF(C591="TIMING_MISMATCH_TIMEZONE",1,IF(ABS(D591)&gt;5000,4,IF(C591="FEE_VARIANCE_BREACH",120,IF(LEFT(C591,8)="ORPHANED",48,24))))</f>
        <v>1</v>
      </c>
      <c r="K591" s="3" t="str">
        <f aca="false">IF(H591="","",IF(H591&gt;J591,"BREACH","OK"))</f>
        <v>OK</v>
      </c>
    </row>
    <row r="592" customFormat="false" ht="15" hidden="false" customHeight="false" outlineLevel="0" collapsed="false">
      <c r="A592" s="3" t="s">
        <v>1680</v>
      </c>
      <c r="B592" s="3" t="s">
        <v>1681</v>
      </c>
      <c r="C592" s="3" t="s">
        <v>497</v>
      </c>
      <c r="D592" s="7" t="n">
        <v>-1.16</v>
      </c>
      <c r="E592" s="3" t="s">
        <v>498</v>
      </c>
      <c r="F592" s="8" t="n">
        <v>45656</v>
      </c>
      <c r="G592" s="9" t="n">
        <v>45657.5576569113</v>
      </c>
      <c r="H592" s="3" t="n">
        <v>27.38</v>
      </c>
      <c r="I592" s="3" t="str">
        <f aca="false">IF(G592="","OPEN","RESOLVED")</f>
        <v>RESOLVED</v>
      </c>
      <c r="J592" s="3" t="n">
        <f aca="false">IF(C592="TIMING_MISMATCH_TIMEZONE",1,IF(ABS(D592)&gt;5000,4,IF(C592="FEE_VARIANCE_BREACH",120,IF(LEFT(C592,8)="ORPHANED",48,24))))</f>
        <v>120</v>
      </c>
      <c r="K592" s="3" t="str">
        <f aca="false">IF(H592="","",IF(H592&gt;J592,"BREACH","OK"))</f>
        <v>OK</v>
      </c>
    </row>
    <row r="593" customFormat="false" ht="15" hidden="false" customHeight="false" outlineLevel="0" collapsed="false">
      <c r="A593" s="3" t="s">
        <v>1682</v>
      </c>
      <c r="B593" s="3" t="s">
        <v>1683</v>
      </c>
      <c r="C593" s="3" t="s">
        <v>517</v>
      </c>
      <c r="D593" s="7" t="n">
        <v>-7.5</v>
      </c>
      <c r="E593" s="3" t="s">
        <v>518</v>
      </c>
      <c r="F593" s="8" t="n">
        <v>45656</v>
      </c>
      <c r="G593" s="9" t="n">
        <v>45657.8095171823</v>
      </c>
      <c r="H593" s="3" t="n">
        <v>33.43</v>
      </c>
      <c r="I593" s="3" t="str">
        <f aca="false">IF(G593="","OPEN","RESOLVED")</f>
        <v>RESOLVED</v>
      </c>
      <c r="J593" s="3" t="n">
        <f aca="false">IF(C593="TIMING_MISMATCH_TIMEZONE",1,IF(ABS(D593)&gt;5000,4,IF(C593="FEE_VARIANCE_BREACH",120,IF(LEFT(C593,8)="ORPHANED",48,24))))</f>
        <v>24</v>
      </c>
      <c r="K593" s="3" t="str">
        <f aca="false">IF(H593="","",IF(H593&gt;J593,"BREACH","OK"))</f>
        <v>BREACH</v>
      </c>
    </row>
    <row r="594" customFormat="false" ht="15" hidden="false" customHeight="false" outlineLevel="0" collapsed="false">
      <c r="A594" s="3" t="s">
        <v>1684</v>
      </c>
      <c r="B594" s="3" t="s">
        <v>1685</v>
      </c>
      <c r="C594" s="3" t="s">
        <v>531</v>
      </c>
      <c r="D594" s="7" t="n">
        <v>0</v>
      </c>
      <c r="E594" s="3" t="s">
        <v>512</v>
      </c>
      <c r="F594" s="8" t="n">
        <v>45656</v>
      </c>
      <c r="G594" s="9" t="n">
        <v>45656.42525099</v>
      </c>
      <c r="H594" s="3" t="n">
        <v>0.21</v>
      </c>
      <c r="I594" s="3" t="str">
        <f aca="false">IF(G594="","OPEN","RESOLVED")</f>
        <v>RESOLVED</v>
      </c>
      <c r="J594" s="3" t="n">
        <f aca="false">IF(C594="TIMING_MISMATCH_TIMEZONE",1,IF(ABS(D594)&gt;5000,4,IF(C594="FEE_VARIANCE_BREACH",120,IF(LEFT(C594,8)="ORPHANED",48,24))))</f>
        <v>1</v>
      </c>
      <c r="K594" s="3" t="str">
        <f aca="false">IF(H594="","",IF(H594&gt;J594,"BREACH","OK"))</f>
        <v>OK</v>
      </c>
    </row>
    <row r="595" customFormat="false" ht="15" hidden="false" customHeight="false" outlineLevel="0" collapsed="false">
      <c r="A595" s="3" t="s">
        <v>1686</v>
      </c>
      <c r="B595" s="3" t="s">
        <v>1687</v>
      </c>
      <c r="C595" s="3" t="s">
        <v>531</v>
      </c>
      <c r="D595" s="7" t="n">
        <v>0</v>
      </c>
      <c r="E595" s="3" t="s">
        <v>512</v>
      </c>
      <c r="F595" s="8" t="n">
        <v>45656</v>
      </c>
      <c r="G595" s="9" t="n">
        <v>45656.4228983109</v>
      </c>
      <c r="H595" s="3" t="n">
        <v>0.15</v>
      </c>
      <c r="I595" s="3" t="str">
        <f aca="false">IF(G595="","OPEN","RESOLVED")</f>
        <v>RESOLVED</v>
      </c>
      <c r="J595" s="3" t="n">
        <f aca="false">IF(C595="TIMING_MISMATCH_TIMEZONE",1,IF(ABS(D595)&gt;5000,4,IF(C595="FEE_VARIANCE_BREACH",120,IF(LEFT(C595,8)="ORPHANED",48,24))))</f>
        <v>1</v>
      </c>
      <c r="K595" s="3" t="str">
        <f aca="false">IF(H595="","",IF(H595&gt;J595,"BREACH","OK"))</f>
        <v>OK</v>
      </c>
    </row>
    <row r="596" customFormat="false" ht="15" hidden="false" customHeight="false" outlineLevel="0" collapsed="false">
      <c r="A596" s="3" t="s">
        <v>1688</v>
      </c>
      <c r="B596" s="3" t="s">
        <v>1689</v>
      </c>
      <c r="C596" s="3" t="s">
        <v>531</v>
      </c>
      <c r="D596" s="7" t="n">
        <v>0</v>
      </c>
      <c r="E596" s="3" t="s">
        <v>512</v>
      </c>
      <c r="F596" s="8" t="n">
        <v>45656</v>
      </c>
      <c r="G596" s="9" t="n">
        <v>45656.4221861681</v>
      </c>
      <c r="H596" s="3" t="n">
        <v>0.13</v>
      </c>
      <c r="I596" s="3" t="str">
        <f aca="false">IF(G596="","OPEN","RESOLVED")</f>
        <v>RESOLVED</v>
      </c>
      <c r="J596" s="3" t="n">
        <f aca="false">IF(C596="TIMING_MISMATCH_TIMEZONE",1,IF(ABS(D596)&gt;5000,4,IF(C596="FEE_VARIANCE_BREACH",120,IF(LEFT(C596,8)="ORPHANED",48,24))))</f>
        <v>1</v>
      </c>
      <c r="K596" s="3" t="str">
        <f aca="false">IF(H596="","",IF(H596&gt;J596,"BREACH","OK"))</f>
        <v>OK</v>
      </c>
    </row>
    <row r="597" customFormat="false" ht="15" hidden="false" customHeight="false" outlineLevel="0" collapsed="false">
      <c r="A597" s="3" t="s">
        <v>1690</v>
      </c>
      <c r="B597" s="3" t="s">
        <v>1691</v>
      </c>
      <c r="C597" s="3" t="s">
        <v>531</v>
      </c>
      <c r="D597" s="7" t="n">
        <v>0</v>
      </c>
      <c r="E597" s="3" t="s">
        <v>512</v>
      </c>
      <c r="F597" s="8" t="n">
        <v>45656</v>
      </c>
      <c r="G597" s="9" t="n">
        <v>45656.4250507317</v>
      </c>
      <c r="H597" s="3" t="n">
        <v>0.2</v>
      </c>
      <c r="I597" s="3" t="str">
        <f aca="false">IF(G597="","OPEN","RESOLVED")</f>
        <v>RESOLVED</v>
      </c>
      <c r="J597" s="3" t="n">
        <f aca="false">IF(C597="TIMING_MISMATCH_TIMEZONE",1,IF(ABS(D597)&gt;5000,4,IF(C597="FEE_VARIANCE_BREACH",120,IF(LEFT(C597,8)="ORPHANED",48,24))))</f>
        <v>1</v>
      </c>
      <c r="K597" s="3" t="str">
        <f aca="false">IF(H597="","",IF(H597&gt;J597,"BREACH","OK"))</f>
        <v>OK</v>
      </c>
    </row>
    <row r="598" customFormat="false" ht="15" hidden="false" customHeight="false" outlineLevel="0" collapsed="false">
      <c r="A598" s="3" t="s">
        <v>1692</v>
      </c>
      <c r="B598" s="3" t="s">
        <v>1693</v>
      </c>
      <c r="C598" s="3" t="s">
        <v>497</v>
      </c>
      <c r="D598" s="7" t="n">
        <v>-2.51</v>
      </c>
      <c r="E598" s="3" t="s">
        <v>498</v>
      </c>
      <c r="F598" s="8" t="n">
        <v>45656</v>
      </c>
      <c r="G598" s="9" t="n">
        <v>45660.8602228854</v>
      </c>
      <c r="H598" s="3" t="n">
        <v>106.65</v>
      </c>
      <c r="I598" s="3" t="str">
        <f aca="false">IF(G598="","OPEN","RESOLVED")</f>
        <v>RESOLVED</v>
      </c>
      <c r="J598" s="3" t="n">
        <f aca="false">IF(C598="TIMING_MISMATCH_TIMEZONE",1,IF(ABS(D598)&gt;5000,4,IF(C598="FEE_VARIANCE_BREACH",120,IF(LEFT(C598,8)="ORPHANED",48,24))))</f>
        <v>120</v>
      </c>
      <c r="K598" s="3" t="str">
        <f aca="false">IF(H598="","",IF(H598&gt;J598,"BREACH","OK"))</f>
        <v>OK</v>
      </c>
    </row>
    <row r="599" customFormat="false" ht="15" hidden="false" customHeight="false" outlineLevel="0" collapsed="false">
      <c r="A599" s="3" t="s">
        <v>1694</v>
      </c>
      <c r="B599" s="3" t="s">
        <v>1695</v>
      </c>
      <c r="C599" s="3" t="s">
        <v>531</v>
      </c>
      <c r="D599" s="7" t="n">
        <v>0</v>
      </c>
      <c r="E599" s="3" t="s">
        <v>512</v>
      </c>
      <c r="F599" s="8" t="n">
        <v>45656</v>
      </c>
      <c r="G599" s="9" t="n">
        <v>45656.4297311778</v>
      </c>
      <c r="H599" s="3" t="n">
        <v>0.31</v>
      </c>
      <c r="I599" s="3" t="str">
        <f aca="false">IF(G599="","OPEN","RESOLVED")</f>
        <v>RESOLVED</v>
      </c>
      <c r="J599" s="3" t="n">
        <f aca="false">IF(C599="TIMING_MISMATCH_TIMEZONE",1,IF(ABS(D599)&gt;5000,4,IF(C599="FEE_VARIANCE_BREACH",120,IF(LEFT(C599,8)="ORPHANED",48,24))))</f>
        <v>1</v>
      </c>
      <c r="K599" s="3" t="str">
        <f aca="false">IF(H599="","",IF(H599&gt;J599,"BREACH","OK"))</f>
        <v>OK</v>
      </c>
    </row>
    <row r="600" customFormat="false" ht="15" hidden="false" customHeight="false" outlineLevel="0" collapsed="false">
      <c r="A600" s="3" t="s">
        <v>1696</v>
      </c>
      <c r="B600" s="3" t="s">
        <v>1697</v>
      </c>
      <c r="C600" s="3" t="s">
        <v>497</v>
      </c>
      <c r="D600" s="7" t="n">
        <v>-1.99</v>
      </c>
      <c r="E600" s="3" t="s">
        <v>498</v>
      </c>
      <c r="F600" s="8" t="n">
        <v>45656</v>
      </c>
      <c r="G600" s="9" t="n">
        <v>45660.6379403009</v>
      </c>
      <c r="H600" s="3" t="n">
        <v>101.31</v>
      </c>
      <c r="I600" s="3" t="str">
        <f aca="false">IF(G600="","OPEN","RESOLVED")</f>
        <v>RESOLVED</v>
      </c>
      <c r="J600" s="3" t="n">
        <f aca="false">IF(C600="TIMING_MISMATCH_TIMEZONE",1,IF(ABS(D600)&gt;5000,4,IF(C600="FEE_VARIANCE_BREACH",120,IF(LEFT(C600,8)="ORPHANED",48,24))))</f>
        <v>120</v>
      </c>
      <c r="K600" s="3" t="str">
        <f aca="false">IF(H600="","",IF(H600&gt;J600,"BREACH","OK"))</f>
        <v>OK</v>
      </c>
    </row>
    <row r="601" customFormat="false" ht="15" hidden="false" customHeight="false" outlineLevel="0" collapsed="false">
      <c r="A601" s="3" t="s">
        <v>1698</v>
      </c>
      <c r="B601" s="3" t="s">
        <v>1699</v>
      </c>
      <c r="C601" s="3" t="s">
        <v>497</v>
      </c>
      <c r="D601" s="7" t="n">
        <v>-2.08</v>
      </c>
      <c r="E601" s="3" t="s">
        <v>498</v>
      </c>
      <c r="F601" s="8" t="n">
        <v>45656</v>
      </c>
      <c r="G601" s="9" t="n">
        <v>45660.0859167005</v>
      </c>
      <c r="H601" s="3" t="n">
        <v>88.06</v>
      </c>
      <c r="I601" s="3" t="str">
        <f aca="false">IF(G601="","OPEN","RESOLVED")</f>
        <v>RESOLVED</v>
      </c>
      <c r="J601" s="3" t="n">
        <f aca="false">IF(C601="TIMING_MISMATCH_TIMEZONE",1,IF(ABS(D601)&gt;5000,4,IF(C601="FEE_VARIANCE_BREACH",120,IF(LEFT(C601,8)="ORPHANED",48,24))))</f>
        <v>120</v>
      </c>
      <c r="K601" s="3" t="str">
        <f aca="false">IF(H601="","",IF(H601&gt;J601,"BREACH","OK"))</f>
        <v>OK</v>
      </c>
    </row>
    <row r="602" customFormat="false" ht="15" hidden="false" customHeight="false" outlineLevel="0" collapsed="false">
      <c r="A602" s="3" t="s">
        <v>1700</v>
      </c>
      <c r="B602" s="3" t="s">
        <v>1701</v>
      </c>
      <c r="C602" s="3" t="s">
        <v>531</v>
      </c>
      <c r="D602" s="7" t="n">
        <v>0</v>
      </c>
      <c r="E602" s="3" t="s">
        <v>512</v>
      </c>
      <c r="F602" s="8" t="n">
        <v>45656</v>
      </c>
      <c r="G602" s="9" t="n">
        <v>45656.4221222219</v>
      </c>
      <c r="H602" s="3" t="n">
        <v>0.13</v>
      </c>
      <c r="I602" s="3" t="str">
        <f aca="false">IF(G602="","OPEN","RESOLVED")</f>
        <v>RESOLVED</v>
      </c>
      <c r="J602" s="3" t="n">
        <f aca="false">IF(C602="TIMING_MISMATCH_TIMEZONE",1,IF(ABS(D602)&gt;5000,4,IF(C602="FEE_VARIANCE_BREACH",120,IF(LEFT(C602,8)="ORPHANED",48,24))))</f>
        <v>1</v>
      </c>
      <c r="K602" s="3" t="str">
        <f aca="false">IF(H602="","",IF(H602&gt;J602,"BREACH","OK"))</f>
        <v>OK</v>
      </c>
    </row>
    <row r="603" customFormat="false" ht="15" hidden="false" customHeight="false" outlineLevel="0" collapsed="false">
      <c r="A603" s="3" t="s">
        <v>1702</v>
      </c>
      <c r="B603" s="3" t="s">
        <v>1703</v>
      </c>
      <c r="C603" s="3" t="s">
        <v>531</v>
      </c>
      <c r="D603" s="7" t="n">
        <v>0</v>
      </c>
      <c r="E603" s="3" t="s">
        <v>512</v>
      </c>
      <c r="F603" s="8" t="n">
        <v>45656</v>
      </c>
      <c r="G603" s="9" t="n">
        <v>45656.4259205254</v>
      </c>
      <c r="H603" s="3" t="n">
        <v>0.22</v>
      </c>
      <c r="I603" s="3" t="str">
        <f aca="false">IF(G603="","OPEN","RESOLVED")</f>
        <v>RESOLVED</v>
      </c>
      <c r="J603" s="3" t="n">
        <f aca="false">IF(C603="TIMING_MISMATCH_TIMEZONE",1,IF(ABS(D603)&gt;5000,4,IF(C603="FEE_VARIANCE_BREACH",120,IF(LEFT(C603,8)="ORPHANED",48,24))))</f>
        <v>1</v>
      </c>
      <c r="K603" s="3" t="str">
        <f aca="false">IF(H603="","",IF(H603&gt;J603,"BREACH","OK"))</f>
        <v>OK</v>
      </c>
    </row>
    <row r="604" customFormat="false" ht="15" hidden="false" customHeight="false" outlineLevel="0" collapsed="false">
      <c r="A604" s="3" t="s">
        <v>1704</v>
      </c>
      <c r="B604" s="3" t="s">
        <v>1705</v>
      </c>
      <c r="C604" s="3" t="s">
        <v>497</v>
      </c>
      <c r="D604" s="7" t="n">
        <v>-1.13</v>
      </c>
      <c r="E604" s="3" t="s">
        <v>498</v>
      </c>
      <c r="F604" s="8" t="n">
        <v>45656</v>
      </c>
      <c r="G604" s="9" t="n">
        <v>45660.344778154</v>
      </c>
      <c r="H604" s="3" t="n">
        <v>94.27</v>
      </c>
      <c r="I604" s="3" t="str">
        <f aca="false">IF(G604="","OPEN","RESOLVED")</f>
        <v>RESOLVED</v>
      </c>
      <c r="J604" s="3" t="n">
        <f aca="false">IF(C604="TIMING_MISMATCH_TIMEZONE",1,IF(ABS(D604)&gt;5000,4,IF(C604="FEE_VARIANCE_BREACH",120,IF(LEFT(C604,8)="ORPHANED",48,24))))</f>
        <v>120</v>
      </c>
      <c r="K604" s="3" t="str">
        <f aca="false">IF(H604="","",IF(H604&gt;J604,"BREACH","OK"))</f>
        <v>OK</v>
      </c>
    </row>
    <row r="605" customFormat="false" ht="15" hidden="false" customHeight="false" outlineLevel="0" collapsed="false">
      <c r="A605" s="3" t="s">
        <v>1706</v>
      </c>
      <c r="B605" s="3" t="s">
        <v>1707</v>
      </c>
      <c r="C605" s="3" t="s">
        <v>531</v>
      </c>
      <c r="D605" s="7" t="n">
        <v>0</v>
      </c>
      <c r="E605" s="3" t="s">
        <v>512</v>
      </c>
      <c r="F605" s="8" t="n">
        <v>45656</v>
      </c>
      <c r="G605" s="9" t="n">
        <v>45656.4260074051</v>
      </c>
      <c r="H605" s="3" t="n">
        <v>0.22</v>
      </c>
      <c r="I605" s="3" t="str">
        <f aca="false">IF(G605="","OPEN","RESOLVED")</f>
        <v>RESOLVED</v>
      </c>
      <c r="J605" s="3" t="n">
        <f aca="false">IF(C605="TIMING_MISMATCH_TIMEZONE",1,IF(ABS(D605)&gt;5000,4,IF(C605="FEE_VARIANCE_BREACH",120,IF(LEFT(C605,8)="ORPHANED",48,24))))</f>
        <v>1</v>
      </c>
      <c r="K605" s="3" t="str">
        <f aca="false">IF(H605="","",IF(H605&gt;J605,"BREACH","OK"))</f>
        <v>OK</v>
      </c>
    </row>
    <row r="606" customFormat="false" ht="15" hidden="false" customHeight="false" outlineLevel="0" collapsed="false">
      <c r="A606" s="3" t="s">
        <v>1708</v>
      </c>
      <c r="B606" s="3" t="s">
        <v>1709</v>
      </c>
      <c r="C606" s="3" t="s">
        <v>497</v>
      </c>
      <c r="D606" s="7" t="n">
        <v>-14.03</v>
      </c>
      <c r="E606" s="3" t="s">
        <v>498</v>
      </c>
      <c r="F606" s="8" t="n">
        <v>45656</v>
      </c>
      <c r="G606" s="9"/>
      <c r="H606" s="3"/>
      <c r="I606" s="3" t="str">
        <f aca="false">IF(G606="","OPEN","RESOLVED")</f>
        <v>OPEN</v>
      </c>
      <c r="J606" s="3" t="n">
        <f aca="false">IF(C606="TIMING_MISMATCH_TIMEZONE",1,IF(ABS(D606)&gt;5000,4,IF(C606="FEE_VARIANCE_BREACH",120,IF(LEFT(C606,8)="ORPHANED",48,24))))</f>
        <v>120</v>
      </c>
      <c r="K606" s="3" t="str">
        <f aca="false">IF(H606="","",IF(H606&gt;J606,"BREACH","OK"))</f>
        <v/>
      </c>
    </row>
    <row r="607" customFormat="false" ht="15" hidden="false" customHeight="false" outlineLevel="0" collapsed="false">
      <c r="A607" s="3" t="s">
        <v>1710</v>
      </c>
      <c r="B607" s="3" t="s">
        <v>1711</v>
      </c>
      <c r="C607" s="3" t="s">
        <v>531</v>
      </c>
      <c r="D607" s="7" t="n">
        <v>0</v>
      </c>
      <c r="E607" s="3" t="s">
        <v>512</v>
      </c>
      <c r="F607" s="8" t="n">
        <v>45656</v>
      </c>
      <c r="G607" s="9" t="n">
        <v>45656.4248276382</v>
      </c>
      <c r="H607" s="3" t="n">
        <v>0.2</v>
      </c>
      <c r="I607" s="3" t="str">
        <f aca="false">IF(G607="","OPEN","RESOLVED")</f>
        <v>RESOLVED</v>
      </c>
      <c r="J607" s="3" t="n">
        <f aca="false">IF(C607="TIMING_MISMATCH_TIMEZONE",1,IF(ABS(D607)&gt;5000,4,IF(C607="FEE_VARIANCE_BREACH",120,IF(LEFT(C607,8)="ORPHANED",48,24))))</f>
        <v>1</v>
      </c>
      <c r="K607" s="3" t="str">
        <f aca="false">IF(H607="","",IF(H607&gt;J607,"BREACH","OK"))</f>
        <v>OK</v>
      </c>
    </row>
    <row r="608" customFormat="false" ht="15" hidden="false" customHeight="false" outlineLevel="0" collapsed="false">
      <c r="A608" s="3" t="s">
        <v>1712</v>
      </c>
      <c r="B608" s="3" t="s">
        <v>1713</v>
      </c>
      <c r="C608" s="3" t="s">
        <v>531</v>
      </c>
      <c r="D608" s="7" t="n">
        <v>0</v>
      </c>
      <c r="E608" s="3" t="s">
        <v>512</v>
      </c>
      <c r="F608" s="8" t="n">
        <v>45656</v>
      </c>
      <c r="G608" s="9" t="n">
        <v>45656.4294522639</v>
      </c>
      <c r="H608" s="3" t="n">
        <v>0.31</v>
      </c>
      <c r="I608" s="3" t="str">
        <f aca="false">IF(G608="","OPEN","RESOLVED")</f>
        <v>RESOLVED</v>
      </c>
      <c r="J608" s="3" t="n">
        <f aca="false">IF(C608="TIMING_MISMATCH_TIMEZONE",1,IF(ABS(D608)&gt;5000,4,IF(C608="FEE_VARIANCE_BREACH",120,IF(LEFT(C608,8)="ORPHANED",48,24))))</f>
        <v>1</v>
      </c>
      <c r="K608" s="3" t="str">
        <f aca="false">IF(H608="","",IF(H608&gt;J608,"BREACH","OK"))</f>
        <v>OK</v>
      </c>
    </row>
    <row r="609" customFormat="false" ht="15" hidden="false" customHeight="false" outlineLevel="0" collapsed="false">
      <c r="A609" s="3" t="s">
        <v>1714</v>
      </c>
      <c r="B609" s="3" t="s">
        <v>1715</v>
      </c>
      <c r="C609" s="3" t="s">
        <v>531</v>
      </c>
      <c r="D609" s="7" t="n">
        <v>0</v>
      </c>
      <c r="E609" s="3" t="s">
        <v>512</v>
      </c>
      <c r="F609" s="8" t="n">
        <v>45656</v>
      </c>
      <c r="G609" s="9" t="n">
        <v>45656.4265761266</v>
      </c>
      <c r="H609" s="3" t="n">
        <v>0.24</v>
      </c>
      <c r="I609" s="3" t="str">
        <f aca="false">IF(G609="","OPEN","RESOLVED")</f>
        <v>RESOLVED</v>
      </c>
      <c r="J609" s="3" t="n">
        <f aca="false">IF(C609="TIMING_MISMATCH_TIMEZONE",1,IF(ABS(D609)&gt;5000,4,IF(C609="FEE_VARIANCE_BREACH",120,IF(LEFT(C609,8)="ORPHANED",48,24))))</f>
        <v>1</v>
      </c>
      <c r="K609" s="3" t="str">
        <f aca="false">IF(H609="","",IF(H609&gt;J609,"BREACH","OK"))</f>
        <v>OK</v>
      </c>
    </row>
    <row r="610" customFormat="false" ht="15" hidden="false" customHeight="false" outlineLevel="0" collapsed="false">
      <c r="A610" s="3" t="s">
        <v>1716</v>
      </c>
      <c r="B610" s="3" t="s">
        <v>1717</v>
      </c>
      <c r="C610" s="3" t="s">
        <v>531</v>
      </c>
      <c r="D610" s="7" t="n">
        <v>0</v>
      </c>
      <c r="E610" s="3" t="s">
        <v>512</v>
      </c>
      <c r="F610" s="8" t="n">
        <v>45656</v>
      </c>
      <c r="G610" s="9" t="n">
        <v>45656.4212581867</v>
      </c>
      <c r="H610" s="3" t="n">
        <v>0.11</v>
      </c>
      <c r="I610" s="3" t="str">
        <f aca="false">IF(G610="","OPEN","RESOLVED")</f>
        <v>RESOLVED</v>
      </c>
      <c r="J610" s="3" t="n">
        <f aca="false">IF(C610="TIMING_MISMATCH_TIMEZONE",1,IF(ABS(D610)&gt;5000,4,IF(C610="FEE_VARIANCE_BREACH",120,IF(LEFT(C610,8)="ORPHANED",48,24))))</f>
        <v>1</v>
      </c>
      <c r="K610" s="3" t="str">
        <f aca="false">IF(H610="","",IF(H610&gt;J610,"BREACH","OK"))</f>
        <v>OK</v>
      </c>
    </row>
    <row r="611" customFormat="false" ht="15" hidden="false" customHeight="false" outlineLevel="0" collapsed="false">
      <c r="A611" s="3" t="s">
        <v>1718</v>
      </c>
      <c r="B611" s="3" t="s">
        <v>1719</v>
      </c>
      <c r="C611" s="3" t="s">
        <v>517</v>
      </c>
      <c r="D611" s="7" t="n">
        <v>-3</v>
      </c>
      <c r="E611" s="3" t="s">
        <v>518</v>
      </c>
      <c r="F611" s="8" t="n">
        <v>45656</v>
      </c>
      <c r="G611" s="9" t="n">
        <v>45658.1164822017</v>
      </c>
      <c r="H611" s="3" t="n">
        <v>40.8</v>
      </c>
      <c r="I611" s="3" t="str">
        <f aca="false">IF(G611="","OPEN","RESOLVED")</f>
        <v>RESOLVED</v>
      </c>
      <c r="J611" s="3" t="n">
        <f aca="false">IF(C611="TIMING_MISMATCH_TIMEZONE",1,IF(ABS(D611)&gt;5000,4,IF(C611="FEE_VARIANCE_BREACH",120,IF(LEFT(C611,8)="ORPHANED",48,24))))</f>
        <v>24</v>
      </c>
      <c r="K611" s="3" t="str">
        <f aca="false">IF(H611="","",IF(H611&gt;J611,"BREACH","OK"))</f>
        <v>BREACH</v>
      </c>
    </row>
    <row r="612" customFormat="false" ht="15" hidden="false" customHeight="false" outlineLevel="0" collapsed="false">
      <c r="A612" s="3" t="s">
        <v>1720</v>
      </c>
      <c r="B612" s="3" t="s">
        <v>1721</v>
      </c>
      <c r="C612" s="3" t="s">
        <v>531</v>
      </c>
      <c r="D612" s="7" t="n">
        <v>0</v>
      </c>
      <c r="E612" s="3" t="s">
        <v>512</v>
      </c>
      <c r="F612" s="8" t="n">
        <v>45656</v>
      </c>
      <c r="G612" s="9" t="n">
        <v>45656.4255516527</v>
      </c>
      <c r="H612" s="3" t="n">
        <v>0.21</v>
      </c>
      <c r="I612" s="3" t="str">
        <f aca="false">IF(G612="","OPEN","RESOLVED")</f>
        <v>RESOLVED</v>
      </c>
      <c r="J612" s="3" t="n">
        <f aca="false">IF(C612="TIMING_MISMATCH_TIMEZONE",1,IF(ABS(D612)&gt;5000,4,IF(C612="FEE_VARIANCE_BREACH",120,IF(LEFT(C612,8)="ORPHANED",48,24))))</f>
        <v>1</v>
      </c>
      <c r="K612" s="3" t="str">
        <f aca="false">IF(H612="","",IF(H612&gt;J612,"BREACH","OK"))</f>
        <v>OK</v>
      </c>
    </row>
    <row r="613" customFormat="false" ht="15" hidden="false" customHeight="false" outlineLevel="0" collapsed="false">
      <c r="A613" s="3" t="s">
        <v>1722</v>
      </c>
      <c r="B613" s="3" t="s">
        <v>1723</v>
      </c>
      <c r="C613" s="3" t="s">
        <v>531</v>
      </c>
      <c r="D613" s="7" t="n">
        <v>0</v>
      </c>
      <c r="E613" s="3" t="s">
        <v>512</v>
      </c>
      <c r="F613" s="8" t="n">
        <v>45656</v>
      </c>
      <c r="G613" s="9" t="n">
        <v>45656.4273772556</v>
      </c>
      <c r="H613" s="3" t="n">
        <v>0.26</v>
      </c>
      <c r="I613" s="3" t="str">
        <f aca="false">IF(G613="","OPEN","RESOLVED")</f>
        <v>RESOLVED</v>
      </c>
      <c r="J613" s="3" t="n">
        <f aca="false">IF(C613="TIMING_MISMATCH_TIMEZONE",1,IF(ABS(D613)&gt;5000,4,IF(C613="FEE_VARIANCE_BREACH",120,IF(LEFT(C613,8)="ORPHANED",48,24))))</f>
        <v>1</v>
      </c>
      <c r="K613" s="3" t="str">
        <f aca="false">IF(H613="","",IF(H613&gt;J613,"BREACH","OK"))</f>
        <v>OK</v>
      </c>
    </row>
    <row r="614" customFormat="false" ht="15" hidden="false" customHeight="false" outlineLevel="0" collapsed="false">
      <c r="A614" s="3" t="s">
        <v>1724</v>
      </c>
      <c r="B614" s="3" t="s">
        <v>1725</v>
      </c>
      <c r="C614" s="3" t="s">
        <v>497</v>
      </c>
      <c r="D614" s="7" t="n">
        <v>-0.74</v>
      </c>
      <c r="E614" s="3" t="s">
        <v>498</v>
      </c>
      <c r="F614" s="8" t="n">
        <v>45656</v>
      </c>
      <c r="G614" s="9" t="n">
        <v>45659.4998965235</v>
      </c>
      <c r="H614" s="3" t="n">
        <v>74</v>
      </c>
      <c r="I614" s="3" t="str">
        <f aca="false">IF(G614="","OPEN","RESOLVED")</f>
        <v>RESOLVED</v>
      </c>
      <c r="J614" s="3" t="n">
        <f aca="false">IF(C614="TIMING_MISMATCH_TIMEZONE",1,IF(ABS(D614)&gt;5000,4,IF(C614="FEE_VARIANCE_BREACH",120,IF(LEFT(C614,8)="ORPHANED",48,24))))</f>
        <v>120</v>
      </c>
      <c r="K614" s="3" t="str">
        <f aca="false">IF(H614="","",IF(H614&gt;J614,"BREACH","OK"))</f>
        <v>OK</v>
      </c>
    </row>
    <row r="615" customFormat="false" ht="15" hidden="false" customHeight="false" outlineLevel="0" collapsed="false">
      <c r="A615" s="3" t="s">
        <v>1726</v>
      </c>
      <c r="B615" s="3" t="s">
        <v>1727</v>
      </c>
      <c r="C615" s="3" t="s">
        <v>531</v>
      </c>
      <c r="D615" s="7" t="n">
        <v>0</v>
      </c>
      <c r="E615" s="3" t="s">
        <v>512</v>
      </c>
      <c r="F615" s="8" t="n">
        <v>45656</v>
      </c>
      <c r="G615" s="9" t="n">
        <v>45656.4248491468</v>
      </c>
      <c r="H615" s="3" t="n">
        <v>0.2</v>
      </c>
      <c r="I615" s="3" t="str">
        <f aca="false">IF(G615="","OPEN","RESOLVED")</f>
        <v>RESOLVED</v>
      </c>
      <c r="J615" s="3" t="n">
        <f aca="false">IF(C615="TIMING_MISMATCH_TIMEZONE",1,IF(ABS(D615)&gt;5000,4,IF(C615="FEE_VARIANCE_BREACH",120,IF(LEFT(C615,8)="ORPHANED",48,24))))</f>
        <v>1</v>
      </c>
      <c r="K615" s="3" t="str">
        <f aca="false">IF(H615="","",IF(H615&gt;J615,"BREACH","OK"))</f>
        <v>OK</v>
      </c>
    </row>
    <row r="616" customFormat="false" ht="15" hidden="false" customHeight="false" outlineLevel="0" collapsed="false">
      <c r="A616" s="3" t="s">
        <v>1728</v>
      </c>
      <c r="B616" s="3" t="s">
        <v>1729</v>
      </c>
      <c r="C616" s="3" t="s">
        <v>497</v>
      </c>
      <c r="D616" s="7" t="n">
        <v>-2.37</v>
      </c>
      <c r="E616" s="3" t="s">
        <v>498</v>
      </c>
      <c r="F616" s="8" t="n">
        <v>45656</v>
      </c>
      <c r="G616" s="9" t="n">
        <v>45659.894440013</v>
      </c>
      <c r="H616" s="3" t="n">
        <v>83.47</v>
      </c>
      <c r="I616" s="3" t="str">
        <f aca="false">IF(G616="","OPEN","RESOLVED")</f>
        <v>RESOLVED</v>
      </c>
      <c r="J616" s="3" t="n">
        <f aca="false">IF(C616="TIMING_MISMATCH_TIMEZONE",1,IF(ABS(D616)&gt;5000,4,IF(C616="FEE_VARIANCE_BREACH",120,IF(LEFT(C616,8)="ORPHANED",48,24))))</f>
        <v>120</v>
      </c>
      <c r="K616" s="3" t="str">
        <f aca="false">IF(H616="","",IF(H616&gt;J616,"BREACH","OK"))</f>
        <v>OK</v>
      </c>
    </row>
    <row r="617" customFormat="false" ht="15" hidden="false" customHeight="false" outlineLevel="0" collapsed="false">
      <c r="A617" s="3" t="s">
        <v>1730</v>
      </c>
      <c r="B617" s="3" t="s">
        <v>1731</v>
      </c>
      <c r="C617" s="3" t="s">
        <v>511</v>
      </c>
      <c r="D617" s="7" t="n">
        <v>53.17</v>
      </c>
      <c r="E617" s="3" t="s">
        <v>512</v>
      </c>
      <c r="F617" s="8" t="n">
        <v>45656</v>
      </c>
      <c r="G617" s="9" t="n">
        <v>45658.3520348539</v>
      </c>
      <c r="H617" s="3" t="n">
        <v>46.45</v>
      </c>
      <c r="I617" s="3" t="str">
        <f aca="false">IF(G617="","OPEN","RESOLVED")</f>
        <v>RESOLVED</v>
      </c>
      <c r="J617" s="3" t="n">
        <f aca="false">IF(C617="TIMING_MISMATCH_TIMEZONE",1,IF(ABS(D617)&gt;5000,4,IF(C617="FEE_VARIANCE_BREACH",120,IF(LEFT(C617,8)="ORPHANED",48,24))))</f>
        <v>48</v>
      </c>
      <c r="K617" s="3" t="str">
        <f aca="false">IF(H617="","",IF(H617&gt;J617,"BREACH","OK"))</f>
        <v>OK</v>
      </c>
    </row>
    <row r="618" customFormat="false" ht="15" hidden="false" customHeight="false" outlineLevel="0" collapsed="false">
      <c r="A618" s="3" t="s">
        <v>1732</v>
      </c>
      <c r="B618" s="3" t="s">
        <v>1733</v>
      </c>
      <c r="C618" s="3" t="s">
        <v>531</v>
      </c>
      <c r="D618" s="7" t="n">
        <v>0</v>
      </c>
      <c r="E618" s="3" t="s">
        <v>512</v>
      </c>
      <c r="F618" s="8" t="n">
        <v>45656</v>
      </c>
      <c r="G618" s="9" t="n">
        <v>45656.4260417023</v>
      </c>
      <c r="H618" s="3" t="n">
        <v>0.23</v>
      </c>
      <c r="I618" s="3" t="str">
        <f aca="false">IF(G618="","OPEN","RESOLVED")</f>
        <v>RESOLVED</v>
      </c>
      <c r="J618" s="3" t="n">
        <f aca="false">IF(C618="TIMING_MISMATCH_TIMEZONE",1,IF(ABS(D618)&gt;5000,4,IF(C618="FEE_VARIANCE_BREACH",120,IF(LEFT(C618,8)="ORPHANED",48,24))))</f>
        <v>1</v>
      </c>
      <c r="K618" s="3" t="str">
        <f aca="false">IF(H618="","",IF(H618&gt;J618,"BREACH","OK"))</f>
        <v>OK</v>
      </c>
    </row>
    <row r="619" customFormat="false" ht="15" hidden="false" customHeight="false" outlineLevel="0" collapsed="false">
      <c r="A619" s="3" t="s">
        <v>1734</v>
      </c>
      <c r="B619" s="3" t="s">
        <v>1735</v>
      </c>
      <c r="C619" s="3" t="s">
        <v>531</v>
      </c>
      <c r="D619" s="7" t="n">
        <v>0</v>
      </c>
      <c r="E619" s="3" t="s">
        <v>512</v>
      </c>
      <c r="F619" s="8" t="n">
        <v>45656</v>
      </c>
      <c r="G619" s="9" t="n">
        <v>45656.421372491</v>
      </c>
      <c r="H619" s="3" t="n">
        <v>0.11</v>
      </c>
      <c r="I619" s="3" t="str">
        <f aca="false">IF(G619="","OPEN","RESOLVED")</f>
        <v>RESOLVED</v>
      </c>
      <c r="J619" s="3" t="n">
        <f aca="false">IF(C619="TIMING_MISMATCH_TIMEZONE",1,IF(ABS(D619)&gt;5000,4,IF(C619="FEE_VARIANCE_BREACH",120,IF(LEFT(C619,8)="ORPHANED",48,24))))</f>
        <v>1</v>
      </c>
      <c r="K619" s="3" t="str">
        <f aca="false">IF(H619="","",IF(H619&gt;J619,"BREACH","OK"))</f>
        <v>OK</v>
      </c>
    </row>
    <row r="620" customFormat="false" ht="15" hidden="false" customHeight="false" outlineLevel="0" collapsed="false">
      <c r="A620" s="3" t="s">
        <v>1736</v>
      </c>
      <c r="B620" s="3" t="s">
        <v>1737</v>
      </c>
      <c r="C620" s="3" t="s">
        <v>531</v>
      </c>
      <c r="D620" s="7" t="n">
        <v>0</v>
      </c>
      <c r="E620" s="3" t="s">
        <v>512</v>
      </c>
      <c r="F620" s="8" t="n">
        <v>45656</v>
      </c>
      <c r="G620" s="9" t="n">
        <v>45656.4283856676</v>
      </c>
      <c r="H620" s="3" t="n">
        <v>0.28</v>
      </c>
      <c r="I620" s="3" t="str">
        <f aca="false">IF(G620="","OPEN","RESOLVED")</f>
        <v>RESOLVED</v>
      </c>
      <c r="J620" s="3" t="n">
        <f aca="false">IF(C620="TIMING_MISMATCH_TIMEZONE",1,IF(ABS(D620)&gt;5000,4,IF(C620="FEE_VARIANCE_BREACH",120,IF(LEFT(C620,8)="ORPHANED",48,24))))</f>
        <v>1</v>
      </c>
      <c r="K620" s="3" t="str">
        <f aca="false">IF(H620="","",IF(H620&gt;J620,"BREACH","OK"))</f>
        <v>OK</v>
      </c>
    </row>
    <row r="621" customFormat="false" ht="15" hidden="false" customHeight="false" outlineLevel="0" collapsed="false">
      <c r="A621" s="3" t="s">
        <v>1738</v>
      </c>
      <c r="B621" s="3" t="s">
        <v>1739</v>
      </c>
      <c r="C621" s="3" t="s">
        <v>531</v>
      </c>
      <c r="D621" s="7" t="n">
        <v>0</v>
      </c>
      <c r="E621" s="3" t="s">
        <v>512</v>
      </c>
      <c r="F621" s="8" t="n">
        <v>45656</v>
      </c>
      <c r="G621" s="9" t="n">
        <v>45656.4246839107</v>
      </c>
      <c r="H621" s="3" t="n">
        <v>0.19</v>
      </c>
      <c r="I621" s="3" t="str">
        <f aca="false">IF(G621="","OPEN","RESOLVED")</f>
        <v>RESOLVED</v>
      </c>
      <c r="J621" s="3" t="n">
        <f aca="false">IF(C621="TIMING_MISMATCH_TIMEZONE",1,IF(ABS(D621)&gt;5000,4,IF(C621="FEE_VARIANCE_BREACH",120,IF(LEFT(C621,8)="ORPHANED",48,24))))</f>
        <v>1</v>
      </c>
      <c r="K621" s="3" t="str">
        <f aca="false">IF(H621="","",IF(H621&gt;J621,"BREACH","OK"))</f>
        <v>OK</v>
      </c>
    </row>
    <row r="622" customFormat="false" ht="15" hidden="false" customHeight="false" outlineLevel="0" collapsed="false">
      <c r="A622" s="3" t="s">
        <v>1740</v>
      </c>
      <c r="B622" s="3" t="s">
        <v>1741</v>
      </c>
      <c r="C622" s="3" t="s">
        <v>497</v>
      </c>
      <c r="D622" s="7" t="n">
        <v>-1.02</v>
      </c>
      <c r="E622" s="3" t="s">
        <v>498</v>
      </c>
      <c r="F622" s="8" t="n">
        <v>45656</v>
      </c>
      <c r="G622" s="9" t="n">
        <v>45659.7031212376</v>
      </c>
      <c r="H622" s="3" t="n">
        <v>78.87</v>
      </c>
      <c r="I622" s="3" t="str">
        <f aca="false">IF(G622="","OPEN","RESOLVED")</f>
        <v>RESOLVED</v>
      </c>
      <c r="J622" s="3" t="n">
        <f aca="false">IF(C622="TIMING_MISMATCH_TIMEZONE",1,IF(ABS(D622)&gt;5000,4,IF(C622="FEE_VARIANCE_BREACH",120,IF(LEFT(C622,8)="ORPHANED",48,24))))</f>
        <v>120</v>
      </c>
      <c r="K622" s="3" t="str">
        <f aca="false">IF(H622="","",IF(H622&gt;J622,"BREACH","OK"))</f>
        <v>OK</v>
      </c>
    </row>
    <row r="623" customFormat="false" ht="15" hidden="false" customHeight="false" outlineLevel="0" collapsed="false">
      <c r="A623" s="3" t="s">
        <v>1742</v>
      </c>
      <c r="B623" s="3" t="s">
        <v>1743</v>
      </c>
      <c r="C623" s="3" t="s">
        <v>511</v>
      </c>
      <c r="D623" s="7" t="n">
        <v>184.74</v>
      </c>
      <c r="E623" s="3" t="s">
        <v>512</v>
      </c>
      <c r="F623" s="8" t="n">
        <v>45657</v>
      </c>
      <c r="G623" s="9" t="n">
        <v>45659.131545692</v>
      </c>
      <c r="H623" s="3" t="n">
        <v>41.16</v>
      </c>
      <c r="I623" s="3" t="str">
        <f aca="false">IF(G623="","OPEN","RESOLVED")</f>
        <v>RESOLVED</v>
      </c>
      <c r="J623" s="3" t="n">
        <f aca="false">IF(C623="TIMING_MISMATCH_TIMEZONE",1,IF(ABS(D623)&gt;5000,4,IF(C623="FEE_VARIANCE_BREACH",120,IF(LEFT(C623,8)="ORPHANED",48,24))))</f>
        <v>48</v>
      </c>
      <c r="K623" s="3" t="str">
        <f aca="false">IF(H623="","",IF(H623&gt;J623,"BREACH","OK"))</f>
        <v>OK</v>
      </c>
    </row>
    <row r="624" customFormat="false" ht="15" hidden="false" customHeight="false" outlineLevel="0" collapsed="false">
      <c r="A624" s="3" t="s">
        <v>1744</v>
      </c>
      <c r="B624" s="3" t="s">
        <v>1745</v>
      </c>
      <c r="C624" s="3" t="s">
        <v>531</v>
      </c>
      <c r="D624" s="7" t="n">
        <v>0</v>
      </c>
      <c r="E624" s="3" t="s">
        <v>512</v>
      </c>
      <c r="F624" s="8" t="n">
        <v>45657</v>
      </c>
      <c r="G624" s="9" t="n">
        <v>45657.4267479856</v>
      </c>
      <c r="H624" s="3" t="n">
        <v>0.24</v>
      </c>
      <c r="I624" s="3" t="str">
        <f aca="false">IF(G624="","OPEN","RESOLVED")</f>
        <v>RESOLVED</v>
      </c>
      <c r="J624" s="3" t="n">
        <f aca="false">IF(C624="TIMING_MISMATCH_TIMEZONE",1,IF(ABS(D624)&gt;5000,4,IF(C624="FEE_VARIANCE_BREACH",120,IF(LEFT(C624,8)="ORPHANED",48,24))))</f>
        <v>1</v>
      </c>
      <c r="K624" s="3" t="str">
        <f aca="false">IF(H624="","",IF(H624&gt;J624,"BREACH","OK"))</f>
        <v>OK</v>
      </c>
    </row>
    <row r="625" customFormat="false" ht="15" hidden="false" customHeight="false" outlineLevel="0" collapsed="false">
      <c r="A625" s="3" t="s">
        <v>1746</v>
      </c>
      <c r="B625" s="3" t="s">
        <v>1747</v>
      </c>
      <c r="C625" s="3" t="s">
        <v>497</v>
      </c>
      <c r="D625" s="7" t="n">
        <v>-1.45</v>
      </c>
      <c r="E625" s="3" t="s">
        <v>498</v>
      </c>
      <c r="F625" s="8" t="n">
        <v>45657</v>
      </c>
      <c r="G625" s="9" t="n">
        <v>45659.3702356528</v>
      </c>
      <c r="H625" s="3" t="n">
        <v>46.89</v>
      </c>
      <c r="I625" s="3" t="str">
        <f aca="false">IF(G625="","OPEN","RESOLVED")</f>
        <v>RESOLVED</v>
      </c>
      <c r="J625" s="3" t="n">
        <f aca="false">IF(C625="TIMING_MISMATCH_TIMEZONE",1,IF(ABS(D625)&gt;5000,4,IF(C625="FEE_VARIANCE_BREACH",120,IF(LEFT(C625,8)="ORPHANED",48,24))))</f>
        <v>120</v>
      </c>
      <c r="K625" s="3" t="str">
        <f aca="false">IF(H625="","",IF(H625&gt;J625,"BREACH","OK"))</f>
        <v>OK</v>
      </c>
    </row>
    <row r="626" customFormat="false" ht="15" hidden="false" customHeight="false" outlineLevel="0" collapsed="false">
      <c r="A626" s="3" t="s">
        <v>1748</v>
      </c>
      <c r="B626" s="3" t="s">
        <v>1749</v>
      </c>
      <c r="C626" s="3" t="s">
        <v>497</v>
      </c>
      <c r="D626" s="7" t="n">
        <v>-2.68</v>
      </c>
      <c r="E626" s="3" t="s">
        <v>498</v>
      </c>
      <c r="F626" s="8" t="n">
        <v>45657</v>
      </c>
      <c r="G626" s="9"/>
      <c r="H626" s="3"/>
      <c r="I626" s="3" t="str">
        <f aca="false">IF(G626="","OPEN","RESOLVED")</f>
        <v>OPEN</v>
      </c>
      <c r="J626" s="3" t="n">
        <f aca="false">IF(C626="TIMING_MISMATCH_TIMEZONE",1,IF(ABS(D626)&gt;5000,4,IF(C626="FEE_VARIANCE_BREACH",120,IF(LEFT(C626,8)="ORPHANED",48,24))))</f>
        <v>120</v>
      </c>
      <c r="K626" s="3" t="str">
        <f aca="false">IF(H626="","",IF(H626&gt;J626,"BREACH","OK"))</f>
        <v/>
      </c>
    </row>
    <row r="627" customFormat="false" ht="15" hidden="false" customHeight="false" outlineLevel="0" collapsed="false">
      <c r="A627" s="3" t="s">
        <v>1750</v>
      </c>
      <c r="B627" s="3" t="s">
        <v>1751</v>
      </c>
      <c r="C627" s="3" t="s">
        <v>511</v>
      </c>
      <c r="D627" s="7" t="n">
        <v>553.14</v>
      </c>
      <c r="E627" s="3" t="s">
        <v>512</v>
      </c>
      <c r="F627" s="8" t="n">
        <v>45657</v>
      </c>
      <c r="G627" s="9" t="n">
        <v>45658.0875507877</v>
      </c>
      <c r="H627" s="3" t="n">
        <v>16.1</v>
      </c>
      <c r="I627" s="3" t="str">
        <f aca="false">IF(G627="","OPEN","RESOLVED")</f>
        <v>RESOLVED</v>
      </c>
      <c r="J627" s="3" t="n">
        <f aca="false">IF(C627="TIMING_MISMATCH_TIMEZONE",1,IF(ABS(D627)&gt;5000,4,IF(C627="FEE_VARIANCE_BREACH",120,IF(LEFT(C627,8)="ORPHANED",48,24))))</f>
        <v>48</v>
      </c>
      <c r="K627" s="3" t="str">
        <f aca="false">IF(H627="","",IF(H627&gt;J627,"BREACH","OK"))</f>
        <v>OK</v>
      </c>
    </row>
    <row r="628" customFormat="false" ht="15" hidden="false" customHeight="false" outlineLevel="0" collapsed="false">
      <c r="A628" s="3" t="s">
        <v>1752</v>
      </c>
      <c r="B628" s="3" t="s">
        <v>1753</v>
      </c>
      <c r="C628" s="3" t="s">
        <v>531</v>
      </c>
      <c r="D628" s="7" t="n">
        <v>0</v>
      </c>
      <c r="E628" s="3" t="s">
        <v>512</v>
      </c>
      <c r="F628" s="8" t="n">
        <v>45657</v>
      </c>
      <c r="G628" s="9" t="n">
        <v>45657.4272340643</v>
      </c>
      <c r="H628" s="3" t="n">
        <v>0.25</v>
      </c>
      <c r="I628" s="3" t="str">
        <f aca="false">IF(G628="","OPEN","RESOLVED")</f>
        <v>RESOLVED</v>
      </c>
      <c r="J628" s="3" t="n">
        <f aca="false">IF(C628="TIMING_MISMATCH_TIMEZONE",1,IF(ABS(D628)&gt;5000,4,IF(C628="FEE_VARIANCE_BREACH",120,IF(LEFT(C628,8)="ORPHANED",48,24))))</f>
        <v>1</v>
      </c>
      <c r="K628" s="3" t="str">
        <f aca="false">IF(H628="","",IF(H628&gt;J628,"BREACH","OK"))</f>
        <v>OK</v>
      </c>
    </row>
    <row r="629" customFormat="false" ht="15" hidden="false" customHeight="false" outlineLevel="0" collapsed="false">
      <c r="A629" s="3" t="s">
        <v>1754</v>
      </c>
      <c r="B629" s="3" t="s">
        <v>1755</v>
      </c>
      <c r="C629" s="3" t="s">
        <v>511</v>
      </c>
      <c r="D629" s="7" t="n">
        <v>58.02</v>
      </c>
      <c r="E629" s="3" t="s">
        <v>512</v>
      </c>
      <c r="F629" s="8" t="n">
        <v>45657</v>
      </c>
      <c r="G629" s="9" t="n">
        <v>45658.8257688934</v>
      </c>
      <c r="H629" s="3" t="n">
        <v>33.82</v>
      </c>
      <c r="I629" s="3" t="str">
        <f aca="false">IF(G629="","OPEN","RESOLVED")</f>
        <v>RESOLVED</v>
      </c>
      <c r="J629" s="3" t="n">
        <f aca="false">IF(C629="TIMING_MISMATCH_TIMEZONE",1,IF(ABS(D629)&gt;5000,4,IF(C629="FEE_VARIANCE_BREACH",120,IF(LEFT(C629,8)="ORPHANED",48,24))))</f>
        <v>48</v>
      </c>
      <c r="K629" s="3" t="str">
        <f aca="false">IF(H629="","",IF(H629&gt;J629,"BREACH","OK"))</f>
        <v>OK</v>
      </c>
    </row>
    <row r="630" customFormat="false" ht="15" hidden="false" customHeight="false" outlineLevel="0" collapsed="false">
      <c r="A630" s="3" t="s">
        <v>1756</v>
      </c>
      <c r="B630" s="3" t="s">
        <v>1757</v>
      </c>
      <c r="C630" s="3" t="s">
        <v>531</v>
      </c>
      <c r="D630" s="7" t="n">
        <v>0</v>
      </c>
      <c r="E630" s="3" t="s">
        <v>512</v>
      </c>
      <c r="F630" s="8" t="n">
        <v>45657</v>
      </c>
      <c r="G630" s="9" t="n">
        <v>45657.4258544122</v>
      </c>
      <c r="H630" s="3" t="n">
        <v>0.22</v>
      </c>
      <c r="I630" s="3" t="str">
        <f aca="false">IF(G630="","OPEN","RESOLVED")</f>
        <v>RESOLVED</v>
      </c>
      <c r="J630" s="3" t="n">
        <f aca="false">IF(C630="TIMING_MISMATCH_TIMEZONE",1,IF(ABS(D630)&gt;5000,4,IF(C630="FEE_VARIANCE_BREACH",120,IF(LEFT(C630,8)="ORPHANED",48,24))))</f>
        <v>1</v>
      </c>
      <c r="K630" s="3" t="str">
        <f aca="false">IF(H630="","",IF(H630&gt;J630,"BREACH","OK"))</f>
        <v>OK</v>
      </c>
    </row>
    <row r="631" customFormat="false" ht="15" hidden="false" customHeight="false" outlineLevel="0" collapsed="false">
      <c r="A631" s="3" t="s">
        <v>1758</v>
      </c>
      <c r="B631" s="3" t="s">
        <v>1759</v>
      </c>
      <c r="C631" s="3" t="s">
        <v>531</v>
      </c>
      <c r="D631" s="7" t="n">
        <v>0</v>
      </c>
      <c r="E631" s="3" t="s">
        <v>512</v>
      </c>
      <c r="F631" s="8" t="n">
        <v>45657</v>
      </c>
      <c r="G631" s="9" t="n">
        <v>45657.4249108883</v>
      </c>
      <c r="H631" s="3" t="n">
        <v>0.2</v>
      </c>
      <c r="I631" s="3" t="str">
        <f aca="false">IF(G631="","OPEN","RESOLVED")</f>
        <v>RESOLVED</v>
      </c>
      <c r="J631" s="3" t="n">
        <f aca="false">IF(C631="TIMING_MISMATCH_TIMEZONE",1,IF(ABS(D631)&gt;5000,4,IF(C631="FEE_VARIANCE_BREACH",120,IF(LEFT(C631,8)="ORPHANED",48,24))))</f>
        <v>1</v>
      </c>
      <c r="K631" s="3" t="str">
        <f aca="false">IF(H631="","",IF(H631&gt;J631,"BREACH","OK"))</f>
        <v>OK</v>
      </c>
    </row>
    <row r="632" customFormat="false" ht="15" hidden="false" customHeight="false" outlineLevel="0" collapsed="false">
      <c r="A632" s="3" t="s">
        <v>1760</v>
      </c>
      <c r="B632" s="3" t="s">
        <v>1761</v>
      </c>
      <c r="C632" s="3" t="s">
        <v>531</v>
      </c>
      <c r="D632" s="7" t="n">
        <v>0</v>
      </c>
      <c r="E632" s="3" t="s">
        <v>512</v>
      </c>
      <c r="F632" s="8" t="n">
        <v>45657</v>
      </c>
      <c r="G632" s="9" t="n">
        <v>45657.4247492639</v>
      </c>
      <c r="H632" s="3" t="n">
        <v>0.19</v>
      </c>
      <c r="I632" s="3" t="str">
        <f aca="false">IF(G632="","OPEN","RESOLVED")</f>
        <v>RESOLVED</v>
      </c>
      <c r="J632" s="3" t="n">
        <f aca="false">IF(C632="TIMING_MISMATCH_TIMEZONE",1,IF(ABS(D632)&gt;5000,4,IF(C632="FEE_VARIANCE_BREACH",120,IF(LEFT(C632,8)="ORPHANED",48,24))))</f>
        <v>1</v>
      </c>
      <c r="K632" s="3" t="str">
        <f aca="false">IF(H632="","",IF(H632&gt;J632,"BREACH","OK"))</f>
        <v>OK</v>
      </c>
    </row>
    <row r="633" customFormat="false" ht="15" hidden="false" customHeight="false" outlineLevel="0" collapsed="false">
      <c r="A633" s="3" t="s">
        <v>1762</v>
      </c>
      <c r="B633" s="3" t="s">
        <v>1763</v>
      </c>
      <c r="C633" s="3" t="s">
        <v>531</v>
      </c>
      <c r="D633" s="7" t="n">
        <v>0</v>
      </c>
      <c r="E633" s="3" t="s">
        <v>512</v>
      </c>
      <c r="F633" s="8" t="n">
        <v>45657</v>
      </c>
      <c r="G633" s="9" t="n">
        <v>45657.4191011671</v>
      </c>
      <c r="H633" s="3" t="n">
        <v>0.06</v>
      </c>
      <c r="I633" s="3" t="str">
        <f aca="false">IF(G633="","OPEN","RESOLVED")</f>
        <v>RESOLVED</v>
      </c>
      <c r="J633" s="3" t="n">
        <f aca="false">IF(C633="TIMING_MISMATCH_TIMEZONE",1,IF(ABS(D633)&gt;5000,4,IF(C633="FEE_VARIANCE_BREACH",120,IF(LEFT(C633,8)="ORPHANED",48,24))))</f>
        <v>1</v>
      </c>
      <c r="K633" s="3" t="str">
        <f aca="false">IF(H633="","",IF(H633&gt;J633,"BREACH","OK"))</f>
        <v>OK</v>
      </c>
    </row>
    <row r="634" customFormat="false" ht="15" hidden="false" customHeight="false" outlineLevel="0" collapsed="false">
      <c r="A634" s="3" t="s">
        <v>1764</v>
      </c>
      <c r="B634" s="3" t="s">
        <v>1765</v>
      </c>
      <c r="C634" s="3" t="s">
        <v>531</v>
      </c>
      <c r="D634" s="7" t="n">
        <v>0</v>
      </c>
      <c r="E634" s="3" t="s">
        <v>512</v>
      </c>
      <c r="F634" s="8" t="n">
        <v>45657</v>
      </c>
      <c r="G634" s="9" t="n">
        <v>45657.4285581168</v>
      </c>
      <c r="H634" s="3" t="n">
        <v>0.29</v>
      </c>
      <c r="I634" s="3" t="str">
        <f aca="false">IF(G634="","OPEN","RESOLVED")</f>
        <v>RESOLVED</v>
      </c>
      <c r="J634" s="3" t="n">
        <f aca="false">IF(C634="TIMING_MISMATCH_TIMEZONE",1,IF(ABS(D634)&gt;5000,4,IF(C634="FEE_VARIANCE_BREACH",120,IF(LEFT(C634,8)="ORPHANED",48,24))))</f>
        <v>1</v>
      </c>
      <c r="K634" s="3" t="str">
        <f aca="false">IF(H634="","",IF(H634&gt;J634,"BREACH","OK"))</f>
        <v>OK</v>
      </c>
    </row>
    <row r="635" customFormat="false" ht="15" hidden="false" customHeight="false" outlineLevel="0" collapsed="false">
      <c r="A635" s="3" t="s">
        <v>1766</v>
      </c>
      <c r="B635" s="3" t="s">
        <v>1767</v>
      </c>
      <c r="C635" s="3" t="s">
        <v>531</v>
      </c>
      <c r="D635" s="7" t="n">
        <v>0</v>
      </c>
      <c r="E635" s="3" t="s">
        <v>512</v>
      </c>
      <c r="F635" s="8" t="n">
        <v>45657</v>
      </c>
      <c r="G635" s="9" t="n">
        <v>45657.4207821661</v>
      </c>
      <c r="H635" s="3" t="n">
        <v>0.1</v>
      </c>
      <c r="I635" s="3" t="str">
        <f aca="false">IF(G635="","OPEN","RESOLVED")</f>
        <v>RESOLVED</v>
      </c>
      <c r="J635" s="3" t="n">
        <f aca="false">IF(C635="TIMING_MISMATCH_TIMEZONE",1,IF(ABS(D635)&gt;5000,4,IF(C635="FEE_VARIANCE_BREACH",120,IF(LEFT(C635,8)="ORPHANED",48,24))))</f>
        <v>1</v>
      </c>
      <c r="K635" s="3" t="str">
        <f aca="false">IF(H635="","",IF(H635&gt;J635,"BREACH","OK"))</f>
        <v>OK</v>
      </c>
    </row>
    <row r="636" customFormat="false" ht="15" hidden="false" customHeight="false" outlineLevel="0" collapsed="false">
      <c r="A636" s="3" t="s">
        <v>1768</v>
      </c>
      <c r="B636" s="3" t="s">
        <v>1769</v>
      </c>
      <c r="C636" s="3" t="s">
        <v>531</v>
      </c>
      <c r="D636" s="7" t="n">
        <v>0</v>
      </c>
      <c r="E636" s="3" t="s">
        <v>512</v>
      </c>
      <c r="F636" s="8" t="n">
        <v>45657</v>
      </c>
      <c r="G636" s="9" t="n">
        <v>45657.4262579657</v>
      </c>
      <c r="H636" s="3" t="n">
        <v>0.23</v>
      </c>
      <c r="I636" s="3" t="str">
        <f aca="false">IF(G636="","OPEN","RESOLVED")</f>
        <v>RESOLVED</v>
      </c>
      <c r="J636" s="3" t="n">
        <f aca="false">IF(C636="TIMING_MISMATCH_TIMEZONE",1,IF(ABS(D636)&gt;5000,4,IF(C636="FEE_VARIANCE_BREACH",120,IF(LEFT(C636,8)="ORPHANED",48,24))))</f>
        <v>1</v>
      </c>
      <c r="K636" s="3" t="str">
        <f aca="false">IF(H636="","",IF(H636&gt;J636,"BREACH","OK"))</f>
        <v>OK</v>
      </c>
    </row>
    <row r="637" customFormat="false" ht="15" hidden="false" customHeight="false" outlineLevel="0" collapsed="false">
      <c r="A637" s="3" t="s">
        <v>1770</v>
      </c>
      <c r="B637" s="3" t="s">
        <v>1771</v>
      </c>
      <c r="C637" s="3" t="s">
        <v>497</v>
      </c>
      <c r="D637" s="7" t="n">
        <v>-2.79</v>
      </c>
      <c r="E637" s="3" t="s">
        <v>498</v>
      </c>
      <c r="F637" s="8" t="n">
        <v>45657</v>
      </c>
      <c r="G637" s="9" t="n">
        <v>45659.4692735347</v>
      </c>
      <c r="H637" s="3" t="n">
        <v>49.26</v>
      </c>
      <c r="I637" s="3" t="str">
        <f aca="false">IF(G637="","OPEN","RESOLVED")</f>
        <v>RESOLVED</v>
      </c>
      <c r="J637" s="3" t="n">
        <f aca="false">IF(C637="TIMING_MISMATCH_TIMEZONE",1,IF(ABS(D637)&gt;5000,4,IF(C637="FEE_VARIANCE_BREACH",120,IF(LEFT(C637,8)="ORPHANED",48,24))))</f>
        <v>120</v>
      </c>
      <c r="K637" s="3" t="str">
        <f aca="false">IF(H637="","",IF(H637&gt;J637,"BREACH","OK"))</f>
        <v>OK</v>
      </c>
    </row>
    <row r="638" customFormat="false" ht="15" hidden="false" customHeight="false" outlineLevel="0" collapsed="false">
      <c r="A638" s="3" t="s">
        <v>1772</v>
      </c>
      <c r="B638" s="3" t="s">
        <v>1773</v>
      </c>
      <c r="C638" s="3" t="s">
        <v>531</v>
      </c>
      <c r="D638" s="7" t="n">
        <v>0</v>
      </c>
      <c r="E638" s="3" t="s">
        <v>512</v>
      </c>
      <c r="F638" s="8" t="n">
        <v>45657</v>
      </c>
      <c r="G638" s="9" t="n">
        <v>45657.4190536032</v>
      </c>
      <c r="H638" s="3" t="n">
        <v>0.06</v>
      </c>
      <c r="I638" s="3" t="str">
        <f aca="false">IF(G638="","OPEN","RESOLVED")</f>
        <v>RESOLVED</v>
      </c>
      <c r="J638" s="3" t="n">
        <f aca="false">IF(C638="TIMING_MISMATCH_TIMEZONE",1,IF(ABS(D638)&gt;5000,4,IF(C638="FEE_VARIANCE_BREACH",120,IF(LEFT(C638,8)="ORPHANED",48,24))))</f>
        <v>1</v>
      </c>
      <c r="K638" s="3" t="str">
        <f aca="false">IF(H638="","",IF(H638&gt;J638,"BREACH","OK"))</f>
        <v>OK</v>
      </c>
    </row>
    <row r="639" customFormat="false" ht="15" hidden="false" customHeight="false" outlineLevel="0" collapsed="false">
      <c r="A639" s="3" t="s">
        <v>1774</v>
      </c>
      <c r="B639" s="3" t="s">
        <v>1775</v>
      </c>
      <c r="C639" s="3" t="s">
        <v>511</v>
      </c>
      <c r="D639" s="7" t="n">
        <v>243.9</v>
      </c>
      <c r="E639" s="3" t="s">
        <v>512</v>
      </c>
      <c r="F639" s="8" t="n">
        <v>45657</v>
      </c>
      <c r="G639" s="9" t="n">
        <v>45658.8965236779</v>
      </c>
      <c r="H639" s="3" t="n">
        <v>35.52</v>
      </c>
      <c r="I639" s="3" t="str">
        <f aca="false">IF(G639="","OPEN","RESOLVED")</f>
        <v>RESOLVED</v>
      </c>
      <c r="J639" s="3" t="n">
        <f aca="false">IF(C639="TIMING_MISMATCH_TIMEZONE",1,IF(ABS(D639)&gt;5000,4,IF(C639="FEE_VARIANCE_BREACH",120,IF(LEFT(C639,8)="ORPHANED",48,24))))</f>
        <v>48</v>
      </c>
      <c r="K639" s="3" t="str">
        <f aca="false">IF(H639="","",IF(H639&gt;J639,"BREACH","OK"))</f>
        <v>OK</v>
      </c>
    </row>
    <row r="640" customFormat="false" ht="15" hidden="false" customHeight="false" outlineLevel="0" collapsed="false">
      <c r="A640" s="3" t="s">
        <v>1776</v>
      </c>
      <c r="B640" s="3" t="s">
        <v>1777</v>
      </c>
      <c r="C640" s="3" t="s">
        <v>531</v>
      </c>
      <c r="D640" s="7" t="n">
        <v>0</v>
      </c>
      <c r="E640" s="3" t="s">
        <v>512</v>
      </c>
      <c r="F640" s="8" t="n">
        <v>45657</v>
      </c>
      <c r="G640" s="9" t="n">
        <v>45657.41875</v>
      </c>
      <c r="H640" s="3" t="n">
        <v>0.05</v>
      </c>
      <c r="I640" s="3" t="str">
        <f aca="false">IF(G640="","OPEN","RESOLVED")</f>
        <v>RESOLVED</v>
      </c>
      <c r="J640" s="3" t="n">
        <f aca="false">IF(C640="TIMING_MISMATCH_TIMEZONE",1,IF(ABS(D640)&gt;5000,4,IF(C640="FEE_VARIANCE_BREACH",120,IF(LEFT(C640,8)="ORPHANED",48,24))))</f>
        <v>1</v>
      </c>
      <c r="K640" s="3" t="str">
        <f aca="false">IF(H640="","",IF(H640&gt;J640,"BREACH","OK"))</f>
        <v>OK</v>
      </c>
    </row>
    <row r="641" customFormat="false" ht="15" hidden="false" customHeight="false" outlineLevel="0" collapsed="false">
      <c r="A641" s="3" t="s">
        <v>1778</v>
      </c>
      <c r="B641" s="3" t="s">
        <v>1779</v>
      </c>
      <c r="C641" s="3" t="s">
        <v>497</v>
      </c>
      <c r="D641" s="7" t="n">
        <v>-0.61</v>
      </c>
      <c r="E641" s="3" t="s">
        <v>498</v>
      </c>
      <c r="F641" s="8" t="n">
        <v>45657</v>
      </c>
      <c r="G641" s="9" t="n">
        <v>45660.5933483311</v>
      </c>
      <c r="H641" s="3" t="n">
        <v>76.24</v>
      </c>
      <c r="I641" s="3" t="str">
        <f aca="false">IF(G641="","OPEN","RESOLVED")</f>
        <v>RESOLVED</v>
      </c>
      <c r="J641" s="3" t="n">
        <f aca="false">IF(C641="TIMING_MISMATCH_TIMEZONE",1,IF(ABS(D641)&gt;5000,4,IF(C641="FEE_VARIANCE_BREACH",120,IF(LEFT(C641,8)="ORPHANED",48,24))))</f>
        <v>120</v>
      </c>
      <c r="K641" s="3" t="str">
        <f aca="false">IF(H641="","",IF(H641&gt;J641,"BREACH","OK"))</f>
        <v>OK</v>
      </c>
    </row>
    <row r="642" customFormat="false" ht="15" hidden="false" customHeight="false" outlineLevel="0" collapsed="false">
      <c r="A642" s="3" t="s">
        <v>1780</v>
      </c>
      <c r="B642" s="3" t="s">
        <v>1781</v>
      </c>
      <c r="C642" s="3" t="s">
        <v>517</v>
      </c>
      <c r="D642" s="7" t="n">
        <v>-3</v>
      </c>
      <c r="E642" s="3" t="s">
        <v>518</v>
      </c>
      <c r="F642" s="8" t="n">
        <v>45657</v>
      </c>
      <c r="G642" s="9" t="n">
        <v>45659.2873265144</v>
      </c>
      <c r="H642" s="3" t="n">
        <v>44.9</v>
      </c>
      <c r="I642" s="3" t="str">
        <f aca="false">IF(G642="","OPEN","RESOLVED")</f>
        <v>RESOLVED</v>
      </c>
      <c r="J642" s="3" t="n">
        <f aca="false">IF(C642="TIMING_MISMATCH_TIMEZONE",1,IF(ABS(D642)&gt;5000,4,IF(C642="FEE_VARIANCE_BREACH",120,IF(LEFT(C642,8)="ORPHANED",48,24))))</f>
        <v>24</v>
      </c>
      <c r="K642" s="3" t="str">
        <f aca="false">IF(H642="","",IF(H642&gt;J642,"BREACH","OK"))</f>
        <v>BREACH</v>
      </c>
    </row>
    <row r="643" customFormat="false" ht="15" hidden="false" customHeight="false" outlineLevel="0" collapsed="false">
      <c r="A643" s="3" t="s">
        <v>1782</v>
      </c>
      <c r="B643" s="3" t="s">
        <v>1783</v>
      </c>
      <c r="C643" s="3" t="s">
        <v>531</v>
      </c>
      <c r="D643" s="7" t="n">
        <v>0</v>
      </c>
      <c r="E643" s="3" t="s">
        <v>512</v>
      </c>
      <c r="F643" s="8" t="n">
        <v>45658</v>
      </c>
      <c r="G643" s="9" t="n">
        <v>45658.4285098912</v>
      </c>
      <c r="H643" s="3" t="n">
        <v>0.28</v>
      </c>
      <c r="I643" s="3" t="str">
        <f aca="false">IF(G643="","OPEN","RESOLVED")</f>
        <v>RESOLVED</v>
      </c>
      <c r="J643" s="3" t="n">
        <f aca="false">IF(C643="TIMING_MISMATCH_TIMEZONE",1,IF(ABS(D643)&gt;5000,4,IF(C643="FEE_VARIANCE_BREACH",120,IF(LEFT(C643,8)="ORPHANED",48,24))))</f>
        <v>1</v>
      </c>
      <c r="K643" s="3" t="str">
        <f aca="false">IF(H643="","",IF(H643&gt;J643,"BREACH","OK"))</f>
        <v>OK</v>
      </c>
    </row>
    <row r="644" customFormat="false" ht="15" hidden="false" customHeight="false" outlineLevel="0" collapsed="false">
      <c r="A644" s="3" t="s">
        <v>1784</v>
      </c>
      <c r="B644" s="3" t="s">
        <v>1785</v>
      </c>
      <c r="C644" s="3" t="s">
        <v>497</v>
      </c>
      <c r="D644" s="7" t="n">
        <v>-1.63</v>
      </c>
      <c r="E644" s="3" t="s">
        <v>498</v>
      </c>
      <c r="F644" s="8" t="n">
        <v>45658</v>
      </c>
      <c r="G644" s="9" t="n">
        <v>45660.5035394159</v>
      </c>
      <c r="H644" s="3" t="n">
        <v>50.08</v>
      </c>
      <c r="I644" s="3" t="str">
        <f aca="false">IF(G644="","OPEN","RESOLVED")</f>
        <v>RESOLVED</v>
      </c>
      <c r="J644" s="3" t="n">
        <f aca="false">IF(C644="TIMING_MISMATCH_TIMEZONE",1,IF(ABS(D644)&gt;5000,4,IF(C644="FEE_VARIANCE_BREACH",120,IF(LEFT(C644,8)="ORPHANED",48,24))))</f>
        <v>120</v>
      </c>
      <c r="K644" s="3" t="str">
        <f aca="false">IF(H644="","",IF(H644&gt;J644,"BREACH","OK"))</f>
        <v>OK</v>
      </c>
    </row>
    <row r="645" customFormat="false" ht="15" hidden="false" customHeight="false" outlineLevel="0" collapsed="false">
      <c r="A645" s="3" t="s">
        <v>1786</v>
      </c>
      <c r="B645" s="3" t="s">
        <v>1787</v>
      </c>
      <c r="C645" s="3" t="s">
        <v>497</v>
      </c>
      <c r="D645" s="7" t="n">
        <v>-1.85</v>
      </c>
      <c r="E645" s="3" t="s">
        <v>498</v>
      </c>
      <c r="F645" s="8" t="n">
        <v>45658</v>
      </c>
      <c r="G645" s="9" t="n">
        <v>45660.6193892993</v>
      </c>
      <c r="H645" s="3" t="n">
        <v>52.87</v>
      </c>
      <c r="I645" s="3" t="str">
        <f aca="false">IF(G645="","OPEN","RESOLVED")</f>
        <v>RESOLVED</v>
      </c>
      <c r="J645" s="3" t="n">
        <f aca="false">IF(C645="TIMING_MISMATCH_TIMEZONE",1,IF(ABS(D645)&gt;5000,4,IF(C645="FEE_VARIANCE_BREACH",120,IF(LEFT(C645,8)="ORPHANED",48,24))))</f>
        <v>120</v>
      </c>
      <c r="K645" s="3" t="str">
        <f aca="false">IF(H645="","",IF(H645&gt;J645,"BREACH","OK"))</f>
        <v>OK</v>
      </c>
    </row>
    <row r="646" customFormat="false" ht="15" hidden="false" customHeight="false" outlineLevel="0" collapsed="false">
      <c r="A646" s="3" t="s">
        <v>1788</v>
      </c>
      <c r="B646" s="3" t="s">
        <v>1789</v>
      </c>
      <c r="C646" s="3" t="s">
        <v>531</v>
      </c>
      <c r="D646" s="7" t="n">
        <v>0</v>
      </c>
      <c r="E646" s="3" t="s">
        <v>512</v>
      </c>
      <c r="F646" s="8" t="n">
        <v>45658</v>
      </c>
      <c r="G646" s="9" t="n">
        <v>45658.4250520344</v>
      </c>
      <c r="H646" s="3" t="n">
        <v>0.2</v>
      </c>
      <c r="I646" s="3" t="str">
        <f aca="false">IF(G646="","OPEN","RESOLVED")</f>
        <v>RESOLVED</v>
      </c>
      <c r="J646" s="3" t="n">
        <f aca="false">IF(C646="TIMING_MISMATCH_TIMEZONE",1,IF(ABS(D646)&gt;5000,4,IF(C646="FEE_VARIANCE_BREACH",120,IF(LEFT(C646,8)="ORPHANED",48,24))))</f>
        <v>1</v>
      </c>
      <c r="K646" s="3" t="str">
        <f aca="false">IF(H646="","",IF(H646&gt;J646,"BREACH","OK"))</f>
        <v>OK</v>
      </c>
    </row>
    <row r="647" customFormat="false" ht="15" hidden="false" customHeight="false" outlineLevel="0" collapsed="false">
      <c r="A647" s="3" t="s">
        <v>1790</v>
      </c>
      <c r="B647" s="3" t="s">
        <v>1791</v>
      </c>
      <c r="C647" s="3" t="s">
        <v>497</v>
      </c>
      <c r="D647" s="7" t="n">
        <v>-1.64</v>
      </c>
      <c r="E647" s="3" t="s">
        <v>498</v>
      </c>
      <c r="F647" s="8" t="n">
        <v>45658</v>
      </c>
      <c r="G647" s="9"/>
      <c r="H647" s="3"/>
      <c r="I647" s="3" t="str">
        <f aca="false">IF(G647="","OPEN","RESOLVED")</f>
        <v>OPEN</v>
      </c>
      <c r="J647" s="3" t="n">
        <f aca="false">IF(C647="TIMING_MISMATCH_TIMEZONE",1,IF(ABS(D647)&gt;5000,4,IF(C647="FEE_VARIANCE_BREACH",120,IF(LEFT(C647,8)="ORPHANED",48,24))))</f>
        <v>120</v>
      </c>
      <c r="K647" s="3" t="str">
        <f aca="false">IF(H647="","",IF(H647&gt;J647,"BREACH","OK"))</f>
        <v/>
      </c>
    </row>
    <row r="648" customFormat="false" ht="15" hidden="false" customHeight="false" outlineLevel="0" collapsed="false">
      <c r="A648" s="3" t="s">
        <v>1792</v>
      </c>
      <c r="B648" s="3" t="s">
        <v>1793</v>
      </c>
      <c r="C648" s="3" t="s">
        <v>497</v>
      </c>
      <c r="D648" s="7" t="n">
        <v>-1.11</v>
      </c>
      <c r="E648" s="3" t="s">
        <v>498</v>
      </c>
      <c r="F648" s="8" t="n">
        <v>45658</v>
      </c>
      <c r="G648" s="9"/>
      <c r="H648" s="3"/>
      <c r="I648" s="3" t="str">
        <f aca="false">IF(G648="","OPEN","RESOLVED")</f>
        <v>OPEN</v>
      </c>
      <c r="J648" s="3" t="n">
        <f aca="false">IF(C648="TIMING_MISMATCH_TIMEZONE",1,IF(ABS(D648)&gt;5000,4,IF(C648="FEE_VARIANCE_BREACH",120,IF(LEFT(C648,8)="ORPHANED",48,24))))</f>
        <v>120</v>
      </c>
      <c r="K648" s="3" t="str">
        <f aca="false">IF(H648="","",IF(H648&gt;J648,"BREACH","OK"))</f>
        <v/>
      </c>
    </row>
    <row r="649" customFormat="false" ht="15" hidden="false" customHeight="false" outlineLevel="0" collapsed="false">
      <c r="A649" s="3" t="s">
        <v>1794</v>
      </c>
      <c r="B649" s="3" t="s">
        <v>1795</v>
      </c>
      <c r="C649" s="3" t="s">
        <v>531</v>
      </c>
      <c r="D649" s="7" t="n">
        <v>0</v>
      </c>
      <c r="E649" s="3" t="s">
        <v>512</v>
      </c>
      <c r="F649" s="8" t="n">
        <v>45658</v>
      </c>
      <c r="G649" s="9" t="n">
        <v>45658.4280509744</v>
      </c>
      <c r="H649" s="3" t="n">
        <v>0.27</v>
      </c>
      <c r="I649" s="3" t="str">
        <f aca="false">IF(G649="","OPEN","RESOLVED")</f>
        <v>RESOLVED</v>
      </c>
      <c r="J649" s="3" t="n">
        <f aca="false">IF(C649="TIMING_MISMATCH_TIMEZONE",1,IF(ABS(D649)&gt;5000,4,IF(C649="FEE_VARIANCE_BREACH",120,IF(LEFT(C649,8)="ORPHANED",48,24))))</f>
        <v>1</v>
      </c>
      <c r="K649" s="3" t="str">
        <f aca="false">IF(H649="","",IF(H649&gt;J649,"BREACH","OK"))</f>
        <v>OK</v>
      </c>
    </row>
    <row r="650" customFormat="false" ht="15" hidden="false" customHeight="false" outlineLevel="0" collapsed="false">
      <c r="A650" s="3" t="s">
        <v>1796</v>
      </c>
      <c r="B650" s="3" t="s">
        <v>1797</v>
      </c>
      <c r="C650" s="3" t="s">
        <v>531</v>
      </c>
      <c r="D650" s="7" t="n">
        <v>0</v>
      </c>
      <c r="E650" s="3" t="s">
        <v>512</v>
      </c>
      <c r="F650" s="8" t="n">
        <v>45658</v>
      </c>
      <c r="G650" s="9" t="n">
        <v>45658.4271345124</v>
      </c>
      <c r="H650" s="3" t="n">
        <v>0.25</v>
      </c>
      <c r="I650" s="3" t="str">
        <f aca="false">IF(G650="","OPEN","RESOLVED")</f>
        <v>RESOLVED</v>
      </c>
      <c r="J650" s="3" t="n">
        <f aca="false">IF(C650="TIMING_MISMATCH_TIMEZONE",1,IF(ABS(D650)&gt;5000,4,IF(C650="FEE_VARIANCE_BREACH",120,IF(LEFT(C650,8)="ORPHANED",48,24))))</f>
        <v>1</v>
      </c>
      <c r="K650" s="3" t="str">
        <f aca="false">IF(H650="","",IF(H650&gt;J650,"BREACH","OK"))</f>
        <v>OK</v>
      </c>
    </row>
    <row r="651" customFormat="false" ht="15" hidden="false" customHeight="false" outlineLevel="0" collapsed="false">
      <c r="A651" s="3" t="s">
        <v>1798</v>
      </c>
      <c r="B651" s="3" t="s">
        <v>1799</v>
      </c>
      <c r="C651" s="3" t="s">
        <v>511</v>
      </c>
      <c r="D651" s="7" t="n">
        <v>509.79</v>
      </c>
      <c r="E651" s="3" t="s">
        <v>512</v>
      </c>
      <c r="F651" s="8" t="n">
        <v>45658</v>
      </c>
      <c r="G651" s="9" t="n">
        <v>45659.4546708943</v>
      </c>
      <c r="H651" s="3" t="n">
        <v>24.91</v>
      </c>
      <c r="I651" s="3" t="str">
        <f aca="false">IF(G651="","OPEN","RESOLVED")</f>
        <v>RESOLVED</v>
      </c>
      <c r="J651" s="3" t="n">
        <f aca="false">IF(C651="TIMING_MISMATCH_TIMEZONE",1,IF(ABS(D651)&gt;5000,4,IF(C651="FEE_VARIANCE_BREACH",120,IF(LEFT(C651,8)="ORPHANED",48,24))))</f>
        <v>48</v>
      </c>
      <c r="K651" s="3" t="str">
        <f aca="false">IF(H651="","",IF(H651&gt;J651,"BREACH","OK"))</f>
        <v>OK</v>
      </c>
    </row>
    <row r="652" customFormat="false" ht="15" hidden="false" customHeight="false" outlineLevel="0" collapsed="false">
      <c r="A652" s="3" t="s">
        <v>1800</v>
      </c>
      <c r="B652" s="3" t="s">
        <v>1801</v>
      </c>
      <c r="C652" s="3" t="s">
        <v>531</v>
      </c>
      <c r="D652" s="7" t="n">
        <v>0</v>
      </c>
      <c r="E652" s="3" t="s">
        <v>512</v>
      </c>
      <c r="F652" s="8" t="n">
        <v>45658</v>
      </c>
      <c r="G652" s="9" t="n">
        <v>45658.4289096919</v>
      </c>
      <c r="H652" s="3" t="n">
        <v>0.29</v>
      </c>
      <c r="I652" s="3" t="str">
        <f aca="false">IF(G652="","OPEN","RESOLVED")</f>
        <v>RESOLVED</v>
      </c>
      <c r="J652" s="3" t="n">
        <f aca="false">IF(C652="TIMING_MISMATCH_TIMEZONE",1,IF(ABS(D652)&gt;5000,4,IF(C652="FEE_VARIANCE_BREACH",120,IF(LEFT(C652,8)="ORPHANED",48,24))))</f>
        <v>1</v>
      </c>
      <c r="K652" s="3" t="str">
        <f aca="false">IF(H652="","",IF(H652&gt;J652,"BREACH","OK"))</f>
        <v>OK</v>
      </c>
    </row>
    <row r="653" customFormat="false" ht="15" hidden="false" customHeight="false" outlineLevel="0" collapsed="false">
      <c r="A653" s="3" t="s">
        <v>1802</v>
      </c>
      <c r="B653" s="3" t="s">
        <v>1803</v>
      </c>
      <c r="C653" s="3" t="s">
        <v>531</v>
      </c>
      <c r="D653" s="7" t="n">
        <v>0</v>
      </c>
      <c r="E653" s="3" t="s">
        <v>512</v>
      </c>
      <c r="F653" s="8" t="n">
        <v>45658</v>
      </c>
      <c r="G653" s="9" t="n">
        <v>45658.4313936065</v>
      </c>
      <c r="H653" s="3" t="n">
        <v>0.35</v>
      </c>
      <c r="I653" s="3" t="str">
        <f aca="false">IF(G653="","OPEN","RESOLVED")</f>
        <v>RESOLVED</v>
      </c>
      <c r="J653" s="3" t="n">
        <f aca="false">IF(C653="TIMING_MISMATCH_TIMEZONE",1,IF(ABS(D653)&gt;5000,4,IF(C653="FEE_VARIANCE_BREACH",120,IF(LEFT(C653,8)="ORPHANED",48,24))))</f>
        <v>1</v>
      </c>
      <c r="K653" s="3" t="str">
        <f aca="false">IF(H653="","",IF(H653&gt;J653,"BREACH","OK"))</f>
        <v>OK</v>
      </c>
    </row>
    <row r="654" customFormat="false" ht="15" hidden="false" customHeight="false" outlineLevel="0" collapsed="false">
      <c r="A654" s="3" t="s">
        <v>1804</v>
      </c>
      <c r="B654" s="3" t="s">
        <v>1805</v>
      </c>
      <c r="C654" s="3" t="s">
        <v>531</v>
      </c>
      <c r="D654" s="7" t="n">
        <v>0</v>
      </c>
      <c r="E654" s="3" t="s">
        <v>512</v>
      </c>
      <c r="F654" s="8" t="n">
        <v>45658</v>
      </c>
      <c r="G654" s="9" t="n">
        <v>45658.4261926997</v>
      </c>
      <c r="H654" s="3" t="n">
        <v>0.23</v>
      </c>
      <c r="I654" s="3" t="str">
        <f aca="false">IF(G654="","OPEN","RESOLVED")</f>
        <v>RESOLVED</v>
      </c>
      <c r="J654" s="3" t="n">
        <f aca="false">IF(C654="TIMING_MISMATCH_TIMEZONE",1,IF(ABS(D654)&gt;5000,4,IF(C654="FEE_VARIANCE_BREACH",120,IF(LEFT(C654,8)="ORPHANED",48,24))))</f>
        <v>1</v>
      </c>
      <c r="K654" s="3" t="str">
        <f aca="false">IF(H654="","",IF(H654&gt;J654,"BREACH","OK"))</f>
        <v>OK</v>
      </c>
    </row>
    <row r="655" customFormat="false" ht="15" hidden="false" customHeight="false" outlineLevel="0" collapsed="false">
      <c r="A655" s="3" t="s">
        <v>1806</v>
      </c>
      <c r="B655" s="3" t="s">
        <v>1807</v>
      </c>
      <c r="C655" s="3" t="s">
        <v>497</v>
      </c>
      <c r="D655" s="7" t="n">
        <v>-2.27</v>
      </c>
      <c r="E655" s="3" t="s">
        <v>498</v>
      </c>
      <c r="F655" s="8" t="n">
        <v>45658</v>
      </c>
      <c r="G655" s="9" t="n">
        <v>45660.7776753305</v>
      </c>
      <c r="H655" s="3" t="n">
        <v>56.66</v>
      </c>
      <c r="I655" s="3" t="str">
        <f aca="false">IF(G655="","OPEN","RESOLVED")</f>
        <v>RESOLVED</v>
      </c>
      <c r="J655" s="3" t="n">
        <f aca="false">IF(C655="TIMING_MISMATCH_TIMEZONE",1,IF(ABS(D655)&gt;5000,4,IF(C655="FEE_VARIANCE_BREACH",120,IF(LEFT(C655,8)="ORPHANED",48,24))))</f>
        <v>120</v>
      </c>
      <c r="K655" s="3" t="str">
        <f aca="false">IF(H655="","",IF(H655&gt;J655,"BREACH","OK"))</f>
        <v>OK</v>
      </c>
    </row>
    <row r="656" customFormat="false" ht="15" hidden="false" customHeight="false" outlineLevel="0" collapsed="false">
      <c r="A656" s="3" t="s">
        <v>1808</v>
      </c>
      <c r="B656" s="3" t="s">
        <v>1809</v>
      </c>
      <c r="C656" s="3" t="s">
        <v>511</v>
      </c>
      <c r="D656" s="7" t="n">
        <v>177.01</v>
      </c>
      <c r="E656" s="3" t="s">
        <v>512</v>
      </c>
      <c r="F656" s="8" t="n">
        <v>45658</v>
      </c>
      <c r="G656" s="9" t="n">
        <v>45659.3519662676</v>
      </c>
      <c r="H656" s="3" t="n">
        <v>22.45</v>
      </c>
      <c r="I656" s="3" t="str">
        <f aca="false">IF(G656="","OPEN","RESOLVED")</f>
        <v>RESOLVED</v>
      </c>
      <c r="J656" s="3" t="n">
        <f aca="false">IF(C656="TIMING_MISMATCH_TIMEZONE",1,IF(ABS(D656)&gt;5000,4,IF(C656="FEE_VARIANCE_BREACH",120,IF(LEFT(C656,8)="ORPHANED",48,24))))</f>
        <v>48</v>
      </c>
      <c r="K656" s="3" t="str">
        <f aca="false">IF(H656="","",IF(H656&gt;J656,"BREACH","OK"))</f>
        <v>OK</v>
      </c>
    </row>
    <row r="657" customFormat="false" ht="15" hidden="false" customHeight="false" outlineLevel="0" collapsed="false">
      <c r="A657" s="3" t="s">
        <v>1810</v>
      </c>
      <c r="B657" s="3" t="s">
        <v>1811</v>
      </c>
      <c r="C657" s="3" t="s">
        <v>531</v>
      </c>
      <c r="D657" s="7" t="n">
        <v>0</v>
      </c>
      <c r="E657" s="3" t="s">
        <v>512</v>
      </c>
      <c r="F657" s="8" t="n">
        <v>45658</v>
      </c>
      <c r="G657" s="9" t="n">
        <v>45658.4270227892</v>
      </c>
      <c r="H657" s="3" t="n">
        <v>0.25</v>
      </c>
      <c r="I657" s="3" t="str">
        <f aca="false">IF(G657="","OPEN","RESOLVED")</f>
        <v>RESOLVED</v>
      </c>
      <c r="J657" s="3" t="n">
        <f aca="false">IF(C657="TIMING_MISMATCH_TIMEZONE",1,IF(ABS(D657)&gt;5000,4,IF(C657="FEE_VARIANCE_BREACH",120,IF(LEFT(C657,8)="ORPHANED",48,24))))</f>
        <v>1</v>
      </c>
      <c r="K657" s="3" t="str">
        <f aca="false">IF(H657="","",IF(H657&gt;J657,"BREACH","OK"))</f>
        <v>OK</v>
      </c>
    </row>
    <row r="658" customFormat="false" ht="15" hidden="false" customHeight="false" outlineLevel="0" collapsed="false">
      <c r="A658" s="3" t="s">
        <v>1812</v>
      </c>
      <c r="B658" s="3" t="s">
        <v>1813</v>
      </c>
      <c r="C658" s="3" t="s">
        <v>531</v>
      </c>
      <c r="D658" s="7" t="n">
        <v>0</v>
      </c>
      <c r="E658" s="3" t="s">
        <v>512</v>
      </c>
      <c r="F658" s="8" t="n">
        <v>45658</v>
      </c>
      <c r="G658" s="9" t="n">
        <v>45658.4336143042</v>
      </c>
      <c r="H658" s="3" t="n">
        <v>0.41</v>
      </c>
      <c r="I658" s="3" t="str">
        <f aca="false">IF(G658="","OPEN","RESOLVED")</f>
        <v>RESOLVED</v>
      </c>
      <c r="J658" s="3" t="n">
        <f aca="false">IF(C658="TIMING_MISMATCH_TIMEZONE",1,IF(ABS(D658)&gt;5000,4,IF(C658="FEE_VARIANCE_BREACH",120,IF(LEFT(C658,8)="ORPHANED",48,24))))</f>
        <v>1</v>
      </c>
      <c r="K658" s="3" t="str">
        <f aca="false">IF(H658="","",IF(H658&gt;J658,"BREACH","OK"))</f>
        <v>OK</v>
      </c>
    </row>
    <row r="659" customFormat="false" ht="15" hidden="false" customHeight="false" outlineLevel="0" collapsed="false">
      <c r="A659" s="3" t="s">
        <v>1814</v>
      </c>
      <c r="B659" s="3" t="s">
        <v>1815</v>
      </c>
      <c r="C659" s="3" t="s">
        <v>531</v>
      </c>
      <c r="D659" s="7" t="n">
        <v>0</v>
      </c>
      <c r="E659" s="3" t="s">
        <v>512</v>
      </c>
      <c r="F659" s="8" t="n">
        <v>45658</v>
      </c>
      <c r="G659" s="9" t="n">
        <v>45658.4247250363</v>
      </c>
      <c r="H659" s="3" t="n">
        <v>0.19</v>
      </c>
      <c r="I659" s="3" t="str">
        <f aca="false">IF(G659="","OPEN","RESOLVED")</f>
        <v>RESOLVED</v>
      </c>
      <c r="J659" s="3" t="n">
        <f aca="false">IF(C659="TIMING_MISMATCH_TIMEZONE",1,IF(ABS(D659)&gt;5000,4,IF(C659="FEE_VARIANCE_BREACH",120,IF(LEFT(C659,8)="ORPHANED",48,24))))</f>
        <v>1</v>
      </c>
      <c r="K659" s="3" t="str">
        <f aca="false">IF(H659="","",IF(H659&gt;J659,"BREACH","OK"))</f>
        <v>OK</v>
      </c>
    </row>
    <row r="660" customFormat="false" ht="15" hidden="false" customHeight="false" outlineLevel="0" collapsed="false">
      <c r="A660" s="3" t="s">
        <v>1816</v>
      </c>
      <c r="B660" s="3" t="s">
        <v>1817</v>
      </c>
      <c r="C660" s="3" t="s">
        <v>531</v>
      </c>
      <c r="D660" s="7" t="n">
        <v>0</v>
      </c>
      <c r="E660" s="3" t="s">
        <v>512</v>
      </c>
      <c r="F660" s="8" t="n">
        <v>45658</v>
      </c>
      <c r="G660" s="9" t="n">
        <v>45658.4345619103</v>
      </c>
      <c r="H660" s="3" t="n">
        <v>0.43</v>
      </c>
      <c r="I660" s="3" t="str">
        <f aca="false">IF(G660="","OPEN","RESOLVED")</f>
        <v>RESOLVED</v>
      </c>
      <c r="J660" s="3" t="n">
        <f aca="false">IF(C660="TIMING_MISMATCH_TIMEZONE",1,IF(ABS(D660)&gt;5000,4,IF(C660="FEE_VARIANCE_BREACH",120,IF(LEFT(C660,8)="ORPHANED",48,24))))</f>
        <v>1</v>
      </c>
      <c r="K660" s="3" t="str">
        <f aca="false">IF(H660="","",IF(H660&gt;J660,"BREACH","OK"))</f>
        <v>OK</v>
      </c>
    </row>
    <row r="661" customFormat="false" ht="15" hidden="false" customHeight="false" outlineLevel="0" collapsed="false">
      <c r="A661" s="3" t="s">
        <v>1818</v>
      </c>
      <c r="B661" s="3" t="s">
        <v>1819</v>
      </c>
      <c r="C661" s="3" t="s">
        <v>497</v>
      </c>
      <c r="D661" s="7" t="n">
        <v>-1.32</v>
      </c>
      <c r="E661" s="3" t="s">
        <v>498</v>
      </c>
      <c r="F661" s="8" t="n">
        <v>45658</v>
      </c>
      <c r="G661" s="9" t="n">
        <v>45659.176218886</v>
      </c>
      <c r="H661" s="3" t="n">
        <v>18.23</v>
      </c>
      <c r="I661" s="3" t="str">
        <f aca="false">IF(G661="","OPEN","RESOLVED")</f>
        <v>RESOLVED</v>
      </c>
      <c r="J661" s="3" t="n">
        <f aca="false">IF(C661="TIMING_MISMATCH_TIMEZONE",1,IF(ABS(D661)&gt;5000,4,IF(C661="FEE_VARIANCE_BREACH",120,IF(LEFT(C661,8)="ORPHANED",48,24))))</f>
        <v>120</v>
      </c>
      <c r="K661" s="3" t="str">
        <f aca="false">IF(H661="","",IF(H661&gt;J661,"BREACH","OK"))</f>
        <v>OK</v>
      </c>
    </row>
    <row r="662" customFormat="false" ht="15" hidden="false" customHeight="false" outlineLevel="0" collapsed="false">
      <c r="A662" s="3" t="s">
        <v>1820</v>
      </c>
      <c r="B662" s="3" t="s">
        <v>1821</v>
      </c>
      <c r="C662" s="3" t="s">
        <v>531</v>
      </c>
      <c r="D662" s="7" t="n">
        <v>0</v>
      </c>
      <c r="E662" s="3" t="s">
        <v>512</v>
      </c>
      <c r="F662" s="8" t="n">
        <v>45658</v>
      </c>
      <c r="G662" s="9" t="n">
        <v>45658.4193178925</v>
      </c>
      <c r="H662" s="3" t="n">
        <v>0.06</v>
      </c>
      <c r="I662" s="3" t="str">
        <f aca="false">IF(G662="","OPEN","RESOLVED")</f>
        <v>RESOLVED</v>
      </c>
      <c r="J662" s="3" t="n">
        <f aca="false">IF(C662="TIMING_MISMATCH_TIMEZONE",1,IF(ABS(D662)&gt;5000,4,IF(C662="FEE_VARIANCE_BREACH",120,IF(LEFT(C662,8)="ORPHANED",48,24))))</f>
        <v>1</v>
      </c>
      <c r="K662" s="3" t="str">
        <f aca="false">IF(H662="","",IF(H662&gt;J662,"BREACH","OK"))</f>
        <v>OK</v>
      </c>
    </row>
    <row r="663" customFormat="false" ht="15" hidden="false" customHeight="false" outlineLevel="0" collapsed="false">
      <c r="A663" s="3" t="s">
        <v>1822</v>
      </c>
      <c r="B663" s="3" t="s">
        <v>1823</v>
      </c>
      <c r="C663" s="3" t="s">
        <v>511</v>
      </c>
      <c r="D663" s="7" t="n">
        <v>316.81</v>
      </c>
      <c r="E663" s="3" t="s">
        <v>512</v>
      </c>
      <c r="F663" s="8" t="n">
        <v>45658</v>
      </c>
      <c r="G663" s="9" t="n">
        <v>45659.0525500733</v>
      </c>
      <c r="H663" s="3" t="n">
        <v>15.26</v>
      </c>
      <c r="I663" s="3" t="str">
        <f aca="false">IF(G663="","OPEN","RESOLVED")</f>
        <v>RESOLVED</v>
      </c>
      <c r="J663" s="3" t="n">
        <f aca="false">IF(C663="TIMING_MISMATCH_TIMEZONE",1,IF(ABS(D663)&gt;5000,4,IF(C663="FEE_VARIANCE_BREACH",120,IF(LEFT(C663,8)="ORPHANED",48,24))))</f>
        <v>48</v>
      </c>
      <c r="K663" s="3" t="str">
        <f aca="false">IF(H663="","",IF(H663&gt;J663,"BREACH","OK"))</f>
        <v>OK</v>
      </c>
    </row>
    <row r="664" customFormat="false" ht="15" hidden="false" customHeight="false" outlineLevel="0" collapsed="false">
      <c r="A664" s="3" t="s">
        <v>1824</v>
      </c>
      <c r="B664" s="3" t="s">
        <v>1825</v>
      </c>
      <c r="C664" s="3" t="s">
        <v>531</v>
      </c>
      <c r="D664" s="7" t="n">
        <v>0</v>
      </c>
      <c r="E664" s="3" t="s">
        <v>512</v>
      </c>
      <c r="F664" s="8" t="n">
        <v>45658</v>
      </c>
      <c r="G664" s="9" t="n">
        <v>45658.41875</v>
      </c>
      <c r="H664" s="3" t="n">
        <v>0.05</v>
      </c>
      <c r="I664" s="3" t="str">
        <f aca="false">IF(G664="","OPEN","RESOLVED")</f>
        <v>RESOLVED</v>
      </c>
      <c r="J664" s="3" t="n">
        <f aca="false">IF(C664="TIMING_MISMATCH_TIMEZONE",1,IF(ABS(D664)&gt;5000,4,IF(C664="FEE_VARIANCE_BREACH",120,IF(LEFT(C664,8)="ORPHANED",48,24))))</f>
        <v>1</v>
      </c>
      <c r="K664" s="3" t="str">
        <f aca="false">IF(H664="","",IF(H664&gt;J664,"BREACH","OK"))</f>
        <v>OK</v>
      </c>
    </row>
    <row r="665" customFormat="false" ht="15" hidden="false" customHeight="false" outlineLevel="0" collapsed="false">
      <c r="A665" s="3" t="s">
        <v>1826</v>
      </c>
      <c r="B665" s="3" t="s">
        <v>1827</v>
      </c>
      <c r="C665" s="3" t="s">
        <v>497</v>
      </c>
      <c r="D665" s="7" t="n">
        <v>-0.69</v>
      </c>
      <c r="E665" s="3" t="s">
        <v>498</v>
      </c>
      <c r="F665" s="8" t="n">
        <v>45658</v>
      </c>
      <c r="G665" s="9"/>
      <c r="H665" s="3"/>
      <c r="I665" s="3" t="str">
        <f aca="false">IF(G665="","OPEN","RESOLVED")</f>
        <v>OPEN</v>
      </c>
      <c r="J665" s="3" t="n">
        <f aca="false">IF(C665="TIMING_MISMATCH_TIMEZONE",1,IF(ABS(D665)&gt;5000,4,IF(C665="FEE_VARIANCE_BREACH",120,IF(LEFT(C665,8)="ORPHANED",48,24))))</f>
        <v>120</v>
      </c>
      <c r="K665" s="3" t="str">
        <f aca="false">IF(H665="","",IF(H665&gt;J665,"BREACH","OK"))</f>
        <v/>
      </c>
    </row>
    <row r="666" customFormat="false" ht="15" hidden="false" customHeight="false" outlineLevel="0" collapsed="false">
      <c r="A666" s="3" t="s">
        <v>1828</v>
      </c>
      <c r="B666" s="3" t="s">
        <v>1829</v>
      </c>
      <c r="C666" s="3" t="s">
        <v>531</v>
      </c>
      <c r="D666" s="7" t="n">
        <v>0</v>
      </c>
      <c r="E666" s="3" t="s">
        <v>512</v>
      </c>
      <c r="F666" s="8" t="n">
        <v>45659</v>
      </c>
      <c r="G666" s="9" t="n">
        <v>45659.4210096182</v>
      </c>
      <c r="H666" s="3" t="n">
        <v>0.1</v>
      </c>
      <c r="I666" s="3" t="str">
        <f aca="false">IF(G666="","OPEN","RESOLVED")</f>
        <v>RESOLVED</v>
      </c>
      <c r="J666" s="3" t="n">
        <f aca="false">IF(C666="TIMING_MISMATCH_TIMEZONE",1,IF(ABS(D666)&gt;5000,4,IF(C666="FEE_VARIANCE_BREACH",120,IF(LEFT(C666,8)="ORPHANED",48,24))))</f>
        <v>1</v>
      </c>
      <c r="K666" s="3" t="str">
        <f aca="false">IF(H666="","",IF(H666&gt;J666,"BREACH","OK"))</f>
        <v>OK</v>
      </c>
    </row>
    <row r="667" customFormat="false" ht="15" hidden="false" customHeight="false" outlineLevel="0" collapsed="false">
      <c r="A667" s="3" t="s">
        <v>1830</v>
      </c>
      <c r="B667" s="3" t="s">
        <v>1831</v>
      </c>
      <c r="C667" s="3" t="s">
        <v>531</v>
      </c>
      <c r="D667" s="7" t="n">
        <v>0</v>
      </c>
      <c r="E667" s="3" t="s">
        <v>512</v>
      </c>
      <c r="F667" s="8" t="n">
        <v>45659</v>
      </c>
      <c r="G667" s="9" t="n">
        <v>45659.4218193965</v>
      </c>
      <c r="H667" s="3" t="n">
        <v>0.12</v>
      </c>
      <c r="I667" s="3" t="str">
        <f aca="false">IF(G667="","OPEN","RESOLVED")</f>
        <v>RESOLVED</v>
      </c>
      <c r="J667" s="3" t="n">
        <f aca="false">IF(C667="TIMING_MISMATCH_TIMEZONE",1,IF(ABS(D667)&gt;5000,4,IF(C667="FEE_VARIANCE_BREACH",120,IF(LEFT(C667,8)="ORPHANED",48,24))))</f>
        <v>1</v>
      </c>
      <c r="K667" s="3" t="str">
        <f aca="false">IF(H667="","",IF(H667&gt;J667,"BREACH","OK"))</f>
        <v>OK</v>
      </c>
    </row>
    <row r="668" customFormat="false" ht="15" hidden="false" customHeight="false" outlineLevel="0" collapsed="false">
      <c r="A668" s="3" t="s">
        <v>1832</v>
      </c>
      <c r="B668" s="3" t="s">
        <v>1833</v>
      </c>
      <c r="C668" s="3" t="s">
        <v>531</v>
      </c>
      <c r="D668" s="7" t="n">
        <v>0</v>
      </c>
      <c r="E668" s="3" t="s">
        <v>512</v>
      </c>
      <c r="F668" s="8" t="n">
        <v>45659</v>
      </c>
      <c r="G668" s="9" t="n">
        <v>45659.4227780108</v>
      </c>
      <c r="H668" s="3" t="n">
        <v>0.15</v>
      </c>
      <c r="I668" s="3" t="str">
        <f aca="false">IF(G668="","OPEN","RESOLVED")</f>
        <v>RESOLVED</v>
      </c>
      <c r="J668" s="3" t="n">
        <f aca="false">IF(C668="TIMING_MISMATCH_TIMEZONE",1,IF(ABS(D668)&gt;5000,4,IF(C668="FEE_VARIANCE_BREACH",120,IF(LEFT(C668,8)="ORPHANED",48,24))))</f>
        <v>1</v>
      </c>
      <c r="K668" s="3" t="str">
        <f aca="false">IF(H668="","",IF(H668&gt;J668,"BREACH","OK"))</f>
        <v>OK</v>
      </c>
    </row>
    <row r="669" customFormat="false" ht="15" hidden="false" customHeight="false" outlineLevel="0" collapsed="false">
      <c r="A669" s="3" t="s">
        <v>1834</v>
      </c>
      <c r="B669" s="3" t="s">
        <v>1835</v>
      </c>
      <c r="C669" s="3" t="s">
        <v>531</v>
      </c>
      <c r="D669" s="7" t="n">
        <v>0</v>
      </c>
      <c r="E669" s="3" t="s">
        <v>512</v>
      </c>
      <c r="F669" s="8" t="n">
        <v>45659</v>
      </c>
      <c r="G669" s="9" t="n">
        <v>45659.4259672708</v>
      </c>
      <c r="H669" s="3" t="n">
        <v>0.22</v>
      </c>
      <c r="I669" s="3" t="str">
        <f aca="false">IF(G669="","OPEN","RESOLVED")</f>
        <v>RESOLVED</v>
      </c>
      <c r="J669" s="3" t="n">
        <f aca="false">IF(C669="TIMING_MISMATCH_TIMEZONE",1,IF(ABS(D669)&gt;5000,4,IF(C669="FEE_VARIANCE_BREACH",120,IF(LEFT(C669,8)="ORPHANED",48,24))))</f>
        <v>1</v>
      </c>
      <c r="K669" s="3" t="str">
        <f aca="false">IF(H669="","",IF(H669&gt;J669,"BREACH","OK"))</f>
        <v>OK</v>
      </c>
    </row>
    <row r="670" customFormat="false" ht="15" hidden="false" customHeight="false" outlineLevel="0" collapsed="false">
      <c r="A670" s="3" t="s">
        <v>1836</v>
      </c>
      <c r="B670" s="3" t="s">
        <v>1837</v>
      </c>
      <c r="C670" s="3" t="s">
        <v>497</v>
      </c>
      <c r="D670" s="7" t="n">
        <v>-2.58</v>
      </c>
      <c r="E670" s="3" t="s">
        <v>498</v>
      </c>
      <c r="F670" s="8" t="n">
        <v>45659</v>
      </c>
      <c r="G670" s="9"/>
      <c r="H670" s="3"/>
      <c r="I670" s="3" t="str">
        <f aca="false">IF(G670="","OPEN","RESOLVED")</f>
        <v>OPEN</v>
      </c>
      <c r="J670" s="3" t="n">
        <f aca="false">IF(C670="TIMING_MISMATCH_TIMEZONE",1,IF(ABS(D670)&gt;5000,4,IF(C670="FEE_VARIANCE_BREACH",120,IF(LEFT(C670,8)="ORPHANED",48,24))))</f>
        <v>120</v>
      </c>
      <c r="K670" s="3" t="str">
        <f aca="false">IF(H670="","",IF(H670&gt;J670,"BREACH","OK"))</f>
        <v/>
      </c>
    </row>
    <row r="671" customFormat="false" ht="15" hidden="false" customHeight="false" outlineLevel="0" collapsed="false">
      <c r="A671" s="3" t="s">
        <v>1838</v>
      </c>
      <c r="B671" s="3" t="s">
        <v>1839</v>
      </c>
      <c r="C671" s="3" t="s">
        <v>531</v>
      </c>
      <c r="D671" s="7" t="n">
        <v>0</v>
      </c>
      <c r="E671" s="3" t="s">
        <v>512</v>
      </c>
      <c r="F671" s="8" t="n">
        <v>45659</v>
      </c>
      <c r="G671" s="9" t="n">
        <v>45659.4304143168</v>
      </c>
      <c r="H671" s="3" t="n">
        <v>0.33</v>
      </c>
      <c r="I671" s="3" t="str">
        <f aca="false">IF(G671="","OPEN","RESOLVED")</f>
        <v>RESOLVED</v>
      </c>
      <c r="J671" s="3" t="n">
        <f aca="false">IF(C671="TIMING_MISMATCH_TIMEZONE",1,IF(ABS(D671)&gt;5000,4,IF(C671="FEE_VARIANCE_BREACH",120,IF(LEFT(C671,8)="ORPHANED",48,24))))</f>
        <v>1</v>
      </c>
      <c r="K671" s="3" t="str">
        <f aca="false">IF(H671="","",IF(H671&gt;J671,"BREACH","OK"))</f>
        <v>OK</v>
      </c>
    </row>
    <row r="672" customFormat="false" ht="15" hidden="false" customHeight="false" outlineLevel="0" collapsed="false">
      <c r="A672" s="3" t="s">
        <v>1840</v>
      </c>
      <c r="B672" s="3" t="s">
        <v>1841</v>
      </c>
      <c r="C672" s="3" t="s">
        <v>531</v>
      </c>
      <c r="D672" s="7" t="n">
        <v>0</v>
      </c>
      <c r="E672" s="3" t="s">
        <v>512</v>
      </c>
      <c r="F672" s="8" t="n">
        <v>45659</v>
      </c>
      <c r="G672" s="9" t="n">
        <v>45659.4204423831</v>
      </c>
      <c r="H672" s="3" t="n">
        <v>0.09</v>
      </c>
      <c r="I672" s="3" t="str">
        <f aca="false">IF(G672="","OPEN","RESOLVED")</f>
        <v>RESOLVED</v>
      </c>
      <c r="J672" s="3" t="n">
        <f aca="false">IF(C672="TIMING_MISMATCH_TIMEZONE",1,IF(ABS(D672)&gt;5000,4,IF(C672="FEE_VARIANCE_BREACH",120,IF(LEFT(C672,8)="ORPHANED",48,24))))</f>
        <v>1</v>
      </c>
      <c r="K672" s="3" t="str">
        <f aca="false">IF(H672="","",IF(H672&gt;J672,"BREACH","OK"))</f>
        <v>OK</v>
      </c>
    </row>
    <row r="673" customFormat="false" ht="15" hidden="false" customHeight="false" outlineLevel="0" collapsed="false">
      <c r="A673" s="3" t="s">
        <v>1842</v>
      </c>
      <c r="B673" s="3" t="s">
        <v>1843</v>
      </c>
      <c r="C673" s="3" t="s">
        <v>531</v>
      </c>
      <c r="D673" s="7" t="n">
        <v>0</v>
      </c>
      <c r="E673" s="3" t="s">
        <v>512</v>
      </c>
      <c r="F673" s="8" t="n">
        <v>45659</v>
      </c>
      <c r="G673" s="9" t="n">
        <v>45659.4266224667</v>
      </c>
      <c r="H673" s="3" t="n">
        <v>0.24</v>
      </c>
      <c r="I673" s="3" t="str">
        <f aca="false">IF(G673="","OPEN","RESOLVED")</f>
        <v>RESOLVED</v>
      </c>
      <c r="J673" s="3" t="n">
        <f aca="false">IF(C673="TIMING_MISMATCH_TIMEZONE",1,IF(ABS(D673)&gt;5000,4,IF(C673="FEE_VARIANCE_BREACH",120,IF(LEFT(C673,8)="ORPHANED",48,24))))</f>
        <v>1</v>
      </c>
      <c r="K673" s="3" t="str">
        <f aca="false">IF(H673="","",IF(H673&gt;J673,"BREACH","OK"))</f>
        <v>OK</v>
      </c>
    </row>
    <row r="674" customFormat="false" ht="15" hidden="false" customHeight="false" outlineLevel="0" collapsed="false">
      <c r="A674" s="3" t="s">
        <v>1844</v>
      </c>
      <c r="B674" s="3" t="s">
        <v>1845</v>
      </c>
      <c r="C674" s="3" t="s">
        <v>531</v>
      </c>
      <c r="D674" s="7" t="n">
        <v>0</v>
      </c>
      <c r="E674" s="3" t="s">
        <v>512</v>
      </c>
      <c r="F674" s="8" t="n">
        <v>45659</v>
      </c>
      <c r="G674" s="9" t="n">
        <v>45659.426028702</v>
      </c>
      <c r="H674" s="3" t="n">
        <v>0.22</v>
      </c>
      <c r="I674" s="3" t="str">
        <f aca="false">IF(G674="","OPEN","RESOLVED")</f>
        <v>RESOLVED</v>
      </c>
      <c r="J674" s="3" t="n">
        <f aca="false">IF(C674="TIMING_MISMATCH_TIMEZONE",1,IF(ABS(D674)&gt;5000,4,IF(C674="FEE_VARIANCE_BREACH",120,IF(LEFT(C674,8)="ORPHANED",48,24))))</f>
        <v>1</v>
      </c>
      <c r="K674" s="3" t="str">
        <f aca="false">IF(H674="","",IF(H674&gt;J674,"BREACH","OK"))</f>
        <v>OK</v>
      </c>
    </row>
    <row r="675" customFormat="false" ht="15" hidden="false" customHeight="false" outlineLevel="0" collapsed="false">
      <c r="A675" s="3" t="s">
        <v>1846</v>
      </c>
      <c r="B675" s="3" t="s">
        <v>1847</v>
      </c>
      <c r="C675" s="3" t="s">
        <v>531</v>
      </c>
      <c r="D675" s="7" t="n">
        <v>0</v>
      </c>
      <c r="E675" s="3" t="s">
        <v>512</v>
      </c>
      <c r="F675" s="8" t="n">
        <v>45659</v>
      </c>
      <c r="G675" s="9" t="n">
        <v>45659.4324562541</v>
      </c>
      <c r="H675" s="3" t="n">
        <v>0.38</v>
      </c>
      <c r="I675" s="3" t="str">
        <f aca="false">IF(G675="","OPEN","RESOLVED")</f>
        <v>RESOLVED</v>
      </c>
      <c r="J675" s="3" t="n">
        <f aca="false">IF(C675="TIMING_MISMATCH_TIMEZONE",1,IF(ABS(D675)&gt;5000,4,IF(C675="FEE_VARIANCE_BREACH",120,IF(LEFT(C675,8)="ORPHANED",48,24))))</f>
        <v>1</v>
      </c>
      <c r="K675" s="3" t="str">
        <f aca="false">IF(H675="","",IF(H675&gt;J675,"BREACH","OK"))</f>
        <v>OK</v>
      </c>
    </row>
    <row r="676" customFormat="false" ht="15" hidden="false" customHeight="false" outlineLevel="0" collapsed="false">
      <c r="A676" s="3" t="s">
        <v>1848</v>
      </c>
      <c r="B676" s="3" t="s">
        <v>1849</v>
      </c>
      <c r="C676" s="3" t="s">
        <v>531</v>
      </c>
      <c r="D676" s="7" t="n">
        <v>0</v>
      </c>
      <c r="E676" s="3" t="s">
        <v>512</v>
      </c>
      <c r="F676" s="8" t="n">
        <v>45659</v>
      </c>
      <c r="G676" s="9" t="n">
        <v>45659.426342368</v>
      </c>
      <c r="H676" s="3" t="n">
        <v>0.23</v>
      </c>
      <c r="I676" s="3" t="str">
        <f aca="false">IF(G676="","OPEN","RESOLVED")</f>
        <v>RESOLVED</v>
      </c>
      <c r="J676" s="3" t="n">
        <f aca="false">IF(C676="TIMING_MISMATCH_TIMEZONE",1,IF(ABS(D676)&gt;5000,4,IF(C676="FEE_VARIANCE_BREACH",120,IF(LEFT(C676,8)="ORPHANED",48,24))))</f>
        <v>1</v>
      </c>
      <c r="K676" s="3" t="str">
        <f aca="false">IF(H676="","",IF(H676&gt;J676,"BREACH","OK"))</f>
        <v>OK</v>
      </c>
    </row>
    <row r="677" customFormat="false" ht="15" hidden="false" customHeight="false" outlineLevel="0" collapsed="false">
      <c r="A677" s="3" t="s">
        <v>1850</v>
      </c>
      <c r="B677" s="3" t="s">
        <v>1851</v>
      </c>
      <c r="C677" s="3" t="s">
        <v>497</v>
      </c>
      <c r="D677" s="7" t="n">
        <v>-2.13</v>
      </c>
      <c r="E677" s="3" t="s">
        <v>498</v>
      </c>
      <c r="F677" s="8" t="n">
        <v>45659</v>
      </c>
      <c r="G677" s="9"/>
      <c r="H677" s="3"/>
      <c r="I677" s="3" t="str">
        <f aca="false">IF(G677="","OPEN","RESOLVED")</f>
        <v>OPEN</v>
      </c>
      <c r="J677" s="3" t="n">
        <f aca="false">IF(C677="TIMING_MISMATCH_TIMEZONE",1,IF(ABS(D677)&gt;5000,4,IF(C677="FEE_VARIANCE_BREACH",120,IF(LEFT(C677,8)="ORPHANED",48,24))))</f>
        <v>120</v>
      </c>
      <c r="K677" s="3" t="str">
        <f aca="false">IF(H677="","",IF(H677&gt;J677,"BREACH","OK"))</f>
        <v/>
      </c>
    </row>
    <row r="678" customFormat="false" ht="15" hidden="false" customHeight="false" outlineLevel="0" collapsed="false">
      <c r="A678" s="3" t="s">
        <v>1852</v>
      </c>
      <c r="B678" s="3" t="s">
        <v>1853</v>
      </c>
      <c r="C678" s="3" t="s">
        <v>497</v>
      </c>
      <c r="D678" s="7" t="n">
        <v>-1.62</v>
      </c>
      <c r="E678" s="3" t="s">
        <v>498</v>
      </c>
      <c r="F678" s="8" t="n">
        <v>45659</v>
      </c>
      <c r="G678" s="9"/>
      <c r="H678" s="3"/>
      <c r="I678" s="3" t="str">
        <f aca="false">IF(G678="","OPEN","RESOLVED")</f>
        <v>OPEN</v>
      </c>
      <c r="J678" s="3" t="n">
        <f aca="false">IF(C678="TIMING_MISMATCH_TIMEZONE",1,IF(ABS(D678)&gt;5000,4,IF(C678="FEE_VARIANCE_BREACH",120,IF(LEFT(C678,8)="ORPHANED",48,24))))</f>
        <v>120</v>
      </c>
      <c r="K678" s="3" t="str">
        <f aca="false">IF(H678="","",IF(H678&gt;J678,"BREACH","OK"))</f>
        <v/>
      </c>
    </row>
    <row r="679" customFormat="false" ht="15" hidden="false" customHeight="false" outlineLevel="0" collapsed="false">
      <c r="A679" s="3" t="s">
        <v>1854</v>
      </c>
      <c r="B679" s="3" t="s">
        <v>1855</v>
      </c>
      <c r="C679" s="3" t="s">
        <v>531</v>
      </c>
      <c r="D679" s="7" t="n">
        <v>0</v>
      </c>
      <c r="E679" s="3" t="s">
        <v>512</v>
      </c>
      <c r="F679" s="8" t="n">
        <v>45659</v>
      </c>
      <c r="G679" s="9" t="n">
        <v>45659.4245045866</v>
      </c>
      <c r="H679" s="3" t="n">
        <v>0.19</v>
      </c>
      <c r="I679" s="3" t="str">
        <f aca="false">IF(G679="","OPEN","RESOLVED")</f>
        <v>RESOLVED</v>
      </c>
      <c r="J679" s="3" t="n">
        <f aca="false">IF(C679="TIMING_MISMATCH_TIMEZONE",1,IF(ABS(D679)&gt;5000,4,IF(C679="FEE_VARIANCE_BREACH",120,IF(LEFT(C679,8)="ORPHANED",48,24))))</f>
        <v>1</v>
      </c>
      <c r="K679" s="3" t="str">
        <f aca="false">IF(H679="","",IF(H679&gt;J679,"BREACH","OK"))</f>
        <v>OK</v>
      </c>
    </row>
    <row r="680" customFormat="false" ht="15" hidden="false" customHeight="false" outlineLevel="0" collapsed="false">
      <c r="A680" s="3" t="s">
        <v>1856</v>
      </c>
      <c r="B680" s="3" t="s">
        <v>1857</v>
      </c>
      <c r="C680" s="3" t="s">
        <v>531</v>
      </c>
      <c r="D680" s="7" t="n">
        <v>0</v>
      </c>
      <c r="E680" s="3" t="s">
        <v>512</v>
      </c>
      <c r="F680" s="8" t="n">
        <v>45659</v>
      </c>
      <c r="G680" s="9" t="n">
        <v>45659.4241171026</v>
      </c>
      <c r="H680" s="3" t="n">
        <v>0.18</v>
      </c>
      <c r="I680" s="3" t="str">
        <f aca="false">IF(G680="","OPEN","RESOLVED")</f>
        <v>RESOLVED</v>
      </c>
      <c r="J680" s="3" t="n">
        <f aca="false">IF(C680="TIMING_MISMATCH_TIMEZONE",1,IF(ABS(D680)&gt;5000,4,IF(C680="FEE_VARIANCE_BREACH",120,IF(LEFT(C680,8)="ORPHANED",48,24))))</f>
        <v>1</v>
      </c>
      <c r="K680" s="3" t="str">
        <f aca="false">IF(H680="","",IF(H680&gt;J680,"BREACH","OK"))</f>
        <v>OK</v>
      </c>
    </row>
    <row r="681" customFormat="false" ht="15" hidden="false" customHeight="false" outlineLevel="0" collapsed="false">
      <c r="A681" s="3" t="s">
        <v>1858</v>
      </c>
      <c r="B681" s="3" t="s">
        <v>1859</v>
      </c>
      <c r="C681" s="3" t="s">
        <v>531</v>
      </c>
      <c r="D681" s="7" t="n">
        <v>0</v>
      </c>
      <c r="E681" s="3" t="s">
        <v>512</v>
      </c>
      <c r="F681" s="8" t="n">
        <v>45660</v>
      </c>
      <c r="G681" s="9" t="n">
        <v>45660.4259705151</v>
      </c>
      <c r="H681" s="3" t="n">
        <v>0.22</v>
      </c>
      <c r="I681" s="3" t="str">
        <f aca="false">IF(G681="","OPEN","RESOLVED")</f>
        <v>RESOLVED</v>
      </c>
      <c r="J681" s="3" t="n">
        <f aca="false">IF(C681="TIMING_MISMATCH_TIMEZONE",1,IF(ABS(D681)&gt;5000,4,IF(C681="FEE_VARIANCE_BREACH",120,IF(LEFT(C681,8)="ORPHANED",48,24))))</f>
        <v>1</v>
      </c>
      <c r="K681" s="3" t="str">
        <f aca="false">IF(H681="","",IF(H681&gt;J681,"BREACH","OK"))</f>
        <v>OK</v>
      </c>
    </row>
    <row r="682" customFormat="false" ht="15" hidden="false" customHeight="false" outlineLevel="0" collapsed="false">
      <c r="A682" s="3" t="s">
        <v>1860</v>
      </c>
      <c r="B682" s="3" t="s">
        <v>1861</v>
      </c>
      <c r="C682" s="3" t="s">
        <v>531</v>
      </c>
      <c r="D682" s="7" t="n">
        <v>0</v>
      </c>
      <c r="E682" s="3" t="s">
        <v>512</v>
      </c>
      <c r="F682" s="8" t="n">
        <v>45660</v>
      </c>
      <c r="G682" s="9" t="n">
        <v>45660.4224545535</v>
      </c>
      <c r="H682" s="3" t="n">
        <v>0.14</v>
      </c>
      <c r="I682" s="3" t="str">
        <f aca="false">IF(G682="","OPEN","RESOLVED")</f>
        <v>RESOLVED</v>
      </c>
      <c r="J682" s="3" t="n">
        <f aca="false">IF(C682="TIMING_MISMATCH_TIMEZONE",1,IF(ABS(D682)&gt;5000,4,IF(C682="FEE_VARIANCE_BREACH",120,IF(LEFT(C682,8)="ORPHANED",48,24))))</f>
        <v>1</v>
      </c>
      <c r="K682" s="3" t="str">
        <f aca="false">IF(H682="","",IF(H682&gt;J682,"BREACH","OK"))</f>
        <v>OK</v>
      </c>
    </row>
    <row r="683" customFormat="false" ht="15" hidden="false" customHeight="false" outlineLevel="0" collapsed="false">
      <c r="A683" s="3" t="s">
        <v>1862</v>
      </c>
      <c r="B683" s="3" t="s">
        <v>1863</v>
      </c>
      <c r="C683" s="3" t="s">
        <v>531</v>
      </c>
      <c r="D683" s="7" t="n">
        <v>0</v>
      </c>
      <c r="E683" s="3" t="s">
        <v>512</v>
      </c>
      <c r="F683" s="8" t="n">
        <v>45660</v>
      </c>
      <c r="G683" s="9" t="n">
        <v>45660.4232653789</v>
      </c>
      <c r="H683" s="3" t="n">
        <v>0.16</v>
      </c>
      <c r="I683" s="3" t="str">
        <f aca="false">IF(G683="","OPEN","RESOLVED")</f>
        <v>RESOLVED</v>
      </c>
      <c r="J683" s="3" t="n">
        <f aca="false">IF(C683="TIMING_MISMATCH_TIMEZONE",1,IF(ABS(D683)&gt;5000,4,IF(C683="FEE_VARIANCE_BREACH",120,IF(LEFT(C683,8)="ORPHANED",48,24))))</f>
        <v>1</v>
      </c>
      <c r="K683" s="3" t="str">
        <f aca="false">IF(H683="","",IF(H683&gt;J683,"BREACH","OK"))</f>
        <v>OK</v>
      </c>
    </row>
  </sheetData>
  <autoFilter ref="A3:K68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2" t="s">
        <v>1864</v>
      </c>
      <c r="B1" s="2" t="s">
        <v>1865</v>
      </c>
      <c r="C1" s="2" t="s">
        <v>1866</v>
      </c>
    </row>
    <row r="2" customFormat="false" ht="15" hidden="false" customHeight="false" outlineLevel="0" collapsed="false">
      <c r="A2" s="3" t="s">
        <v>1867</v>
      </c>
      <c r="B2" s="10" t="n">
        <v>26000</v>
      </c>
      <c r="C2" s="3" t="s">
        <v>1868</v>
      </c>
    </row>
    <row r="3" customFormat="false" ht="15" hidden="false" customHeight="false" outlineLevel="0" collapsed="false">
      <c r="A3" s="3" t="s">
        <v>1869</v>
      </c>
      <c r="B3" s="3" t="n">
        <f aca="false">COUNTA('Exception Tracker'!$A$4:$A$683)</f>
        <v>680</v>
      </c>
      <c r="C3" s="3"/>
    </row>
    <row r="4" customFormat="false" ht="15" hidden="false" customHeight="false" outlineLevel="0" collapsed="false">
      <c r="A4" s="3" t="s">
        <v>1870</v>
      </c>
      <c r="B4" s="3" t="n">
        <f aca="false">B2-B3</f>
        <v>25320</v>
      </c>
      <c r="C4" s="3"/>
    </row>
    <row r="5" customFormat="false" ht="15" hidden="false" customHeight="false" outlineLevel="0" collapsed="false">
      <c r="A5" s="3" t="s">
        <v>1871</v>
      </c>
      <c r="B5" s="11" t="n">
        <f aca="false">B4/B2</f>
        <v>0.973846153846154</v>
      </c>
      <c r="C5" s="3" t="s">
        <v>1872</v>
      </c>
    </row>
    <row r="6" customFormat="false" ht="15" hidden="false" customHeight="false" outlineLevel="0" collapsed="false">
      <c r="A6" s="3" t="s">
        <v>1873</v>
      </c>
      <c r="B6" s="3" t="n">
        <f aca="false">COUNTIF('Exception Tracker'!$I$4:$I$683,"RESOLVED")</f>
        <v>672</v>
      </c>
      <c r="C6" s="3"/>
    </row>
    <row r="7" customFormat="false" ht="15" hidden="false" customHeight="false" outlineLevel="0" collapsed="false">
      <c r="A7" s="3" t="s">
        <v>1874</v>
      </c>
      <c r="B7" s="3" t="n">
        <f aca="false">COUNTIF('Exception Tracker'!$I$4:$I$683,"OPEN")</f>
        <v>8</v>
      </c>
      <c r="C7" s="3"/>
    </row>
    <row r="8" customFormat="false" ht="15" hidden="false" customHeight="false" outlineLevel="0" collapsed="false">
      <c r="A8" s="3" t="s">
        <v>1875</v>
      </c>
      <c r="B8" s="12" t="n">
        <f aca="false">MEDIAN('Exception Tracker'!$H$4:$H$683)</f>
        <v>0.32</v>
      </c>
      <c r="C8" s="3" t="s">
        <v>1876</v>
      </c>
    </row>
    <row r="9" customFormat="false" ht="15" hidden="false" customHeight="false" outlineLevel="0" collapsed="false">
      <c r="A9" s="3" t="s">
        <v>1877</v>
      </c>
      <c r="B9" s="3" t="n">
        <f aca="false">COUNTIF('Exception Tracker'!$C$4:$C$683,"FEE_VARIANCE_BREACH")</f>
        <v>152</v>
      </c>
      <c r="C9" s="3" t="s">
        <v>1878</v>
      </c>
    </row>
    <row r="10" customFormat="false" ht="15" hidden="false" customHeight="false" outlineLevel="0" collapsed="false">
      <c r="A10" s="3" t="s">
        <v>1879</v>
      </c>
      <c r="B10" s="3" t="n">
        <f aca="false">COUNTIF('Exception Tracker'!$K$4:$K$683,"BREACH")</f>
        <v>65</v>
      </c>
      <c r="C10" s="3"/>
    </row>
    <row r="11" customFormat="false" ht="15" hidden="false" customHeight="false" outlineLevel="0" collapsed="false">
      <c r="A11" s="3" t="s">
        <v>1880</v>
      </c>
      <c r="B11" s="11" t="n">
        <f aca="false">B10/B6</f>
        <v>0.0967261904761905</v>
      </c>
      <c r="C11" s="3"/>
    </row>
    <row r="12" customFormat="false" ht="15" hidden="false" customHeight="false" outlineLevel="0" collapsed="false">
      <c r="A12" s="3" t="s">
        <v>1881</v>
      </c>
      <c r="B12" s="7" t="n">
        <f aca="false">SUM('Exception Tracker'!$D$4:$D$683)</f>
        <v>11697.99</v>
      </c>
      <c r="C12" s="3"/>
    </row>
    <row r="13" customFormat="false" ht="15" hidden="false" customHeight="false" outlineLevel="0" collapsed="false">
      <c r="A13" s="3" t="s">
        <v>1882</v>
      </c>
      <c r="B13" s="7" t="n">
        <f aca="false">SUMPRODUCT(ABS('Exception Tracker'!$D$4:$D$683))</f>
        <v>44643.29</v>
      </c>
      <c r="C13" s="3"/>
    </row>
    <row r="18" customFormat="false" ht="15" hidden="false" customHeight="false" outlineLevel="0" collapsed="false">
      <c r="A18" s="13" t="s">
        <v>1883</v>
      </c>
    </row>
    <row r="19" customFormat="false" ht="15" hidden="false" customHeight="false" outlineLevel="0" collapsed="false">
      <c r="A19" s="0" t="s">
        <v>531</v>
      </c>
      <c r="B19" s="0" t="n">
        <f aca="false">COUNTIF('Exception Tracker'!$C$4:$C$683,A19)</f>
        <v>385</v>
      </c>
    </row>
    <row r="20" customFormat="false" ht="15" hidden="false" customHeight="false" outlineLevel="0" collapsed="false">
      <c r="A20" s="0" t="s">
        <v>497</v>
      </c>
      <c r="B20" s="0" t="n">
        <f aca="false">COUNTIF('Exception Tracker'!$C$4:$C$683,A20)</f>
        <v>152</v>
      </c>
    </row>
    <row r="21" customFormat="false" ht="15" hidden="false" customHeight="false" outlineLevel="0" collapsed="false">
      <c r="A21" s="0" t="s">
        <v>511</v>
      </c>
      <c r="B21" s="0" t="n">
        <f aca="false">COUNTIF('Exception Tracker'!$C$4:$C$683,A21)</f>
        <v>72</v>
      </c>
    </row>
    <row r="22" customFormat="false" ht="15" hidden="false" customHeight="false" outlineLevel="0" collapsed="false">
      <c r="A22" s="0" t="s">
        <v>503</v>
      </c>
      <c r="B22" s="0" t="n">
        <f aca="false">COUNTIF('Exception Tracker'!$C$4:$C$683,A22)</f>
        <v>48</v>
      </c>
    </row>
    <row r="23" customFormat="false" ht="15" hidden="false" customHeight="false" outlineLevel="0" collapsed="false">
      <c r="A23" s="0" t="s">
        <v>517</v>
      </c>
      <c r="B23" s="0" t="n">
        <f aca="false">COUNTIF('Exception Tracker'!$C$4:$C$683,A23)</f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2026-10-02T16:01:15Z</dcterms:created>
  <dc:creator>openpyxl</dc:creator>
  <dc:description/>
  <dc:language>en-US</dc:language>
  <cp:lastModifiedBy/>
  <dcterms:modified xsi:type="dcterms:W3CDTF">2026-10-02T16:01:18Z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